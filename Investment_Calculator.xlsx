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Anhad\"/>
    </mc:Choice>
  </mc:AlternateContent>
  <xr:revisionPtr revIDLastSave="0" documentId="13_ncr:1_{BA0205C4-3DBB-4155-A572-03011E56BDAA}" xr6:coauthVersionLast="47" xr6:coauthVersionMax="47" xr10:uidLastSave="{00000000-0000-0000-0000-000000000000}"/>
  <bookViews>
    <workbookView xWindow="-108" yWindow="-108" windowWidth="23256" windowHeight="12456" tabRatio="721" xr2:uid="{00000000-000D-0000-FFFF-FFFF00000000}"/>
  </bookViews>
  <sheets>
    <sheet name="Dashboard" sheetId="3" r:id="rId1"/>
    <sheet name="FD Calculator" sheetId="2" r:id="rId2"/>
    <sheet name="Investment Calculator" sheetId="6" r:id="rId3"/>
    <sheet name="SIP Schedule" sheetId="7" r:id="rId4"/>
    <sheet name="Audit Report" sheetId="8" r:id="rId5"/>
    <sheet name="Information Sheet" sheetId="9" r:id="rId6"/>
    <sheet name="(Reference Table)" sheetId="1" r:id="rId7"/>
  </sheets>
  <definedNames>
    <definedName name="_xlchart.v2.0" hidden="1">Dashboard!$C$4:$C$6</definedName>
    <definedName name="_xlchart.v2.1" hidden="1">Dashboard!$D$4:$D$6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6" l="1"/>
  <c r="F4" i="6"/>
  <c r="C5" i="6"/>
  <c r="G6" i="3" s="1"/>
  <c r="J4" i="3" l="1"/>
  <c r="G4" i="3"/>
  <c r="D3" i="3"/>
  <c r="D4" i="3"/>
  <c r="F5" i="6" l="1"/>
  <c r="J5" i="3" l="1"/>
  <c r="J7" i="3"/>
  <c r="C6" i="7"/>
  <c r="D6" i="7" s="1"/>
  <c r="I10" i="3"/>
  <c r="D5" i="7"/>
  <c r="G5" i="3"/>
  <c r="F6" i="6"/>
  <c r="J6" i="3" s="1"/>
  <c r="C8" i="2"/>
  <c r="C6" i="2"/>
  <c r="D6" i="2" s="1" a="1"/>
  <c r="D6" i="2" s="1"/>
  <c r="E5" i="7" l="1"/>
  <c r="I11" i="3"/>
  <c r="F6" i="7"/>
  <c r="F5" i="7"/>
  <c r="E6" i="7" s="1"/>
  <c r="C7" i="7"/>
  <c r="F7" i="6"/>
  <c r="F8" i="6" s="1"/>
  <c r="C7" i="2" l="1"/>
  <c r="C9" i="2" s="1"/>
  <c r="C5" i="2" s="1"/>
  <c r="D7" i="7"/>
  <c r="F9" i="6"/>
  <c r="C8" i="7"/>
  <c r="I12" i="3" l="1"/>
  <c r="D7" i="3"/>
  <c r="F7" i="7"/>
  <c r="C6" i="8" a="1"/>
  <c r="C6" i="8" s="1"/>
  <c r="D8" i="7"/>
  <c r="E7" i="7"/>
  <c r="D6" i="3"/>
  <c r="C9" i="7"/>
  <c r="E8" i="7" l="1"/>
  <c r="D5" i="3"/>
  <c r="C4" i="8" s="1" a="1"/>
  <c r="C4" i="8" s="1"/>
  <c r="C5" i="8" a="1"/>
  <c r="C5" i="8" s="1"/>
  <c r="D9" i="7"/>
  <c r="F9" i="7" s="1"/>
  <c r="F8" i="7"/>
  <c r="C10" i="7"/>
  <c r="E9" i="7" l="1"/>
  <c r="D10" i="7"/>
  <c r="E10" i="7" s="1"/>
  <c r="C11" i="7"/>
  <c r="F10" i="7" l="1"/>
  <c r="D11" i="7"/>
  <c r="F11" i="7" s="1"/>
  <c r="C12" i="7"/>
  <c r="E11" i="7" l="1"/>
  <c r="D12" i="7"/>
  <c r="E12" i="7" s="1"/>
  <c r="C13" i="7"/>
  <c r="F12" i="7" l="1"/>
  <c r="D13" i="7"/>
  <c r="F13" i="7" s="1"/>
  <c r="C14" i="7"/>
  <c r="E13" i="7" l="1"/>
  <c r="D14" i="7"/>
  <c r="E14" i="7" s="1"/>
  <c r="C15" i="7"/>
  <c r="F14" i="7" l="1"/>
  <c r="C16" i="7"/>
  <c r="D15" i="7"/>
  <c r="F15" i="7" s="1"/>
  <c r="E15" i="7" l="1"/>
  <c r="C17" i="7"/>
  <c r="D16" i="7"/>
  <c r="E16" i="7" s="1"/>
  <c r="F16" i="7" l="1"/>
  <c r="C18" i="7"/>
  <c r="D17" i="7"/>
  <c r="F17" i="7" s="1"/>
  <c r="C19" i="7" l="1"/>
  <c r="D18" i="7"/>
  <c r="E18" i="7" s="1"/>
  <c r="E17" i="7"/>
  <c r="F18" i="7" l="1"/>
  <c r="C20" i="7"/>
  <c r="D19" i="7"/>
  <c r="F19" i="7" s="1"/>
  <c r="C21" i="7" l="1"/>
  <c r="D20" i="7"/>
  <c r="E20" i="7" s="1"/>
  <c r="E19" i="7"/>
  <c r="C22" i="7" l="1"/>
  <c r="D21" i="7"/>
  <c r="F21" i="7" s="1"/>
  <c r="F20" i="7"/>
  <c r="E21" i="7" l="1"/>
  <c r="C23" i="7"/>
  <c r="D22" i="7"/>
  <c r="E22" i="7" s="1"/>
  <c r="F22" i="7" l="1"/>
  <c r="C24" i="7"/>
  <c r="D23" i="7"/>
  <c r="F23" i="7" s="1"/>
  <c r="C25" i="7" l="1"/>
  <c r="D24" i="7"/>
  <c r="E24" i="7" s="1"/>
  <c r="E23" i="7"/>
  <c r="C26" i="7" l="1"/>
  <c r="D25" i="7"/>
  <c r="F25" i="7" s="1"/>
  <c r="F24" i="7"/>
  <c r="E25" i="7" l="1"/>
  <c r="C27" i="7"/>
  <c r="D26" i="7"/>
  <c r="F26" i="7" s="1"/>
  <c r="E26" i="7" l="1"/>
  <c r="C28" i="7"/>
  <c r="D27" i="7"/>
  <c r="E27" i="7" s="1"/>
  <c r="F27" i="7" l="1"/>
  <c r="C29" i="7"/>
  <c r="D28" i="7"/>
  <c r="F28" i="7" s="1"/>
  <c r="C30" i="7" l="1"/>
  <c r="D29" i="7"/>
  <c r="E29" i="7" s="1"/>
  <c r="E28" i="7"/>
  <c r="F29" i="7" l="1"/>
  <c r="C31" i="7"/>
  <c r="D30" i="7"/>
  <c r="F30" i="7" s="1"/>
  <c r="C32" i="7" l="1"/>
  <c r="D31" i="7"/>
  <c r="E31" i="7" s="1"/>
  <c r="E30" i="7"/>
  <c r="F31" i="7" l="1"/>
  <c r="C33" i="7"/>
  <c r="D32" i="7"/>
  <c r="F32" i="7" s="1"/>
  <c r="C34" i="7" l="1"/>
  <c r="D33" i="7"/>
  <c r="E33" i="7" s="1"/>
  <c r="E32" i="7"/>
  <c r="C35" i="7" l="1"/>
  <c r="D34" i="7"/>
  <c r="F34" i="7" s="1"/>
  <c r="F33" i="7"/>
  <c r="E34" i="7" l="1"/>
  <c r="C36" i="7"/>
  <c r="D35" i="7"/>
  <c r="E35" i="7" s="1"/>
  <c r="C37" i="7" l="1"/>
  <c r="D36" i="7"/>
  <c r="F36" i="7" s="1"/>
  <c r="F35" i="7"/>
  <c r="E36" i="7" l="1"/>
  <c r="C38" i="7"/>
  <c r="D37" i="7"/>
  <c r="E37" i="7" s="1"/>
  <c r="F37" i="7" l="1"/>
  <c r="C39" i="7"/>
  <c r="D38" i="7"/>
  <c r="F38" i="7" s="1"/>
  <c r="C40" i="7" l="1"/>
  <c r="D39" i="7"/>
  <c r="E39" i="7" s="1"/>
  <c r="E38" i="7"/>
  <c r="C41" i="7" l="1"/>
  <c r="D40" i="7"/>
  <c r="F40" i="7" s="1"/>
  <c r="F39" i="7"/>
  <c r="E40" i="7" l="1"/>
  <c r="C42" i="7"/>
  <c r="D41" i="7"/>
  <c r="E41" i="7" s="1"/>
  <c r="F41" i="7" l="1"/>
  <c r="C43" i="7"/>
  <c r="D42" i="7"/>
  <c r="F42" i="7" s="1"/>
  <c r="E42" i="7" l="1"/>
  <c r="C44" i="7"/>
  <c r="D43" i="7"/>
  <c r="E43" i="7" s="1"/>
  <c r="C45" i="7" l="1"/>
  <c r="D44" i="7"/>
  <c r="F44" i="7" s="1"/>
  <c r="F43" i="7"/>
  <c r="E44" i="7" l="1"/>
  <c r="C46" i="7"/>
  <c r="D45" i="7"/>
  <c r="E45" i="7" s="1"/>
  <c r="F45" i="7" l="1"/>
  <c r="C47" i="7"/>
  <c r="D46" i="7"/>
  <c r="F46" i="7" s="1"/>
  <c r="E46" i="7" l="1"/>
  <c r="C48" i="7"/>
  <c r="D47" i="7"/>
  <c r="E47" i="7" s="1"/>
  <c r="C49" i="7" l="1"/>
  <c r="D48" i="7"/>
  <c r="F48" i="7" s="1"/>
  <c r="F47" i="7"/>
  <c r="E48" i="7" l="1"/>
  <c r="C50" i="7"/>
  <c r="D49" i="7"/>
  <c r="E49" i="7" s="1"/>
  <c r="C51" i="7" l="1"/>
  <c r="D50" i="7"/>
  <c r="F50" i="7" s="1"/>
  <c r="F49" i="7"/>
  <c r="E50" i="7" l="1"/>
  <c r="C52" i="7"/>
  <c r="D51" i="7"/>
  <c r="E51" i="7" s="1"/>
  <c r="C53" i="7" l="1"/>
  <c r="D52" i="7"/>
  <c r="F52" i="7" s="1"/>
  <c r="F51" i="7"/>
  <c r="E52" i="7" l="1"/>
  <c r="C54" i="7"/>
  <c r="D53" i="7"/>
  <c r="E53" i="7" s="1"/>
  <c r="F53" i="7" l="1"/>
  <c r="C55" i="7"/>
  <c r="D54" i="7"/>
  <c r="F54" i="7" s="1"/>
  <c r="E54" i="7" l="1"/>
  <c r="C56" i="7"/>
  <c r="D55" i="7"/>
  <c r="E55" i="7" s="1"/>
  <c r="C57" i="7" l="1"/>
  <c r="D56" i="7"/>
  <c r="F56" i="7" s="1"/>
  <c r="F55" i="7"/>
  <c r="E56" i="7" l="1"/>
  <c r="C58" i="7"/>
  <c r="D57" i="7"/>
  <c r="E57" i="7" s="1"/>
  <c r="C59" i="7" l="1"/>
  <c r="D58" i="7"/>
  <c r="F58" i="7" s="1"/>
  <c r="F57" i="7"/>
  <c r="E58" i="7" l="1"/>
  <c r="C60" i="7"/>
  <c r="D59" i="7"/>
  <c r="E59" i="7" s="1"/>
  <c r="C61" i="7" l="1"/>
  <c r="D60" i="7"/>
  <c r="F60" i="7" s="1"/>
  <c r="F59" i="7"/>
  <c r="E60" i="7" l="1"/>
  <c r="C62" i="7"/>
  <c r="D61" i="7"/>
  <c r="E61" i="7" s="1"/>
  <c r="C63" i="7" l="1"/>
  <c r="D62" i="7"/>
  <c r="F62" i="7" s="1"/>
  <c r="F61" i="7"/>
  <c r="E62" i="7" l="1"/>
  <c r="C64" i="7"/>
  <c r="D63" i="7"/>
  <c r="E63" i="7" s="1"/>
  <c r="C65" i="7" l="1"/>
  <c r="D64" i="7"/>
  <c r="F64" i="7" s="1"/>
  <c r="F63" i="7"/>
  <c r="E64" i="7" l="1"/>
  <c r="C66" i="7"/>
  <c r="D65" i="7"/>
  <c r="E65" i="7" s="1"/>
  <c r="C67" i="7" l="1"/>
  <c r="D66" i="7"/>
  <c r="F66" i="7" s="1"/>
  <c r="F65" i="7"/>
  <c r="E66" i="7" l="1"/>
  <c r="C68" i="7"/>
  <c r="D67" i="7"/>
  <c r="E67" i="7" s="1"/>
  <c r="C69" i="7" l="1"/>
  <c r="D68" i="7"/>
  <c r="F68" i="7" s="1"/>
  <c r="F67" i="7"/>
  <c r="E68" i="7" l="1"/>
  <c r="C70" i="7"/>
  <c r="D69" i="7"/>
  <c r="E69" i="7" s="1"/>
  <c r="C71" i="7" l="1"/>
  <c r="D70" i="7"/>
  <c r="F70" i="7" s="1"/>
  <c r="F69" i="7"/>
  <c r="E70" i="7" l="1"/>
  <c r="C72" i="7"/>
  <c r="D71" i="7"/>
  <c r="E71" i="7" s="1"/>
  <c r="C73" i="7" l="1"/>
  <c r="D72" i="7"/>
  <c r="F72" i="7" s="1"/>
  <c r="F71" i="7"/>
  <c r="E72" i="7" l="1"/>
  <c r="C74" i="7"/>
  <c r="D73" i="7"/>
  <c r="E73" i="7" s="1"/>
  <c r="C75" i="7" l="1"/>
  <c r="D74" i="7"/>
  <c r="F74" i="7" s="1"/>
  <c r="F73" i="7"/>
  <c r="E74" i="7" l="1"/>
  <c r="C76" i="7"/>
  <c r="D75" i="7"/>
  <c r="E75" i="7" s="1"/>
  <c r="F75" i="7" l="1"/>
  <c r="C77" i="7"/>
  <c r="D76" i="7"/>
  <c r="E76" i="7" l="1"/>
  <c r="F76" i="7"/>
  <c r="C78" i="7"/>
  <c r="D77" i="7"/>
  <c r="F77" i="7" s="1"/>
  <c r="E77" i="7" l="1"/>
  <c r="C79" i="7"/>
  <c r="D78" i="7"/>
  <c r="E78" i="7" s="1"/>
  <c r="F78" i="7" l="1"/>
  <c r="C80" i="7"/>
  <c r="D79" i="7"/>
  <c r="F79" i="7" s="1"/>
  <c r="E79" i="7" l="1"/>
  <c r="C81" i="7"/>
  <c r="D80" i="7"/>
  <c r="E80" i="7" s="1"/>
  <c r="C82" i="7" l="1"/>
  <c r="D81" i="7"/>
  <c r="F81" i="7" s="1"/>
  <c r="F80" i="7"/>
  <c r="E81" i="7" l="1"/>
  <c r="C83" i="7"/>
  <c r="D82" i="7"/>
  <c r="E82" i="7" s="1"/>
  <c r="C84" i="7" l="1"/>
  <c r="D83" i="7"/>
  <c r="F83" i="7" s="1"/>
  <c r="F82" i="7"/>
  <c r="E83" i="7" l="1"/>
  <c r="C85" i="7"/>
  <c r="D84" i="7"/>
  <c r="E84" i="7" s="1"/>
  <c r="C86" i="7" l="1"/>
  <c r="D85" i="7"/>
  <c r="F85" i="7" s="1"/>
  <c r="F84" i="7"/>
  <c r="E85" i="7" l="1"/>
  <c r="C87" i="7"/>
  <c r="D86" i="7"/>
  <c r="E86" i="7" s="1"/>
  <c r="C88" i="7" l="1"/>
  <c r="D87" i="7"/>
  <c r="F87" i="7" s="1"/>
  <c r="F86" i="7"/>
  <c r="E87" i="7" l="1"/>
  <c r="C89" i="7"/>
  <c r="D88" i="7"/>
  <c r="E88" i="7" s="1"/>
  <c r="C90" i="7" l="1"/>
  <c r="D89" i="7"/>
  <c r="F89" i="7" s="1"/>
  <c r="F88" i="7"/>
  <c r="E89" i="7" l="1"/>
  <c r="C91" i="7"/>
  <c r="D90" i="7"/>
  <c r="E90" i="7" s="1"/>
  <c r="C92" i="7" l="1"/>
  <c r="D91" i="7"/>
  <c r="F91" i="7" s="1"/>
  <c r="F90" i="7"/>
  <c r="E91" i="7" l="1"/>
  <c r="C93" i="7"/>
  <c r="D92" i="7"/>
  <c r="E92" i="7" s="1"/>
  <c r="F92" i="7" l="1"/>
  <c r="C94" i="7"/>
  <c r="D93" i="7"/>
  <c r="F93" i="7" s="1"/>
  <c r="C95" i="7" l="1"/>
  <c r="D94" i="7"/>
  <c r="E94" i="7" s="1"/>
  <c r="E93" i="7"/>
  <c r="C96" i="7" l="1"/>
  <c r="D95" i="7"/>
  <c r="F95" i="7" s="1"/>
  <c r="F94" i="7"/>
  <c r="E95" i="7" l="1"/>
  <c r="C97" i="7"/>
  <c r="D96" i="7"/>
  <c r="E96" i="7" s="1"/>
  <c r="C98" i="7" l="1"/>
  <c r="D97" i="7"/>
  <c r="F97" i="7" s="1"/>
  <c r="F96" i="7"/>
  <c r="E97" i="7" l="1"/>
  <c r="C99" i="7"/>
  <c r="D98" i="7"/>
  <c r="E98" i="7" s="1"/>
  <c r="C100" i="7" l="1"/>
  <c r="D99" i="7"/>
  <c r="F99" i="7" s="1"/>
  <c r="F98" i="7"/>
  <c r="E99" i="7" l="1"/>
  <c r="C101" i="7"/>
  <c r="D100" i="7"/>
  <c r="E100" i="7" s="1"/>
  <c r="C102" i="7" l="1"/>
  <c r="D101" i="7"/>
  <c r="F101" i="7" s="1"/>
  <c r="F100" i="7"/>
  <c r="E101" i="7" l="1"/>
  <c r="C103" i="7"/>
  <c r="D102" i="7"/>
  <c r="E102" i="7" s="1"/>
  <c r="F102" i="7" l="1"/>
  <c r="C104" i="7"/>
  <c r="D103" i="7"/>
  <c r="F103" i="7" s="1"/>
  <c r="E103" i="7" l="1"/>
  <c r="C105" i="7"/>
  <c r="D104" i="7"/>
  <c r="E104" i="7" s="1"/>
  <c r="C106" i="7" l="1"/>
  <c r="D105" i="7"/>
  <c r="F105" i="7" s="1"/>
  <c r="F104" i="7"/>
  <c r="E105" i="7" l="1"/>
  <c r="C107" i="7"/>
  <c r="D106" i="7"/>
  <c r="E106" i="7" s="1"/>
  <c r="C108" i="7" l="1"/>
  <c r="D107" i="7"/>
  <c r="F107" i="7" s="1"/>
  <c r="F106" i="7"/>
  <c r="E107" i="7" l="1"/>
  <c r="C109" i="7"/>
  <c r="D108" i="7"/>
  <c r="E108" i="7" l="1"/>
  <c r="C110" i="7"/>
  <c r="D109" i="7"/>
  <c r="F109" i="7" s="1"/>
  <c r="F108" i="7"/>
  <c r="E109" i="7" l="1"/>
  <c r="C111" i="7"/>
  <c r="D110" i="7"/>
  <c r="E110" i="7" s="1"/>
  <c r="C112" i="7" l="1"/>
  <c r="D111" i="7"/>
  <c r="F111" i="7" s="1"/>
  <c r="F110" i="7"/>
  <c r="E111" i="7" l="1"/>
  <c r="C113" i="7"/>
  <c r="D112" i="7"/>
  <c r="E112" i="7" s="1"/>
  <c r="F112" i="7" l="1"/>
  <c r="C114" i="7"/>
  <c r="D113" i="7"/>
  <c r="F113" i="7" s="1"/>
  <c r="E113" i="7" l="1"/>
  <c r="C115" i="7"/>
  <c r="D114" i="7"/>
  <c r="E114" i="7" s="1"/>
  <c r="F114" i="7" l="1"/>
  <c r="C116" i="7"/>
  <c r="D115" i="7"/>
  <c r="F115" i="7" s="1"/>
  <c r="E115" i="7" l="1"/>
  <c r="C117" i="7"/>
  <c r="D116" i="7"/>
  <c r="E116" i="7" s="1"/>
  <c r="F116" i="7" l="1"/>
  <c r="C118" i="7"/>
  <c r="D117" i="7"/>
  <c r="F117" i="7" s="1"/>
  <c r="C119" i="7" l="1"/>
  <c r="D118" i="7"/>
  <c r="E118" i="7" s="1"/>
  <c r="E117" i="7"/>
  <c r="F118" i="7" l="1"/>
  <c r="C120" i="7"/>
  <c r="D119" i="7"/>
  <c r="F119" i="7" s="1"/>
  <c r="E119" i="7" l="1"/>
  <c r="C121" i="7"/>
  <c r="D120" i="7"/>
  <c r="E120" i="7" s="1"/>
  <c r="F120" i="7" l="1"/>
  <c r="C122" i="7"/>
  <c r="D121" i="7"/>
  <c r="F121" i="7" s="1"/>
  <c r="C123" i="7" l="1"/>
  <c r="D122" i="7"/>
  <c r="E122" i="7" s="1"/>
  <c r="E121" i="7"/>
  <c r="F122" i="7" l="1"/>
  <c r="C124" i="7"/>
  <c r="D123" i="7"/>
  <c r="F123" i="7" s="1"/>
  <c r="E123" i="7" l="1"/>
  <c r="C125" i="7"/>
  <c r="D124" i="7"/>
  <c r="E124" i="7" s="1"/>
  <c r="F124" i="7" l="1"/>
  <c r="C126" i="7"/>
  <c r="D125" i="7"/>
  <c r="F125" i="7" s="1"/>
  <c r="E125" i="7" l="1"/>
  <c r="C127" i="7"/>
  <c r="D126" i="7"/>
  <c r="E126" i="7" s="1"/>
  <c r="F126" i="7" l="1"/>
  <c r="C128" i="7"/>
  <c r="D127" i="7"/>
  <c r="F127" i="7" s="1"/>
  <c r="E127" i="7" l="1"/>
  <c r="C129" i="7"/>
  <c r="D128" i="7"/>
  <c r="E128" i="7" s="1"/>
  <c r="F128" i="7" l="1"/>
  <c r="C130" i="7"/>
  <c r="D129" i="7"/>
  <c r="F129" i="7" s="1"/>
  <c r="E129" i="7" l="1"/>
  <c r="C131" i="7"/>
  <c r="D130" i="7"/>
  <c r="E130" i="7" s="1"/>
  <c r="F130" i="7" l="1"/>
  <c r="C132" i="7"/>
  <c r="D131" i="7"/>
  <c r="F131" i="7" s="1"/>
  <c r="E131" i="7" l="1"/>
  <c r="C133" i="7"/>
  <c r="D132" i="7"/>
  <c r="E132" i="7" s="1"/>
  <c r="F132" i="7" l="1"/>
  <c r="C134" i="7"/>
  <c r="D133" i="7"/>
  <c r="F133" i="7" s="1"/>
  <c r="E133" i="7" l="1"/>
  <c r="C135" i="7"/>
  <c r="D134" i="7"/>
  <c r="E134" i="7" s="1"/>
  <c r="C136" i="7" l="1"/>
  <c r="D135" i="7"/>
  <c r="F135" i="7" s="1"/>
  <c r="F134" i="7"/>
  <c r="E135" i="7" l="1"/>
  <c r="C137" i="7"/>
  <c r="D136" i="7"/>
  <c r="E136" i="7" s="1"/>
  <c r="F136" i="7" l="1"/>
  <c r="C138" i="7"/>
  <c r="D137" i="7"/>
  <c r="F137" i="7" s="1"/>
  <c r="E137" i="7" l="1"/>
  <c r="C139" i="7"/>
  <c r="D138" i="7"/>
  <c r="E138" i="7" s="1"/>
  <c r="F138" i="7" l="1"/>
  <c r="C140" i="7"/>
  <c r="D139" i="7"/>
  <c r="E139" i="7" l="1"/>
  <c r="F139" i="7"/>
  <c r="C141" i="7"/>
  <c r="D140" i="7"/>
  <c r="F140" i="7" s="1"/>
  <c r="E140" i="7" l="1"/>
  <c r="C142" i="7"/>
  <c r="D141" i="7"/>
  <c r="E141" i="7" s="1"/>
  <c r="F141" i="7" l="1"/>
  <c r="C143" i="7"/>
  <c r="D142" i="7"/>
  <c r="F142" i="7" s="1"/>
  <c r="C144" i="7" l="1"/>
  <c r="D143" i="7"/>
  <c r="E143" i="7" s="1"/>
  <c r="E142" i="7"/>
  <c r="C145" i="7" l="1"/>
  <c r="D144" i="7"/>
  <c r="F144" i="7" s="1"/>
  <c r="F143" i="7"/>
  <c r="E144" i="7" l="1"/>
  <c r="C146" i="7"/>
  <c r="D145" i="7"/>
  <c r="E145" i="7" l="1"/>
  <c r="C147" i="7"/>
  <c r="D146" i="7"/>
  <c r="F146" i="7" s="1"/>
  <c r="F145" i="7"/>
  <c r="E146" i="7" s="1"/>
  <c r="C148" i="7" l="1"/>
  <c r="D147" i="7"/>
  <c r="E147" i="7" l="1"/>
  <c r="C149" i="7"/>
  <c r="D148" i="7"/>
  <c r="F148" i="7" s="1"/>
  <c r="F147" i="7"/>
  <c r="E148" i="7" l="1"/>
  <c r="C150" i="7"/>
  <c r="D149" i="7"/>
  <c r="E149" i="7" s="1"/>
  <c r="C151" i="7" l="1"/>
  <c r="D150" i="7"/>
  <c r="F150" i="7" s="1"/>
  <c r="F149" i="7"/>
  <c r="E150" i="7" l="1"/>
  <c r="C152" i="7"/>
  <c r="D151" i="7"/>
  <c r="E151" i="7" s="1"/>
  <c r="C153" i="7" l="1"/>
  <c r="D152" i="7"/>
  <c r="F152" i="7" s="1"/>
  <c r="F151" i="7"/>
  <c r="E152" i="7" l="1"/>
  <c r="C154" i="7"/>
  <c r="D153" i="7"/>
  <c r="E153" i="7" s="1"/>
  <c r="C155" i="7" l="1"/>
  <c r="D154" i="7"/>
  <c r="F154" i="7" s="1"/>
  <c r="F153" i="7"/>
  <c r="E154" i="7" l="1"/>
  <c r="C156" i="7"/>
  <c r="D155" i="7"/>
  <c r="E155" i="7" l="1"/>
  <c r="C157" i="7"/>
  <c r="D156" i="7"/>
  <c r="F156" i="7" s="1"/>
  <c r="F155" i="7"/>
  <c r="E156" i="7" l="1"/>
  <c r="C158" i="7"/>
  <c r="D157" i="7"/>
  <c r="E157" i="7" s="1"/>
  <c r="C159" i="7" l="1"/>
  <c r="D158" i="7"/>
  <c r="F158" i="7" s="1"/>
  <c r="F157" i="7"/>
  <c r="E158" i="7" l="1"/>
  <c r="C160" i="7"/>
  <c r="D159" i="7"/>
  <c r="E159" i="7" l="1"/>
  <c r="C161" i="7"/>
  <c r="D160" i="7"/>
  <c r="F160" i="7" s="1"/>
  <c r="F159" i="7"/>
  <c r="E160" i="7" s="1"/>
  <c r="C162" i="7" l="1"/>
  <c r="D161" i="7"/>
  <c r="E161" i="7" s="1"/>
  <c r="C163" i="7" l="1"/>
  <c r="D162" i="7"/>
  <c r="F162" i="7" s="1"/>
  <c r="F161" i="7"/>
  <c r="E162" i="7" l="1"/>
  <c r="C164" i="7"/>
  <c r="D163" i="7"/>
  <c r="E163" i="7" s="1"/>
  <c r="C165" i="7" l="1"/>
  <c r="D164" i="7"/>
  <c r="F164" i="7" s="1"/>
  <c r="F163" i="7"/>
  <c r="E164" i="7" s="1"/>
  <c r="C166" i="7" l="1"/>
  <c r="D165" i="7"/>
  <c r="E165" i="7" s="1"/>
  <c r="C167" i="7" l="1"/>
  <c r="D166" i="7"/>
  <c r="F166" i="7" s="1"/>
  <c r="F165" i="7"/>
  <c r="E166" i="7" l="1"/>
  <c r="C168" i="7"/>
  <c r="D167" i="7"/>
  <c r="E167" i="7" s="1"/>
  <c r="C169" i="7" l="1"/>
  <c r="D168" i="7"/>
  <c r="F168" i="7" s="1"/>
  <c r="F167" i="7"/>
  <c r="E168" i="7" l="1"/>
  <c r="C170" i="7"/>
  <c r="D169" i="7"/>
  <c r="E169" i="7" s="1"/>
  <c r="F169" i="7" l="1"/>
  <c r="C171" i="7"/>
  <c r="D170" i="7"/>
  <c r="F170" i="7" s="1"/>
  <c r="C172" i="7" l="1"/>
  <c r="D171" i="7"/>
  <c r="E171" i="7" s="1"/>
  <c r="E170" i="7"/>
  <c r="C173" i="7" l="1"/>
  <c r="D172" i="7"/>
  <c r="F172" i="7" s="1"/>
  <c r="F171" i="7"/>
  <c r="E172" i="7" l="1"/>
  <c r="C174" i="7"/>
  <c r="D173" i="7"/>
  <c r="E173" i="7" s="1"/>
  <c r="F173" i="7" l="1"/>
  <c r="C175" i="7"/>
  <c r="D174" i="7"/>
  <c r="F174" i="7" s="1"/>
  <c r="C176" i="7" l="1"/>
  <c r="D175" i="7"/>
  <c r="F175" i="7" s="1"/>
  <c r="E174" i="7"/>
  <c r="E175" i="7" l="1"/>
  <c r="C177" i="7"/>
  <c r="D176" i="7"/>
  <c r="E176" i="7" s="1"/>
  <c r="C178" i="7" l="1"/>
  <c r="D177" i="7"/>
  <c r="F177" i="7" s="1"/>
  <c r="F176" i="7"/>
  <c r="E177" i="7" l="1"/>
  <c r="C179" i="7"/>
  <c r="D178" i="7"/>
  <c r="E178" i="7" s="1"/>
  <c r="C180" i="7" l="1"/>
  <c r="D179" i="7"/>
  <c r="F179" i="7" s="1"/>
  <c r="F178" i="7"/>
  <c r="E179" i="7" l="1"/>
  <c r="C181" i="7"/>
  <c r="D180" i="7"/>
  <c r="E180" i="7" s="1"/>
  <c r="C182" i="7" l="1"/>
  <c r="D181" i="7"/>
  <c r="F181" i="7" s="1"/>
  <c r="F180" i="7"/>
  <c r="E181" i="7" l="1"/>
  <c r="C183" i="7"/>
  <c r="D182" i="7"/>
  <c r="E182" i="7" s="1"/>
  <c r="F182" i="7" l="1"/>
  <c r="C184" i="7"/>
  <c r="D183" i="7"/>
  <c r="F183" i="7" s="1"/>
  <c r="E183" i="7" l="1"/>
  <c r="C185" i="7"/>
  <c r="D184" i="7"/>
  <c r="E184" i="7" s="1"/>
  <c r="C186" i="7" l="1"/>
  <c r="D185" i="7"/>
  <c r="F185" i="7" s="1"/>
  <c r="F184" i="7"/>
  <c r="E185" i="7" l="1"/>
  <c r="C187" i="7"/>
  <c r="D186" i="7"/>
  <c r="E186" i="7" s="1"/>
  <c r="F186" i="7" l="1"/>
  <c r="C188" i="7"/>
  <c r="D187" i="7"/>
  <c r="F187" i="7" s="1"/>
  <c r="E187" i="7" l="1"/>
  <c r="C189" i="7"/>
  <c r="D188" i="7"/>
  <c r="E188" i="7" s="1"/>
  <c r="F188" i="7" l="1"/>
  <c r="C190" i="7"/>
  <c r="D189" i="7"/>
  <c r="F189" i="7" s="1"/>
  <c r="E189" i="7" l="1"/>
  <c r="C191" i="7"/>
  <c r="D190" i="7"/>
  <c r="E190" i="7" s="1"/>
  <c r="F190" i="7" l="1"/>
  <c r="C192" i="7"/>
  <c r="D191" i="7"/>
  <c r="F191" i="7" s="1"/>
  <c r="E191" i="7" l="1"/>
  <c r="C193" i="7"/>
  <c r="D192" i="7"/>
  <c r="E192" i="7" s="1"/>
  <c r="C194" i="7" l="1"/>
  <c r="D193" i="7"/>
  <c r="F193" i="7" s="1"/>
  <c r="F192" i="7"/>
  <c r="E193" i="7" l="1"/>
  <c r="C195" i="7"/>
  <c r="D194" i="7"/>
  <c r="E194" i="7" s="1"/>
  <c r="C196" i="7" l="1"/>
  <c r="D195" i="7"/>
  <c r="F195" i="7" s="1"/>
  <c r="F194" i="7"/>
  <c r="E195" i="7" l="1"/>
  <c r="C197" i="7"/>
  <c r="D196" i="7"/>
  <c r="E196" i="7" s="1"/>
  <c r="C198" i="7" l="1"/>
  <c r="D197" i="7"/>
  <c r="F197" i="7" s="1"/>
  <c r="F196" i="7"/>
  <c r="E197" i="7" l="1"/>
  <c r="C199" i="7"/>
  <c r="D198" i="7"/>
  <c r="E198" i="7" s="1"/>
  <c r="F198" i="7" l="1"/>
  <c r="C200" i="7"/>
  <c r="D199" i="7"/>
  <c r="F199" i="7" s="1"/>
  <c r="E199" i="7" l="1"/>
  <c r="C201" i="7"/>
  <c r="D200" i="7"/>
  <c r="E200" i="7" s="1"/>
  <c r="C202" i="7" l="1"/>
  <c r="D201" i="7"/>
  <c r="F201" i="7" s="1"/>
  <c r="F200" i="7"/>
  <c r="E201" i="7" l="1"/>
  <c r="C203" i="7"/>
  <c r="D202" i="7"/>
  <c r="E202" i="7" s="1"/>
  <c r="F202" i="7" l="1"/>
  <c r="C204" i="7"/>
  <c r="D203" i="7"/>
  <c r="F203" i="7" s="1"/>
  <c r="E203" i="7" l="1"/>
  <c r="C205" i="7"/>
  <c r="D204" i="7"/>
  <c r="E204" i="7" s="1"/>
  <c r="C206" i="7" l="1"/>
  <c r="D205" i="7"/>
  <c r="F205" i="7" s="1"/>
  <c r="F204" i="7"/>
  <c r="E205" i="7" l="1"/>
  <c r="C207" i="7"/>
  <c r="D206" i="7"/>
  <c r="E206" i="7" s="1"/>
  <c r="C208" i="7" l="1"/>
  <c r="D207" i="7"/>
  <c r="F207" i="7" s="1"/>
  <c r="F206" i="7"/>
  <c r="E207" i="7" s="1"/>
  <c r="C209" i="7" l="1"/>
  <c r="D208" i="7"/>
  <c r="E208" i="7" l="1"/>
  <c r="C210" i="7"/>
  <c r="D209" i="7"/>
  <c r="F209" i="7" s="1"/>
  <c r="F208" i="7"/>
  <c r="E209" i="7" l="1"/>
  <c r="C211" i="7"/>
  <c r="D210" i="7"/>
  <c r="E210" i="7" s="1"/>
  <c r="F210" i="7" l="1"/>
  <c r="C212" i="7"/>
  <c r="D211" i="7"/>
  <c r="F211" i="7" s="1"/>
  <c r="E211" i="7" l="1"/>
  <c r="C213" i="7"/>
  <c r="D212" i="7"/>
  <c r="E212" i="7" s="1"/>
  <c r="F212" i="7" l="1"/>
  <c r="C214" i="7"/>
  <c r="D213" i="7"/>
  <c r="F213" i="7" s="1"/>
  <c r="C215" i="7" l="1"/>
  <c r="D214" i="7"/>
  <c r="E214" i="7" s="1"/>
  <c r="E213" i="7"/>
  <c r="F214" i="7" l="1"/>
  <c r="C216" i="7"/>
  <c r="D215" i="7"/>
  <c r="F215" i="7" s="1"/>
  <c r="E215" i="7" l="1"/>
  <c r="C217" i="7"/>
  <c r="D216" i="7"/>
  <c r="E216" i="7" s="1"/>
  <c r="C218" i="7" l="1"/>
  <c r="D217" i="7"/>
  <c r="F217" i="7" s="1"/>
  <c r="F216" i="7"/>
  <c r="E217" i="7" l="1"/>
  <c r="C219" i="7"/>
  <c r="D218" i="7"/>
  <c r="E218" i="7" s="1"/>
  <c r="F218" i="7" l="1"/>
  <c r="C220" i="7"/>
  <c r="D219" i="7"/>
  <c r="F219" i="7" s="1"/>
  <c r="C221" i="7" l="1"/>
  <c r="D220" i="7"/>
  <c r="E220" i="7" s="1"/>
  <c r="E219" i="7"/>
  <c r="C222" i="7" l="1"/>
  <c r="D221" i="7"/>
  <c r="F221" i="7" s="1"/>
  <c r="F220" i="7"/>
  <c r="E221" i="7" l="1"/>
  <c r="C223" i="7"/>
  <c r="D222" i="7"/>
  <c r="E222" i="7" s="1"/>
  <c r="C224" i="7" l="1"/>
  <c r="D223" i="7"/>
  <c r="F223" i="7" s="1"/>
  <c r="F222" i="7"/>
  <c r="E223" i="7" l="1"/>
  <c r="C225" i="7"/>
  <c r="D224" i="7"/>
  <c r="E224" i="7" s="1"/>
  <c r="C226" i="7" l="1"/>
  <c r="D225" i="7"/>
  <c r="F225" i="7" s="1"/>
  <c r="F224" i="7"/>
  <c r="E225" i="7" l="1"/>
  <c r="C227" i="7"/>
  <c r="D226" i="7"/>
  <c r="E226" i="7" s="1"/>
  <c r="C228" i="7" l="1"/>
  <c r="D227" i="7"/>
  <c r="F227" i="7" s="1"/>
  <c r="F226" i="7"/>
  <c r="E227" i="7" l="1"/>
  <c r="C229" i="7"/>
  <c r="D228" i="7"/>
  <c r="E228" i="7" s="1"/>
  <c r="C230" i="7" l="1"/>
  <c r="D229" i="7"/>
  <c r="F229" i="7" s="1"/>
  <c r="F228" i="7"/>
  <c r="E229" i="7" l="1"/>
  <c r="C231" i="7"/>
  <c r="D230" i="7"/>
  <c r="E230" i="7" s="1"/>
  <c r="F230" i="7" l="1"/>
  <c r="C232" i="7"/>
  <c r="D231" i="7"/>
  <c r="F231" i="7" s="1"/>
  <c r="E231" i="7" l="1"/>
  <c r="C233" i="7"/>
  <c r="D232" i="7"/>
  <c r="E232" i="7" s="1"/>
  <c r="F232" i="7" l="1"/>
  <c r="C234" i="7"/>
  <c r="D233" i="7"/>
  <c r="F233" i="7" s="1"/>
  <c r="E233" i="7" l="1"/>
  <c r="C235" i="7"/>
  <c r="D234" i="7"/>
  <c r="E234" i="7" s="1"/>
  <c r="F234" i="7" l="1"/>
  <c r="C236" i="7"/>
  <c r="D235" i="7"/>
  <c r="F235" i="7" s="1"/>
  <c r="E235" i="7" l="1"/>
  <c r="C237" i="7"/>
  <c r="D236" i="7"/>
  <c r="E236" i="7" s="1"/>
  <c r="C238" i="7" l="1"/>
  <c r="D237" i="7"/>
  <c r="F237" i="7" s="1"/>
  <c r="F236" i="7"/>
  <c r="E237" i="7" l="1"/>
  <c r="C239" i="7"/>
  <c r="D238" i="7"/>
  <c r="E238" i="7" s="1"/>
  <c r="C240" i="7" l="1"/>
  <c r="D239" i="7"/>
  <c r="F239" i="7" s="1"/>
  <c r="F238" i="7"/>
  <c r="E239" i="7" l="1"/>
  <c r="C241" i="7"/>
  <c r="D240" i="7"/>
  <c r="E240" i="7" s="1"/>
  <c r="C242" i="7" l="1"/>
  <c r="D241" i="7"/>
  <c r="F241" i="7" s="1"/>
  <c r="F240" i="7"/>
  <c r="E241" i="7" l="1"/>
  <c r="C243" i="7"/>
  <c r="D242" i="7"/>
  <c r="E242" i="7" s="1"/>
  <c r="F242" i="7" l="1"/>
  <c r="C244" i="7"/>
  <c r="D243" i="7"/>
  <c r="F243" i="7" s="1"/>
  <c r="E243" i="7" l="1"/>
  <c r="C245" i="7"/>
  <c r="D244" i="7"/>
  <c r="E244" i="7" s="1"/>
  <c r="C246" i="7" l="1"/>
  <c r="D245" i="7"/>
  <c r="F245" i="7" s="1"/>
  <c r="F244" i="7"/>
  <c r="E245" i="7" l="1"/>
  <c r="C247" i="7"/>
  <c r="D246" i="7"/>
  <c r="E246" i="7" s="1"/>
  <c r="F246" i="7" l="1"/>
  <c r="C248" i="7"/>
  <c r="D247" i="7"/>
  <c r="F247" i="7" s="1"/>
  <c r="E247" i="7" l="1"/>
  <c r="C249" i="7"/>
  <c r="D248" i="7"/>
  <c r="E248" i="7" s="1"/>
  <c r="F248" i="7" l="1"/>
  <c r="C250" i="7"/>
  <c r="D249" i="7"/>
  <c r="F249" i="7" s="1"/>
  <c r="E249" i="7" l="1"/>
  <c r="C251" i="7"/>
  <c r="D250" i="7"/>
  <c r="E250" i="7" s="1"/>
  <c r="F250" i="7" l="1"/>
  <c r="C252" i="7"/>
  <c r="D251" i="7"/>
  <c r="F251" i="7" s="1"/>
  <c r="E251" i="7" l="1"/>
  <c r="C253" i="7"/>
  <c r="D252" i="7"/>
  <c r="E252" i="7" s="1"/>
  <c r="F252" i="7" l="1"/>
  <c r="C254" i="7"/>
  <c r="D253" i="7"/>
  <c r="F253" i="7" s="1"/>
  <c r="E253" i="7" l="1"/>
  <c r="C255" i="7"/>
  <c r="D254" i="7"/>
  <c r="E254" i="7" s="1"/>
  <c r="C256" i="7" l="1"/>
  <c r="D255" i="7"/>
  <c r="F255" i="7" s="1"/>
  <c r="F254" i="7"/>
  <c r="E255" i="7" l="1"/>
  <c r="C257" i="7"/>
  <c r="D256" i="7"/>
  <c r="E256" i="7" s="1"/>
  <c r="C258" i="7" l="1"/>
  <c r="D257" i="7"/>
  <c r="F257" i="7" s="1"/>
  <c r="F256" i="7"/>
  <c r="E257" i="7" l="1"/>
  <c r="C259" i="7"/>
  <c r="D258" i="7"/>
  <c r="E258" i="7" s="1"/>
  <c r="F258" i="7" l="1"/>
  <c r="C260" i="7"/>
  <c r="D259" i="7"/>
  <c r="F259" i="7" s="1"/>
  <c r="E259" i="7" l="1"/>
  <c r="C261" i="7"/>
  <c r="D260" i="7"/>
  <c r="E260" i="7" s="1"/>
  <c r="C262" i="7" l="1"/>
  <c r="D261" i="7"/>
  <c r="F261" i="7" s="1"/>
  <c r="F260" i="7"/>
  <c r="E261" i="7" l="1"/>
  <c r="C263" i="7"/>
  <c r="D262" i="7"/>
  <c r="E262" i="7" s="1"/>
  <c r="C264" i="7" l="1"/>
  <c r="D263" i="7"/>
  <c r="F263" i="7" s="1"/>
  <c r="F262" i="7"/>
  <c r="E263" i="7" l="1"/>
  <c r="C265" i="7"/>
  <c r="D264" i="7"/>
  <c r="E264" i="7" s="1"/>
  <c r="F264" i="7" l="1"/>
  <c r="C266" i="7"/>
  <c r="D265" i="7"/>
  <c r="F265" i="7" s="1"/>
  <c r="E265" i="7" l="1"/>
  <c r="C267" i="7"/>
  <c r="D266" i="7"/>
  <c r="E266" i="7" s="1"/>
  <c r="F266" i="7" l="1"/>
  <c r="C268" i="7"/>
  <c r="D267" i="7"/>
  <c r="F267" i="7" s="1"/>
  <c r="E267" i="7" l="1"/>
  <c r="C269" i="7"/>
  <c r="D268" i="7"/>
  <c r="E268" i="7" s="1"/>
  <c r="C270" i="7" l="1"/>
  <c r="D269" i="7"/>
  <c r="F269" i="7" s="1"/>
  <c r="F268" i="7"/>
  <c r="E269" i="7" l="1"/>
  <c r="C271" i="7"/>
  <c r="D270" i="7"/>
  <c r="E270" i="7" s="1"/>
  <c r="C272" i="7" l="1"/>
  <c r="D271" i="7"/>
  <c r="F271" i="7" s="1"/>
  <c r="F270" i="7"/>
  <c r="E271" i="7" l="1"/>
  <c r="C273" i="7"/>
  <c r="D272" i="7"/>
  <c r="E272" i="7" s="1"/>
  <c r="C274" i="7" l="1"/>
  <c r="D273" i="7"/>
  <c r="F273" i="7" s="1"/>
  <c r="F272" i="7"/>
  <c r="E273" i="7" l="1"/>
  <c r="C275" i="7"/>
  <c r="D274" i="7"/>
  <c r="F274" i="7" s="1"/>
  <c r="E274" i="7" l="1"/>
  <c r="C276" i="7"/>
  <c r="D275" i="7"/>
  <c r="E275" i="7" s="1"/>
  <c r="F275" i="7" l="1"/>
  <c r="C277" i="7"/>
  <c r="D276" i="7"/>
  <c r="F276" i="7" s="1"/>
  <c r="C278" i="7" l="1"/>
  <c r="D277" i="7"/>
  <c r="E277" i="7" s="1"/>
  <c r="E276" i="7"/>
  <c r="F277" i="7" l="1"/>
  <c r="C279" i="7"/>
  <c r="D278" i="7"/>
  <c r="F278" i="7" s="1"/>
  <c r="E278" i="7" l="1"/>
  <c r="C280" i="7"/>
  <c r="D279" i="7"/>
  <c r="E279" i="7" s="1"/>
  <c r="C281" i="7" l="1"/>
  <c r="D280" i="7"/>
  <c r="F280" i="7" s="1"/>
  <c r="F279" i="7"/>
  <c r="E280" i="7" l="1"/>
  <c r="C282" i="7"/>
  <c r="D281" i="7"/>
  <c r="E281" i="7" s="1"/>
  <c r="C283" i="7" l="1"/>
  <c r="D282" i="7"/>
  <c r="F282" i="7" s="1"/>
  <c r="F281" i="7"/>
  <c r="E282" i="7" s="1"/>
  <c r="C284" i="7" l="1"/>
  <c r="D283" i="7"/>
  <c r="E283" i="7" l="1"/>
  <c r="F283" i="7"/>
  <c r="C285" i="7"/>
  <c r="D284" i="7"/>
  <c r="F284" i="7" s="1"/>
  <c r="E284" i="7" l="1"/>
  <c r="C286" i="7"/>
  <c r="D285" i="7"/>
  <c r="E285" i="7" s="1"/>
  <c r="C287" i="7" l="1"/>
  <c r="D286" i="7"/>
  <c r="F286" i="7" s="1"/>
  <c r="F285" i="7"/>
  <c r="E286" i="7" l="1"/>
  <c r="C288" i="7"/>
  <c r="D287" i="7"/>
  <c r="E287" i="7" s="1"/>
  <c r="C289" i="7" l="1"/>
  <c r="D288" i="7"/>
  <c r="F288" i="7" s="1"/>
  <c r="F287" i="7"/>
  <c r="E288" i="7" l="1"/>
  <c r="C290" i="7"/>
  <c r="D289" i="7"/>
  <c r="F289" i="7" s="1"/>
  <c r="C291" i="7" l="1"/>
  <c r="D290" i="7"/>
  <c r="E290" i="7" s="1"/>
  <c r="E289" i="7"/>
  <c r="C292" i="7" l="1"/>
  <c r="D291" i="7"/>
  <c r="F291" i="7" s="1"/>
  <c r="F290" i="7"/>
  <c r="E291" i="7" l="1"/>
  <c r="C293" i="7"/>
  <c r="D292" i="7"/>
  <c r="E292" i="7" s="1"/>
  <c r="C294" i="7" l="1"/>
  <c r="D293" i="7"/>
  <c r="F293" i="7" s="1"/>
  <c r="F292" i="7"/>
  <c r="E293" i="7" l="1"/>
  <c r="C295" i="7"/>
  <c r="D294" i="7"/>
  <c r="E294" i="7" s="1"/>
  <c r="F294" i="7" l="1"/>
  <c r="C296" i="7"/>
  <c r="D295" i="7"/>
  <c r="F295" i="7" s="1"/>
  <c r="C297" i="7" l="1"/>
  <c r="D296" i="7"/>
  <c r="E296" i="7" s="1"/>
  <c r="E295" i="7"/>
  <c r="F296" i="7" l="1"/>
  <c r="C298" i="7"/>
  <c r="D297" i="7"/>
  <c r="F297" i="7" s="1"/>
  <c r="C299" i="7" l="1"/>
  <c r="D298" i="7"/>
  <c r="F298" i="7" s="1"/>
  <c r="E297" i="7"/>
  <c r="E298" i="7" l="1"/>
  <c r="C300" i="7"/>
  <c r="D299" i="7"/>
  <c r="F299" i="7" s="1"/>
  <c r="C301" i="7" l="1"/>
  <c r="D300" i="7"/>
  <c r="E300" i="7" s="1"/>
  <c r="E299" i="7"/>
  <c r="C302" i="7" l="1"/>
  <c r="D301" i="7"/>
  <c r="F301" i="7" s="1"/>
  <c r="F300" i="7"/>
  <c r="E301" i="7" l="1"/>
  <c r="C303" i="7"/>
  <c r="D302" i="7"/>
  <c r="F302" i="7" s="1"/>
  <c r="E302" i="7" l="1"/>
  <c r="C304" i="7"/>
  <c r="D303" i="7"/>
  <c r="F303" i="7" s="1"/>
  <c r="E303" i="7" l="1"/>
  <c r="C305" i="7"/>
  <c r="D304" i="7"/>
  <c r="F304" i="7" s="1"/>
  <c r="E304" i="7" l="1"/>
  <c r="C306" i="7"/>
  <c r="D305" i="7"/>
  <c r="F305" i="7" s="1"/>
  <c r="C307" i="7" l="1"/>
  <c r="D306" i="7"/>
  <c r="E306" i="7" s="1"/>
  <c r="E305" i="7"/>
  <c r="C308" i="7" l="1"/>
  <c r="D307" i="7"/>
  <c r="F307" i="7" s="1"/>
  <c r="F306" i="7"/>
  <c r="E307" i="7" l="1"/>
  <c r="C309" i="7"/>
  <c r="D308" i="7"/>
  <c r="F308" i="7" s="1"/>
  <c r="C310" i="7" l="1"/>
  <c r="D309" i="7"/>
  <c r="E309" i="7" s="1"/>
  <c r="E308" i="7"/>
  <c r="C311" i="7" l="1"/>
  <c r="D310" i="7"/>
  <c r="F310" i="7" s="1"/>
  <c r="F309" i="7"/>
  <c r="E310" i="7" s="1"/>
  <c r="C312" i="7" l="1"/>
  <c r="D311" i="7"/>
  <c r="E311" i="7" l="1"/>
  <c r="C313" i="7"/>
  <c r="D312" i="7"/>
  <c r="F312" i="7" s="1"/>
  <c r="F311" i="7"/>
  <c r="E312" i="7" l="1"/>
  <c r="C314" i="7"/>
  <c r="D313" i="7"/>
  <c r="E313" i="7" s="1"/>
  <c r="C315" i="7" l="1"/>
  <c r="D314" i="7"/>
  <c r="F314" i="7" s="1"/>
  <c r="F313" i="7"/>
  <c r="E314" i="7" l="1"/>
  <c r="C316" i="7"/>
  <c r="D315" i="7"/>
  <c r="E315" i="7" s="1"/>
  <c r="F315" i="7" l="1"/>
  <c r="C317" i="7"/>
  <c r="D316" i="7"/>
  <c r="F316" i="7" s="1"/>
  <c r="E316" i="7" l="1"/>
  <c r="C318" i="7"/>
  <c r="D317" i="7"/>
  <c r="E317" i="7" s="1"/>
  <c r="F317" i="7" l="1"/>
  <c r="C319" i="7"/>
  <c r="D318" i="7"/>
  <c r="F318" i="7" s="1"/>
  <c r="E318" i="7" l="1"/>
  <c r="C320" i="7"/>
  <c r="D319" i="7"/>
  <c r="E319" i="7" s="1"/>
  <c r="C321" i="7" l="1"/>
  <c r="D320" i="7"/>
  <c r="F320" i="7" s="1"/>
  <c r="F319" i="7"/>
  <c r="E320" i="7" l="1"/>
  <c r="C322" i="7"/>
  <c r="D321" i="7"/>
  <c r="E321" i="7" s="1"/>
  <c r="F321" i="7" l="1"/>
  <c r="C323" i="7"/>
  <c r="D322" i="7"/>
  <c r="F322" i="7" s="1"/>
  <c r="E322" i="7" l="1"/>
  <c r="C324" i="7"/>
  <c r="D323" i="7"/>
  <c r="E323" i="7" s="1"/>
  <c r="F323" i="7" l="1"/>
  <c r="C325" i="7"/>
  <c r="D324" i="7"/>
  <c r="F324" i="7" s="1"/>
  <c r="E324" i="7" l="1"/>
  <c r="C326" i="7"/>
  <c r="D325" i="7"/>
  <c r="E325" i="7" s="1"/>
  <c r="F325" i="7" l="1"/>
  <c r="C327" i="7"/>
  <c r="D326" i="7"/>
  <c r="F326" i="7" s="1"/>
  <c r="E326" i="7" l="1"/>
  <c r="C328" i="7"/>
  <c r="D327" i="7"/>
  <c r="E327" i="7" s="1"/>
  <c r="C329" i="7" l="1"/>
  <c r="D328" i="7"/>
  <c r="F328" i="7" s="1"/>
  <c r="F327" i="7"/>
  <c r="E328" i="7" l="1"/>
  <c r="C330" i="7"/>
  <c r="D329" i="7"/>
  <c r="E329" i="7" s="1"/>
  <c r="F329" i="7" l="1"/>
  <c r="C331" i="7"/>
  <c r="D330" i="7"/>
  <c r="F330" i="7" s="1"/>
  <c r="C332" i="7" l="1"/>
  <c r="D331" i="7"/>
  <c r="E331" i="7" s="1"/>
  <c r="E330" i="7"/>
  <c r="C333" i="7" l="1"/>
  <c r="D332" i="7"/>
  <c r="F332" i="7" s="1"/>
  <c r="F331" i="7"/>
  <c r="E332" i="7" l="1"/>
  <c r="C334" i="7"/>
  <c r="D333" i="7"/>
  <c r="E333" i="7" s="1"/>
  <c r="F333" i="7" l="1"/>
  <c r="C335" i="7"/>
  <c r="D334" i="7"/>
  <c r="E334" i="7" l="1"/>
  <c r="F334" i="7"/>
  <c r="C336" i="7"/>
  <c r="D335" i="7"/>
  <c r="F335" i="7" s="1"/>
  <c r="E335" i="7" l="1"/>
  <c r="C337" i="7"/>
  <c r="D336" i="7"/>
  <c r="E336" i="7" s="1"/>
  <c r="F336" i="7" l="1"/>
  <c r="C338" i="7"/>
  <c r="D337" i="7"/>
  <c r="F337" i="7" s="1"/>
  <c r="E337" i="7" l="1"/>
  <c r="C339" i="7"/>
  <c r="D338" i="7"/>
  <c r="E338" i="7" s="1"/>
  <c r="F338" i="7" l="1"/>
  <c r="C340" i="7"/>
  <c r="D339" i="7"/>
  <c r="F339" i="7" s="1"/>
  <c r="E339" i="7" l="1"/>
  <c r="C341" i="7"/>
  <c r="D340" i="7"/>
  <c r="E340" i="7" s="1"/>
  <c r="F340" i="7" l="1"/>
  <c r="C342" i="7"/>
  <c r="D341" i="7"/>
  <c r="F341" i="7" s="1"/>
  <c r="E341" i="7" l="1"/>
  <c r="C343" i="7"/>
  <c r="D342" i="7"/>
  <c r="E342" i="7" s="1"/>
  <c r="F342" i="7" l="1"/>
  <c r="C344" i="7"/>
  <c r="D343" i="7"/>
  <c r="F343" i="7" s="1"/>
  <c r="E343" i="7" l="1"/>
  <c r="C345" i="7"/>
  <c r="D344" i="7"/>
  <c r="E344" i="7" s="1"/>
  <c r="C346" i="7" l="1"/>
  <c r="D345" i="7"/>
  <c r="F345" i="7" s="1"/>
  <c r="F344" i="7"/>
  <c r="E345" i="7" l="1"/>
  <c r="C347" i="7"/>
  <c r="D346" i="7"/>
  <c r="E346" i="7" l="1"/>
  <c r="C348" i="7"/>
  <c r="D347" i="7"/>
  <c r="F347" i="7" s="1"/>
  <c r="F346" i="7"/>
  <c r="E347" i="7" l="1"/>
  <c r="C349" i="7"/>
  <c r="D348" i="7"/>
  <c r="E348" i="7" s="1"/>
  <c r="C350" i="7" l="1"/>
  <c r="D349" i="7"/>
  <c r="F349" i="7" s="1"/>
  <c r="F348" i="7"/>
  <c r="E349" i="7" l="1"/>
  <c r="C351" i="7"/>
  <c r="D350" i="7"/>
  <c r="E350" i="7" s="1"/>
  <c r="F350" i="7" l="1"/>
  <c r="C352" i="7"/>
  <c r="D351" i="7"/>
  <c r="F351" i="7" s="1"/>
  <c r="E351" i="7" l="1"/>
  <c r="C353" i="7"/>
  <c r="D352" i="7"/>
  <c r="E352" i="7" s="1"/>
  <c r="C354" i="7" l="1"/>
  <c r="D353" i="7"/>
  <c r="F353" i="7" s="1"/>
  <c r="F352" i="7"/>
  <c r="E353" i="7" l="1"/>
  <c r="C355" i="7"/>
  <c r="D354" i="7"/>
  <c r="E354" i="7" s="1"/>
  <c r="C356" i="7" l="1"/>
  <c r="D355" i="7"/>
  <c r="F355" i="7" s="1"/>
  <c r="F354" i="7"/>
  <c r="E355" i="7" l="1"/>
  <c r="C357" i="7"/>
  <c r="D356" i="7"/>
  <c r="F356" i="7" l="1"/>
  <c r="E356" i="7"/>
  <c r="C358" i="7"/>
  <c r="D357" i="7"/>
  <c r="F357" i="7" s="1"/>
  <c r="C359" i="7" l="1"/>
  <c r="D358" i="7"/>
  <c r="F358" i="7" s="1"/>
  <c r="E357" i="7"/>
  <c r="E358" i="7" l="1"/>
  <c r="C360" i="7"/>
  <c r="D359" i="7"/>
  <c r="E359" i="7" s="1"/>
  <c r="F359" i="7" l="1"/>
  <c r="C361" i="7"/>
  <c r="D360" i="7"/>
  <c r="F360" i="7" s="1"/>
  <c r="E360" i="7" l="1"/>
  <c r="C362" i="7"/>
  <c r="D361" i="7"/>
  <c r="E361" i="7" s="1"/>
  <c r="F361" i="7" l="1"/>
  <c r="C363" i="7"/>
  <c r="D362" i="7"/>
  <c r="F362" i="7" s="1"/>
  <c r="E362" i="7" l="1"/>
  <c r="C364" i="7"/>
  <c r="D363" i="7"/>
  <c r="F363" i="7" s="1"/>
  <c r="E363" i="7" l="1"/>
  <c r="C365" i="7"/>
  <c r="D364" i="7"/>
  <c r="F364" i="7" s="1"/>
  <c r="E364" i="7" l="1"/>
  <c r="C366" i="7"/>
  <c r="D365" i="7"/>
  <c r="E365" i="7" s="1"/>
  <c r="F365" i="7" l="1"/>
  <c r="C367" i="7"/>
  <c r="D366" i="7"/>
  <c r="F366" i="7" s="1"/>
  <c r="E366" i="7" l="1"/>
  <c r="C368" i="7"/>
  <c r="D367" i="7"/>
  <c r="E367" i="7" s="1"/>
  <c r="F367" i="7" l="1"/>
  <c r="C369" i="7"/>
  <c r="D368" i="7"/>
  <c r="F368" i="7" s="1"/>
  <c r="C370" i="7" l="1"/>
  <c r="D369" i="7"/>
  <c r="E369" i="7" s="1"/>
  <c r="E368" i="7"/>
  <c r="F369" i="7" l="1"/>
  <c r="C371" i="7"/>
  <c r="D370" i="7"/>
  <c r="F370" i="7" s="1"/>
  <c r="C372" i="7" l="1"/>
  <c r="D371" i="7"/>
  <c r="E371" i="7" s="1"/>
  <c r="E370" i="7"/>
  <c r="C373" i="7" l="1"/>
  <c r="D372" i="7"/>
  <c r="F372" i="7" s="1"/>
  <c r="F371" i="7"/>
  <c r="E372" i="7" l="1"/>
  <c r="C374" i="7"/>
  <c r="D373" i="7"/>
  <c r="E373" i="7" s="1"/>
  <c r="F373" i="7" l="1"/>
  <c r="C375" i="7"/>
  <c r="D374" i="7"/>
  <c r="F374" i="7" s="1"/>
  <c r="E374" i="7" l="1"/>
  <c r="C376" i="7"/>
  <c r="D375" i="7"/>
  <c r="E375" i="7" s="1"/>
  <c r="F375" i="7" l="1"/>
  <c r="C377" i="7"/>
  <c r="D376" i="7"/>
  <c r="F376" i="7" s="1"/>
  <c r="E376" i="7" l="1"/>
  <c r="C378" i="7"/>
  <c r="D377" i="7"/>
  <c r="E377" i="7" s="1"/>
  <c r="C379" i="7" l="1"/>
  <c r="D378" i="7"/>
  <c r="F378" i="7" s="1"/>
  <c r="F377" i="7"/>
  <c r="E378" i="7" l="1"/>
  <c r="C380" i="7"/>
  <c r="D379" i="7"/>
  <c r="E379" i="7" s="1"/>
  <c r="F379" i="7" l="1"/>
  <c r="C381" i="7"/>
  <c r="D380" i="7"/>
  <c r="F380" i="7" s="1"/>
  <c r="C382" i="7" l="1"/>
  <c r="D381" i="7"/>
  <c r="E381" i="7" s="1"/>
  <c r="E380" i="7"/>
  <c r="F381" i="7" l="1"/>
  <c r="C383" i="7"/>
  <c r="D382" i="7"/>
  <c r="F382" i="7" s="1"/>
  <c r="E382" i="7" l="1"/>
  <c r="C384" i="7"/>
  <c r="D383" i="7"/>
  <c r="E383" i="7" s="1"/>
  <c r="C385" i="7" l="1"/>
  <c r="D384" i="7"/>
  <c r="F384" i="7" s="1"/>
  <c r="F383" i="7"/>
  <c r="E384" i="7" l="1"/>
  <c r="C386" i="7"/>
  <c r="D385" i="7"/>
  <c r="E385" i="7" l="1"/>
  <c r="C387" i="7"/>
  <c r="D386" i="7"/>
  <c r="F386" i="7" s="1"/>
  <c r="F385" i="7"/>
  <c r="E386" i="7" l="1"/>
  <c r="C388" i="7"/>
  <c r="D387" i="7"/>
  <c r="E387" i="7" l="1"/>
  <c r="C389" i="7"/>
  <c r="D388" i="7"/>
  <c r="F388" i="7" s="1"/>
  <c r="F387" i="7"/>
  <c r="E388" i="7" l="1"/>
  <c r="C390" i="7"/>
  <c r="D389" i="7"/>
  <c r="E389" i="7" l="1"/>
  <c r="C391" i="7"/>
  <c r="D390" i="7"/>
  <c r="F390" i="7" s="1"/>
  <c r="F389" i="7"/>
  <c r="E390" i="7" s="1"/>
  <c r="C392" i="7" l="1"/>
  <c r="D391" i="7"/>
  <c r="E391" i="7" l="1"/>
  <c r="C393" i="7"/>
  <c r="D392" i="7"/>
  <c r="F392" i="7" s="1"/>
  <c r="F391" i="7"/>
  <c r="E392" i="7" s="1"/>
  <c r="C394" i="7" l="1"/>
  <c r="D393" i="7"/>
  <c r="E393" i="7" l="1"/>
  <c r="C395" i="7"/>
  <c r="D394" i="7"/>
  <c r="F394" i="7" s="1"/>
  <c r="F393" i="7"/>
  <c r="E394" i="7" s="1"/>
  <c r="C396" i="7" l="1"/>
  <c r="D395" i="7"/>
  <c r="E395" i="7" l="1"/>
  <c r="C397" i="7"/>
  <c r="D396" i="7"/>
  <c r="F396" i="7" s="1"/>
  <c r="F395" i="7"/>
  <c r="E396" i="7" s="1"/>
  <c r="C398" i="7" l="1"/>
  <c r="D397" i="7"/>
  <c r="E397" i="7" l="1"/>
  <c r="C399" i="7"/>
  <c r="D398" i="7"/>
  <c r="F398" i="7" s="1"/>
  <c r="F397" i="7"/>
  <c r="E398" i="7" l="1"/>
  <c r="C400" i="7"/>
  <c r="D399" i="7"/>
  <c r="E399" i="7" l="1"/>
  <c r="F399" i="7"/>
  <c r="C401" i="7"/>
  <c r="D400" i="7"/>
  <c r="F400" i="7" s="1"/>
  <c r="E400" i="7" l="1"/>
  <c r="C402" i="7"/>
  <c r="D401" i="7"/>
  <c r="E401" i="7" s="1"/>
  <c r="C403" i="7" l="1"/>
  <c r="D402" i="7"/>
  <c r="F402" i="7" s="1"/>
  <c r="F401" i="7"/>
  <c r="E402" i="7" s="1"/>
  <c r="C404" i="7" l="1"/>
  <c r="D403" i="7"/>
  <c r="E403" i="7" l="1"/>
  <c r="C405" i="7"/>
  <c r="D404" i="7"/>
  <c r="F404" i="7" s="1"/>
  <c r="F403" i="7"/>
  <c r="E404" i="7" s="1"/>
  <c r="C406" i="7" l="1"/>
  <c r="D405" i="7"/>
  <c r="E405" i="7" l="1"/>
  <c r="C407" i="7"/>
  <c r="D406" i="7"/>
  <c r="F406" i="7" s="1"/>
  <c r="F405" i="7"/>
  <c r="E406" i="7" l="1"/>
  <c r="C408" i="7"/>
  <c r="D407" i="7"/>
  <c r="E407" i="7" l="1"/>
  <c r="C409" i="7"/>
  <c r="D408" i="7"/>
  <c r="F408" i="7" s="1"/>
  <c r="F407" i="7"/>
  <c r="E408" i="7" s="1"/>
  <c r="C410" i="7" l="1"/>
  <c r="D409" i="7"/>
  <c r="E409" i="7" l="1"/>
  <c r="C411" i="7"/>
  <c r="D410" i="7"/>
  <c r="F410" i="7" s="1"/>
  <c r="F409" i="7"/>
  <c r="E410" i="7" s="1"/>
  <c r="C412" i="7" l="1"/>
  <c r="D411" i="7"/>
  <c r="E411" i="7" l="1"/>
  <c r="F411" i="7"/>
  <c r="C413" i="7"/>
  <c r="D412" i="7"/>
  <c r="F412" i="7" s="1"/>
  <c r="E412" i="7" l="1"/>
  <c r="C414" i="7"/>
  <c r="D413" i="7"/>
  <c r="E413" i="7" s="1"/>
  <c r="F413" i="7" l="1"/>
  <c r="C415" i="7"/>
  <c r="D414" i="7"/>
  <c r="F414" i="7" s="1"/>
  <c r="E414" i="7" l="1"/>
  <c r="C416" i="7"/>
  <c r="D415" i="7"/>
  <c r="E415" i="7" s="1"/>
  <c r="C417" i="7" l="1"/>
  <c r="D416" i="7"/>
  <c r="F416" i="7" s="1"/>
  <c r="F415" i="7"/>
  <c r="E416" i="7" s="1"/>
  <c r="C418" i="7" l="1"/>
  <c r="D417" i="7"/>
  <c r="E417" i="7" l="1"/>
  <c r="F417" i="7"/>
  <c r="C419" i="7"/>
  <c r="D418" i="7"/>
  <c r="F418" i="7" s="1"/>
  <c r="E418" i="7" l="1"/>
  <c r="C420" i="7"/>
  <c r="D419" i="7"/>
  <c r="E419" i="7" s="1"/>
  <c r="F419" i="7" l="1"/>
  <c r="C421" i="7"/>
  <c r="D420" i="7"/>
  <c r="F420" i="7" s="1"/>
  <c r="E420" i="7" l="1"/>
  <c r="C422" i="7"/>
  <c r="D421" i="7"/>
  <c r="E421" i="7" s="1"/>
  <c r="C423" i="7" l="1"/>
  <c r="D422" i="7"/>
  <c r="F422" i="7" s="1"/>
  <c r="F421" i="7"/>
  <c r="E422" i="7" l="1"/>
  <c r="C424" i="7"/>
  <c r="D423" i="7"/>
  <c r="E423" i="7" s="1"/>
  <c r="C425" i="7" l="1"/>
  <c r="D424" i="7"/>
  <c r="F424" i="7" s="1"/>
  <c r="F423" i="7"/>
  <c r="E424" i="7" l="1"/>
  <c r="C426" i="7"/>
  <c r="D425" i="7"/>
  <c r="E425" i="7" s="1"/>
  <c r="C427" i="7" l="1"/>
  <c r="D426" i="7"/>
  <c r="F426" i="7" s="1"/>
  <c r="F425" i="7"/>
  <c r="E426" i="7" l="1"/>
  <c r="C428" i="7"/>
  <c r="D427" i="7"/>
  <c r="E427" i="7" s="1"/>
  <c r="C429" i="7" l="1"/>
  <c r="D428" i="7"/>
  <c r="F428" i="7" s="1"/>
  <c r="F427" i="7"/>
  <c r="E428" i="7" l="1"/>
  <c r="C430" i="7"/>
  <c r="D429" i="7"/>
  <c r="E429" i="7" s="1"/>
  <c r="C431" i="7" l="1"/>
  <c r="D430" i="7"/>
  <c r="F430" i="7" s="1"/>
  <c r="F429" i="7"/>
  <c r="E430" i="7" l="1"/>
  <c r="C432" i="7"/>
  <c r="D431" i="7"/>
  <c r="E431" i="7" s="1"/>
  <c r="C433" i="7" l="1"/>
  <c r="D432" i="7"/>
  <c r="F432" i="7" s="1"/>
  <c r="F431" i="7"/>
  <c r="E432" i="7" l="1"/>
  <c r="C434" i="7"/>
  <c r="D433" i="7"/>
  <c r="E433" i="7" s="1"/>
  <c r="C435" i="7" l="1"/>
  <c r="D434" i="7"/>
  <c r="F434" i="7" s="1"/>
  <c r="F433" i="7"/>
  <c r="E434" i="7" l="1"/>
  <c r="C436" i="7"/>
  <c r="D435" i="7"/>
  <c r="E435" i="7" s="1"/>
  <c r="C437" i="7" l="1"/>
  <c r="D436" i="7"/>
  <c r="F436" i="7" s="1"/>
  <c r="F435" i="7"/>
  <c r="E436" i="7" l="1"/>
  <c r="C438" i="7"/>
  <c r="D437" i="7"/>
  <c r="E437" i="7" s="1"/>
  <c r="C439" i="7" l="1"/>
  <c r="D438" i="7"/>
  <c r="F438" i="7" s="1"/>
  <c r="F437" i="7"/>
  <c r="E438" i="7" l="1"/>
  <c r="C440" i="7"/>
  <c r="D439" i="7"/>
  <c r="E439" i="7" s="1"/>
  <c r="C441" i="7" l="1"/>
  <c r="D440" i="7"/>
  <c r="F440" i="7" s="1"/>
  <c r="F439" i="7"/>
  <c r="E440" i="7" l="1"/>
  <c r="C442" i="7"/>
  <c r="D441" i="7"/>
  <c r="E441" i="7" s="1"/>
  <c r="C443" i="7" l="1"/>
  <c r="D442" i="7"/>
  <c r="F442" i="7" s="1"/>
  <c r="F441" i="7"/>
  <c r="E442" i="7" l="1"/>
  <c r="C444" i="7"/>
  <c r="D443" i="7"/>
  <c r="E443" i="7" s="1"/>
  <c r="C445" i="7" l="1"/>
  <c r="D444" i="7"/>
  <c r="F444" i="7" s="1"/>
  <c r="F443" i="7"/>
  <c r="E444" i="7" l="1"/>
  <c r="C446" i="7"/>
  <c r="D445" i="7"/>
  <c r="E445" i="7" s="1"/>
  <c r="C447" i="7" l="1"/>
  <c r="D446" i="7"/>
  <c r="F446" i="7" s="1"/>
  <c r="F445" i="7"/>
  <c r="E446" i="7" l="1"/>
  <c r="C448" i="7"/>
  <c r="D447" i="7"/>
  <c r="E447" i="7" s="1"/>
  <c r="F447" i="7" l="1"/>
  <c r="C449" i="7"/>
  <c r="D448" i="7"/>
  <c r="F448" i="7" s="1"/>
  <c r="E448" i="7" l="1"/>
  <c r="C450" i="7"/>
  <c r="D449" i="7"/>
  <c r="E449" i="7" s="1"/>
  <c r="F449" i="7" l="1"/>
  <c r="C451" i="7"/>
  <c r="D450" i="7"/>
  <c r="E450" i="7" l="1"/>
  <c r="F450" i="7"/>
  <c r="C452" i="7"/>
  <c r="D451" i="7"/>
  <c r="F451" i="7" s="1"/>
  <c r="E451" i="7" l="1"/>
  <c r="C453" i="7"/>
  <c r="D452" i="7"/>
  <c r="E452" i="7" s="1"/>
  <c r="C454" i="7" l="1"/>
  <c r="D453" i="7"/>
  <c r="F453" i="7" s="1"/>
  <c r="F452" i="7"/>
  <c r="E453" i="7" l="1"/>
  <c r="C455" i="7"/>
  <c r="D454" i="7"/>
  <c r="E454" i="7" s="1"/>
  <c r="F454" i="7" l="1"/>
  <c r="C456" i="7"/>
  <c r="D455" i="7"/>
  <c r="F455" i="7" s="1"/>
  <c r="E455" i="7" l="1"/>
  <c r="C457" i="7"/>
  <c r="D456" i="7"/>
  <c r="E456" i="7" s="1"/>
  <c r="C458" i="7" l="1"/>
  <c r="D457" i="7"/>
  <c r="F457" i="7" s="1"/>
  <c r="F456" i="7"/>
  <c r="E457" i="7" l="1"/>
  <c r="C459" i="7"/>
  <c r="D458" i="7"/>
  <c r="E458" i="7" s="1"/>
  <c r="C460" i="7" l="1"/>
  <c r="D459" i="7"/>
  <c r="F459" i="7" s="1"/>
  <c r="F458" i="7"/>
  <c r="E459" i="7" l="1"/>
  <c r="C461" i="7"/>
  <c r="D460" i="7"/>
  <c r="E460" i="7" s="1"/>
  <c r="C462" i="7" l="1"/>
  <c r="D461" i="7"/>
  <c r="F461" i="7" s="1"/>
  <c r="F460" i="7"/>
  <c r="E461" i="7" l="1"/>
  <c r="C463" i="7"/>
  <c r="D462" i="7"/>
  <c r="E462" i="7" s="1"/>
  <c r="C464" i="7" l="1"/>
  <c r="D463" i="7"/>
  <c r="F463" i="7" s="1"/>
  <c r="F462" i="7"/>
  <c r="E463" i="7" l="1"/>
  <c r="C465" i="7"/>
  <c r="D464" i="7"/>
  <c r="E464" i="7" s="1"/>
  <c r="C466" i="7" l="1"/>
  <c r="D465" i="7"/>
  <c r="F465" i="7" s="1"/>
  <c r="F464" i="7"/>
  <c r="E465" i="7" l="1"/>
  <c r="C467" i="7"/>
  <c r="D466" i="7"/>
  <c r="E466" i="7" s="1"/>
  <c r="C468" i="7" l="1"/>
  <c r="D467" i="7"/>
  <c r="F467" i="7" s="1"/>
  <c r="F466" i="7"/>
  <c r="E467" i="7" l="1"/>
  <c r="C469" i="7"/>
  <c r="D468" i="7"/>
  <c r="E468" i="7" s="1"/>
  <c r="F468" i="7" l="1"/>
  <c r="C470" i="7"/>
  <c r="D469" i="7"/>
  <c r="F469" i="7" s="1"/>
  <c r="E469" i="7" l="1"/>
  <c r="C471" i="7"/>
  <c r="D470" i="7"/>
  <c r="E470" i="7" s="1"/>
  <c r="C472" i="7" l="1"/>
  <c r="D471" i="7"/>
  <c r="F471" i="7" s="1"/>
  <c r="F470" i="7"/>
  <c r="E471" i="7" l="1"/>
  <c r="C473" i="7"/>
  <c r="D472" i="7"/>
  <c r="E472" i="7" s="1"/>
  <c r="C474" i="7" l="1"/>
  <c r="D473" i="7"/>
  <c r="F473" i="7" s="1"/>
  <c r="F472" i="7"/>
  <c r="E473" i="7" l="1"/>
  <c r="C475" i="7"/>
  <c r="D474" i="7"/>
  <c r="E474" i="7" s="1"/>
  <c r="C476" i="7" l="1"/>
  <c r="D475" i="7"/>
  <c r="F475" i="7" s="1"/>
  <c r="F474" i="7"/>
  <c r="E475" i="7" l="1"/>
  <c r="C477" i="7"/>
  <c r="D476" i="7"/>
  <c r="E476" i="7" s="1"/>
  <c r="C478" i="7" l="1"/>
  <c r="D477" i="7"/>
  <c r="F477" i="7" s="1"/>
  <c r="F476" i="7"/>
  <c r="E477" i="7" l="1"/>
  <c r="C479" i="7"/>
  <c r="D478" i="7"/>
  <c r="E478" i="7" s="1"/>
  <c r="C480" i="7" l="1"/>
  <c r="D479" i="7"/>
  <c r="F479" i="7" s="1"/>
  <c r="F478" i="7"/>
  <c r="E479" i="7" l="1"/>
  <c r="C481" i="7"/>
  <c r="D480" i="7"/>
  <c r="E480" i="7" s="1"/>
  <c r="C482" i="7" l="1"/>
  <c r="D481" i="7"/>
  <c r="F481" i="7" s="1"/>
  <c r="F480" i="7"/>
  <c r="E481" i="7" l="1"/>
  <c r="C483" i="7"/>
  <c r="D482" i="7"/>
  <c r="E482" i="7" s="1"/>
  <c r="C484" i="7" l="1"/>
  <c r="D483" i="7"/>
  <c r="F483" i="7" s="1"/>
  <c r="F482" i="7"/>
  <c r="E483" i="7" l="1"/>
  <c r="C485" i="7"/>
  <c r="D484" i="7"/>
  <c r="E484" i="7" s="1"/>
  <c r="F484" i="7" l="1"/>
  <c r="C486" i="7"/>
  <c r="D485" i="7"/>
  <c r="F485" i="7" s="1"/>
  <c r="E485" i="7" l="1"/>
  <c r="C487" i="7"/>
  <c r="D486" i="7"/>
  <c r="E486" i="7" s="1"/>
  <c r="F486" i="7" l="1"/>
  <c r="C488" i="7"/>
  <c r="D487" i="7"/>
  <c r="E487" i="7" l="1"/>
  <c r="F487" i="7"/>
  <c r="C489" i="7"/>
  <c r="D488" i="7"/>
  <c r="F488" i="7" s="1"/>
  <c r="E488" i="7" l="1"/>
  <c r="C490" i="7"/>
  <c r="D489" i="7"/>
  <c r="E489" i="7" s="1"/>
  <c r="F489" i="7" l="1"/>
  <c r="C491" i="7"/>
  <c r="D490" i="7"/>
  <c r="F490" i="7" s="1"/>
  <c r="C492" i="7" l="1"/>
  <c r="D491" i="7"/>
  <c r="E491" i="7" s="1"/>
  <c r="E490" i="7"/>
  <c r="F491" i="7" l="1"/>
  <c r="C493" i="7"/>
  <c r="D492" i="7"/>
  <c r="F492" i="7" s="1"/>
  <c r="E492" i="7" l="1"/>
  <c r="C494" i="7"/>
  <c r="D493" i="7"/>
  <c r="E493" i="7" s="1"/>
  <c r="F493" i="7" l="1"/>
  <c r="C495" i="7"/>
  <c r="D494" i="7"/>
  <c r="F494" i="7" s="1"/>
  <c r="E494" i="7" l="1"/>
  <c r="C496" i="7"/>
  <c r="D495" i="7"/>
  <c r="E495" i="7" s="1"/>
  <c r="C497" i="7" l="1"/>
  <c r="D496" i="7"/>
  <c r="F496" i="7" s="1"/>
  <c r="F495" i="7"/>
  <c r="E496" i="7" l="1"/>
  <c r="C498" i="7"/>
  <c r="D497" i="7"/>
  <c r="E497" i="7" l="1"/>
  <c r="F497" i="7"/>
  <c r="C499" i="7"/>
  <c r="D498" i="7"/>
  <c r="F498" i="7" s="1"/>
  <c r="E498" i="7" l="1"/>
  <c r="C500" i="7"/>
  <c r="D499" i="7"/>
  <c r="E499" i="7" s="1"/>
  <c r="C501" i="7" l="1"/>
  <c r="D500" i="7"/>
  <c r="F500" i="7" s="1"/>
  <c r="F499" i="7"/>
  <c r="E500" i="7" s="1"/>
  <c r="C502" i="7" l="1"/>
  <c r="D501" i="7"/>
  <c r="E501" i="7" l="1"/>
  <c r="F501" i="7"/>
  <c r="C503" i="7"/>
  <c r="D502" i="7"/>
  <c r="F502" i="7" s="1"/>
  <c r="E502" i="7" l="1"/>
  <c r="C504" i="7"/>
  <c r="D503" i="7"/>
  <c r="E503" i="7" s="1"/>
  <c r="C505" i="7" l="1"/>
  <c r="D504" i="7"/>
  <c r="F504" i="7" s="1"/>
  <c r="F503" i="7"/>
  <c r="E504" i="7" s="1"/>
  <c r="C506" i="7" l="1"/>
  <c r="D505" i="7"/>
  <c r="E505" i="7" l="1"/>
  <c r="C507" i="7"/>
  <c r="D506" i="7"/>
  <c r="F506" i="7" s="1"/>
  <c r="F505" i="7"/>
  <c r="E506" i="7" s="1"/>
  <c r="C508" i="7" l="1"/>
  <c r="D507" i="7"/>
  <c r="E507" i="7" l="1"/>
  <c r="F507" i="7"/>
  <c r="C509" i="7"/>
  <c r="D508" i="7"/>
  <c r="F508" i="7" s="1"/>
  <c r="E508" i="7" l="1"/>
  <c r="C510" i="7"/>
  <c r="D509" i="7"/>
  <c r="E509" i="7" s="1"/>
  <c r="C511" i="7" l="1"/>
  <c r="D510" i="7"/>
  <c r="F510" i="7" s="1"/>
  <c r="F509" i="7"/>
  <c r="E510" i="7" s="1"/>
  <c r="C512" i="7" l="1"/>
  <c r="D511" i="7"/>
  <c r="E511" i="7" l="1"/>
  <c r="F511" i="7"/>
  <c r="C513" i="7"/>
  <c r="D512" i="7"/>
  <c r="F512" i="7" s="1"/>
  <c r="E512" i="7" l="1"/>
  <c r="C514" i="7"/>
  <c r="D513" i="7"/>
  <c r="E513" i="7" s="1"/>
  <c r="C515" i="7" l="1"/>
  <c r="D514" i="7"/>
  <c r="F514" i="7" s="1"/>
  <c r="F513" i="7"/>
  <c r="E514" i="7" s="1"/>
  <c r="C516" i="7" l="1"/>
  <c r="D515" i="7"/>
  <c r="E515" i="7" s="1"/>
  <c r="C517" i="7" l="1"/>
  <c r="D516" i="7"/>
  <c r="F516" i="7" s="1"/>
  <c r="F515" i="7"/>
  <c r="E516" i="7" l="1"/>
  <c r="C518" i="7"/>
  <c r="D517" i="7"/>
  <c r="E517" i="7" s="1"/>
  <c r="C519" i="7" l="1"/>
  <c r="D518" i="7"/>
  <c r="F518" i="7" s="1"/>
  <c r="F517" i="7"/>
  <c r="E518" i="7" l="1"/>
  <c r="C520" i="7"/>
  <c r="D519" i="7"/>
  <c r="E519" i="7" s="1"/>
  <c r="C521" i="7" l="1"/>
  <c r="D520" i="7"/>
  <c r="F520" i="7" s="1"/>
  <c r="F519" i="7"/>
  <c r="E520" i="7" l="1"/>
  <c r="C522" i="7"/>
  <c r="D521" i="7"/>
  <c r="E521" i="7" s="1"/>
  <c r="F521" i="7" l="1"/>
  <c r="C523" i="7"/>
  <c r="D522" i="7"/>
  <c r="F522" i="7" s="1"/>
  <c r="E522" i="7" l="1"/>
  <c r="C524" i="7"/>
  <c r="D523" i="7"/>
  <c r="E523" i="7" s="1"/>
  <c r="C525" i="7" l="1"/>
  <c r="D524" i="7"/>
  <c r="F524" i="7" s="1"/>
  <c r="F523" i="7"/>
  <c r="E524" i="7" l="1"/>
  <c r="C526" i="7"/>
  <c r="D525" i="7"/>
  <c r="E525" i="7" s="1"/>
  <c r="F525" i="7" l="1"/>
  <c r="C527" i="7"/>
  <c r="D526" i="7"/>
  <c r="F526" i="7" s="1"/>
  <c r="C528" i="7" l="1"/>
  <c r="D527" i="7"/>
  <c r="E527" i="7" s="1"/>
  <c r="E526" i="7"/>
  <c r="C529" i="7" l="1"/>
  <c r="D528" i="7"/>
  <c r="F528" i="7" s="1"/>
  <c r="F527" i="7"/>
  <c r="E528" i="7" l="1"/>
  <c r="C530" i="7"/>
  <c r="D529" i="7"/>
  <c r="E529" i="7" s="1"/>
  <c r="C531" i="7" l="1"/>
  <c r="D530" i="7"/>
  <c r="F530" i="7" s="1"/>
  <c r="F529" i="7"/>
  <c r="E530" i="7" l="1"/>
  <c r="C532" i="7"/>
  <c r="D531" i="7"/>
  <c r="E531" i="7" s="1"/>
  <c r="C533" i="7" l="1"/>
  <c r="D532" i="7"/>
  <c r="F532" i="7" s="1"/>
  <c r="F531" i="7"/>
  <c r="E532" i="7" l="1"/>
  <c r="C534" i="7"/>
  <c r="D533" i="7"/>
  <c r="E533" i="7" s="1"/>
  <c r="C535" i="7" l="1"/>
  <c r="D534" i="7"/>
  <c r="F534" i="7" s="1"/>
  <c r="F533" i="7"/>
  <c r="E534" i="7" l="1"/>
  <c r="C536" i="7"/>
  <c r="D535" i="7"/>
  <c r="E535" i="7" s="1"/>
  <c r="C537" i="7" l="1"/>
  <c r="D536" i="7"/>
  <c r="F536" i="7" s="1"/>
  <c r="F535" i="7"/>
  <c r="E536" i="7" l="1"/>
  <c r="C538" i="7"/>
  <c r="D537" i="7"/>
  <c r="E537" i="7" s="1"/>
  <c r="C539" i="7" l="1"/>
  <c r="D538" i="7"/>
  <c r="F538" i="7" s="1"/>
  <c r="F537" i="7"/>
  <c r="E538" i="7" l="1"/>
  <c r="C540" i="7"/>
  <c r="D539" i="7"/>
  <c r="E539" i="7" s="1"/>
  <c r="C541" i="7" l="1"/>
  <c r="D540" i="7"/>
  <c r="F540" i="7" s="1"/>
  <c r="F539" i="7"/>
  <c r="E540" i="7" l="1"/>
  <c r="C542" i="7"/>
  <c r="D541" i="7"/>
  <c r="E541" i="7" s="1"/>
  <c r="F541" i="7" l="1"/>
  <c r="C543" i="7"/>
  <c r="D542" i="7"/>
  <c r="F542" i="7" s="1"/>
  <c r="E542" i="7" l="1"/>
  <c r="C544" i="7"/>
  <c r="D543" i="7"/>
  <c r="E543" i="7" s="1"/>
  <c r="C545" i="7" l="1"/>
  <c r="D544" i="7"/>
  <c r="F544" i="7" s="1"/>
  <c r="F543" i="7"/>
  <c r="E544" i="7" l="1"/>
  <c r="C546" i="7"/>
  <c r="D545" i="7"/>
  <c r="E545" i="7" s="1"/>
  <c r="C547" i="7" l="1"/>
  <c r="D546" i="7"/>
  <c r="F546" i="7" s="1"/>
  <c r="F545" i="7"/>
  <c r="E546" i="7" l="1"/>
  <c r="C548" i="7"/>
  <c r="D547" i="7"/>
  <c r="E547" i="7" s="1"/>
  <c r="F547" i="7" l="1"/>
  <c r="C549" i="7"/>
  <c r="D548" i="7"/>
  <c r="E548" i="7" l="1"/>
  <c r="C550" i="7"/>
  <c r="D549" i="7"/>
  <c r="F549" i="7" s="1"/>
  <c r="F548" i="7"/>
  <c r="E549" i="7" l="1"/>
  <c r="C551" i="7"/>
  <c r="D550" i="7"/>
  <c r="E550" i="7" s="1"/>
  <c r="C552" i="7" l="1"/>
  <c r="D551" i="7"/>
  <c r="F551" i="7" s="1"/>
  <c r="F550" i="7"/>
  <c r="E551" i="7" l="1"/>
  <c r="C553" i="7"/>
  <c r="D552" i="7"/>
  <c r="E552" i="7" s="1"/>
  <c r="F552" i="7" l="1"/>
  <c r="C554" i="7"/>
  <c r="D553" i="7"/>
  <c r="F553" i="7" s="1"/>
  <c r="E553" i="7" l="1"/>
  <c r="C555" i="7"/>
  <c r="D554" i="7"/>
  <c r="E554" i="7" s="1"/>
  <c r="C556" i="7" l="1"/>
  <c r="D555" i="7"/>
  <c r="F555" i="7" s="1"/>
  <c r="F554" i="7"/>
  <c r="E555" i="7" l="1"/>
  <c r="C557" i="7"/>
  <c r="D556" i="7"/>
  <c r="E556" i="7" s="1"/>
  <c r="C558" i="7" l="1"/>
  <c r="D557" i="7"/>
  <c r="F557" i="7" s="1"/>
  <c r="F556" i="7"/>
  <c r="E557" i="7" l="1"/>
  <c r="C559" i="7"/>
  <c r="D558" i="7"/>
  <c r="E558" i="7" s="1"/>
  <c r="C560" i="7" l="1"/>
  <c r="D559" i="7"/>
  <c r="F559" i="7" s="1"/>
  <c r="F558" i="7"/>
  <c r="E559" i="7" l="1"/>
  <c r="C561" i="7"/>
  <c r="D560" i="7"/>
  <c r="E560" i="7" s="1"/>
  <c r="C562" i="7" l="1"/>
  <c r="D561" i="7"/>
  <c r="F561" i="7" s="1"/>
  <c r="F560" i="7"/>
  <c r="E561" i="7" l="1"/>
  <c r="C563" i="7"/>
  <c r="D562" i="7"/>
  <c r="E562" i="7" s="1"/>
  <c r="C564" i="7" l="1"/>
  <c r="D563" i="7"/>
  <c r="F563" i="7" s="1"/>
  <c r="F562" i="7"/>
  <c r="E563" i="7" l="1"/>
  <c r="C565" i="7"/>
  <c r="D564" i="7"/>
  <c r="E564" i="7" s="1"/>
  <c r="C566" i="7" l="1"/>
  <c r="D565" i="7"/>
  <c r="F565" i="7" s="1"/>
  <c r="F564" i="7"/>
  <c r="E565" i="7" l="1"/>
  <c r="C567" i="7"/>
  <c r="D566" i="7"/>
  <c r="E566" i="7" s="1"/>
  <c r="C568" i="7" l="1"/>
  <c r="D567" i="7"/>
  <c r="F567" i="7" s="1"/>
  <c r="F566" i="7"/>
  <c r="E567" i="7" l="1"/>
  <c r="C569" i="7"/>
  <c r="D568" i="7"/>
  <c r="E568" i="7" s="1"/>
  <c r="C570" i="7" l="1"/>
  <c r="D569" i="7"/>
  <c r="F569" i="7" s="1"/>
  <c r="F568" i="7"/>
  <c r="E569" i="7" l="1"/>
  <c r="C571" i="7"/>
  <c r="D570" i="7"/>
  <c r="E570" i="7" s="1"/>
  <c r="C572" i="7" l="1"/>
  <c r="D571" i="7"/>
  <c r="F571" i="7" s="1"/>
  <c r="F570" i="7"/>
  <c r="E571" i="7" l="1"/>
  <c r="C573" i="7"/>
  <c r="D572" i="7"/>
  <c r="E572" i="7" s="1"/>
  <c r="C574" i="7" l="1"/>
  <c r="D573" i="7"/>
  <c r="F573" i="7" s="1"/>
  <c r="F572" i="7"/>
  <c r="E573" i="7" l="1"/>
  <c r="C575" i="7"/>
  <c r="D574" i="7"/>
  <c r="E574" i="7" s="1"/>
  <c r="C576" i="7" l="1"/>
  <c r="D575" i="7"/>
  <c r="F575" i="7" s="1"/>
  <c r="F574" i="7"/>
  <c r="E575" i="7" l="1"/>
  <c r="C577" i="7"/>
  <c r="D576" i="7"/>
  <c r="E576" i="7" s="1"/>
  <c r="C578" i="7" l="1"/>
  <c r="D577" i="7"/>
  <c r="F577" i="7" s="1"/>
  <c r="F576" i="7"/>
  <c r="E577" i="7" l="1"/>
  <c r="C579" i="7"/>
  <c r="D578" i="7"/>
  <c r="E578" i="7" s="1"/>
  <c r="C580" i="7" l="1"/>
  <c r="D579" i="7"/>
  <c r="F579" i="7" s="1"/>
  <c r="F578" i="7"/>
  <c r="E579" i="7" l="1"/>
  <c r="C581" i="7"/>
  <c r="D580" i="7"/>
  <c r="E580" i="7" s="1"/>
  <c r="C582" i="7" l="1"/>
  <c r="D581" i="7"/>
  <c r="F581" i="7" s="1"/>
  <c r="F580" i="7"/>
  <c r="E581" i="7" l="1"/>
  <c r="C583" i="7"/>
  <c r="D582" i="7"/>
  <c r="E582" i="7" s="1"/>
  <c r="C584" i="7" l="1"/>
  <c r="D583" i="7"/>
  <c r="F583" i="7" s="1"/>
  <c r="F582" i="7"/>
  <c r="E583" i="7" l="1"/>
  <c r="C585" i="7"/>
  <c r="D584" i="7"/>
  <c r="E584" i="7" s="1"/>
  <c r="F584" i="7" l="1"/>
  <c r="C586" i="7"/>
  <c r="D585" i="7"/>
  <c r="F585" i="7" s="1"/>
  <c r="E585" i="7" l="1"/>
  <c r="C587" i="7"/>
  <c r="D586" i="7"/>
  <c r="E586" i="7" s="1"/>
  <c r="F586" i="7" l="1"/>
  <c r="C588" i="7"/>
  <c r="D587" i="7"/>
  <c r="F587" i="7" s="1"/>
  <c r="E587" i="7" l="1"/>
  <c r="C589" i="7"/>
  <c r="D588" i="7"/>
  <c r="E588" i="7" s="1"/>
  <c r="F588" i="7" l="1"/>
  <c r="C590" i="7"/>
  <c r="D589" i="7"/>
  <c r="F589" i="7" s="1"/>
  <c r="E589" i="7" l="1"/>
  <c r="C591" i="7"/>
  <c r="D590" i="7"/>
  <c r="E590" i="7" s="1"/>
  <c r="C592" i="7" l="1"/>
  <c r="D591" i="7"/>
  <c r="F591" i="7" s="1"/>
  <c r="F590" i="7"/>
  <c r="E591" i="7" s="1"/>
  <c r="C593" i="7" l="1"/>
  <c r="D592" i="7"/>
  <c r="E592" i="7" l="1"/>
  <c r="C594" i="7"/>
  <c r="D593" i="7"/>
  <c r="F593" i="7" s="1"/>
  <c r="F592" i="7"/>
  <c r="E593" i="7" l="1"/>
  <c r="C595" i="7"/>
  <c r="D594" i="7"/>
  <c r="E594" i="7" l="1"/>
  <c r="C596" i="7"/>
  <c r="D595" i="7"/>
  <c r="F595" i="7" s="1"/>
  <c r="F594" i="7"/>
  <c r="E595" i="7" l="1"/>
  <c r="C597" i="7"/>
  <c r="D596" i="7"/>
  <c r="E596" i="7" l="1"/>
  <c r="F596" i="7"/>
  <c r="C598" i="7"/>
  <c r="D597" i="7"/>
  <c r="F597" i="7" s="1"/>
  <c r="E597" i="7" l="1"/>
  <c r="C599" i="7"/>
  <c r="D598" i="7"/>
  <c r="E598" i="7" s="1"/>
  <c r="F598" i="7" l="1"/>
  <c r="C600" i="7"/>
  <c r="D599" i="7"/>
  <c r="F599" i="7" s="1"/>
  <c r="E599" i="7" l="1"/>
  <c r="C601" i="7"/>
  <c r="D600" i="7"/>
  <c r="E600" i="7" s="1"/>
  <c r="C602" i="7" l="1"/>
  <c r="D601" i="7"/>
  <c r="F601" i="7" s="1"/>
  <c r="F600" i="7"/>
  <c r="E601" i="7" s="1"/>
  <c r="C603" i="7" l="1"/>
  <c r="D602" i="7"/>
  <c r="E602" i="7" l="1"/>
  <c r="F602" i="7"/>
  <c r="C604" i="7"/>
  <c r="D603" i="7"/>
  <c r="F603" i="7" s="1"/>
  <c r="E603" i="7" l="1"/>
  <c r="C605" i="7"/>
  <c r="D604" i="7"/>
  <c r="E604" i="7" s="1"/>
  <c r="C606" i="7" l="1"/>
  <c r="D605" i="7"/>
  <c r="F605" i="7" s="1"/>
  <c r="F604" i="7"/>
  <c r="E605" i="7" l="1"/>
  <c r="C607" i="7"/>
  <c r="D606" i="7"/>
  <c r="E606" i="7" s="1"/>
  <c r="C608" i="7" l="1"/>
  <c r="D607" i="7"/>
  <c r="F607" i="7" s="1"/>
  <c r="F606" i="7"/>
  <c r="E607" i="7" l="1"/>
  <c r="C609" i="7"/>
  <c r="D608" i="7"/>
  <c r="E608" i="7" l="1"/>
  <c r="C610" i="7"/>
  <c r="D609" i="7"/>
  <c r="F609" i="7" s="1"/>
  <c r="F608" i="7"/>
  <c r="E609" i="7" l="1"/>
  <c r="C611" i="7"/>
  <c r="D610" i="7"/>
  <c r="E610" i="7" l="1"/>
  <c r="C612" i="7"/>
  <c r="D611" i="7"/>
  <c r="F611" i="7" s="1"/>
  <c r="F610" i="7"/>
  <c r="E611" i="7" l="1"/>
  <c r="C613" i="7"/>
  <c r="D612" i="7"/>
  <c r="E612" i="7" l="1"/>
  <c r="C614" i="7"/>
  <c r="D613" i="7"/>
  <c r="F613" i="7" s="1"/>
  <c r="F612" i="7"/>
  <c r="E613" i="7" s="1"/>
  <c r="C615" i="7" l="1"/>
  <c r="D614" i="7"/>
  <c r="E614" i="7" l="1"/>
  <c r="F614" i="7"/>
  <c r="C616" i="7"/>
  <c r="D615" i="7"/>
  <c r="F615" i="7" s="1"/>
  <c r="E615" i="7" l="1"/>
  <c r="C617" i="7"/>
  <c r="D616" i="7"/>
  <c r="E616" i="7" s="1"/>
  <c r="C618" i="7" l="1"/>
  <c r="D617" i="7"/>
  <c r="F617" i="7" s="1"/>
  <c r="F616" i="7"/>
  <c r="E617" i="7" s="1"/>
  <c r="C619" i="7" l="1"/>
  <c r="D618" i="7"/>
  <c r="E618" i="7" l="1"/>
  <c r="C620" i="7"/>
  <c r="D619" i="7"/>
  <c r="F619" i="7" s="1"/>
  <c r="F618" i="7"/>
  <c r="E619" i="7" l="1"/>
  <c r="C621" i="7"/>
  <c r="D620" i="7"/>
  <c r="E620" i="7" l="1"/>
  <c r="C622" i="7"/>
  <c r="D621" i="7"/>
  <c r="F621" i="7" s="1"/>
  <c r="F620" i="7"/>
  <c r="E621" i="7" l="1"/>
  <c r="C623" i="7"/>
  <c r="D622" i="7"/>
  <c r="E622" i="7" l="1"/>
  <c r="C624" i="7"/>
  <c r="D623" i="7"/>
  <c r="F623" i="7" s="1"/>
  <c r="F622" i="7"/>
  <c r="E623" i="7" s="1"/>
  <c r="C625" i="7" l="1"/>
  <c r="D624" i="7"/>
  <c r="E624" i="7" l="1"/>
  <c r="C626" i="7"/>
  <c r="D625" i="7"/>
  <c r="F625" i="7" s="1"/>
  <c r="F624" i="7"/>
  <c r="E625" i="7" s="1"/>
  <c r="C627" i="7" l="1"/>
  <c r="D626" i="7"/>
  <c r="E626" i="7" l="1"/>
  <c r="C628" i="7"/>
  <c r="D627" i="7"/>
  <c r="F627" i="7" s="1"/>
  <c r="F626" i="7"/>
  <c r="E627" i="7" s="1"/>
  <c r="C629" i="7" l="1"/>
  <c r="D628" i="7"/>
  <c r="E628" i="7" l="1"/>
  <c r="F628" i="7"/>
  <c r="C630" i="7"/>
  <c r="D629" i="7"/>
  <c r="F629" i="7" s="1"/>
  <c r="E629" i="7" l="1"/>
  <c r="C631" i="7"/>
  <c r="D630" i="7"/>
  <c r="E630" i="7" s="1"/>
  <c r="C632" i="7" l="1"/>
  <c r="D631" i="7"/>
  <c r="F631" i="7" s="1"/>
  <c r="F630" i="7"/>
  <c r="E631" i="7" s="1"/>
  <c r="C633" i="7" l="1"/>
  <c r="D632" i="7"/>
  <c r="E632" i="7" l="1"/>
  <c r="F632" i="7"/>
  <c r="C634" i="7"/>
  <c r="D633" i="7"/>
  <c r="F633" i="7" s="1"/>
  <c r="E633" i="7" l="1"/>
  <c r="C635" i="7"/>
  <c r="D634" i="7"/>
  <c r="E634" i="7" s="1"/>
  <c r="C636" i="7" l="1"/>
  <c r="D635" i="7"/>
  <c r="F635" i="7" s="1"/>
  <c r="F634" i="7"/>
  <c r="E635" i="7" s="1"/>
  <c r="C637" i="7" l="1"/>
  <c r="D636" i="7"/>
  <c r="E636" i="7" l="1"/>
  <c r="C638" i="7"/>
  <c r="D637" i="7"/>
  <c r="F637" i="7" s="1"/>
  <c r="F636" i="7"/>
  <c r="E637" i="7" l="1"/>
  <c r="C639" i="7"/>
  <c r="D638" i="7"/>
  <c r="E638" i="7" l="1"/>
  <c r="F638" i="7"/>
  <c r="C640" i="7"/>
  <c r="D639" i="7"/>
  <c r="F639" i="7" s="1"/>
  <c r="E639" i="7" l="1"/>
  <c r="C641" i="7"/>
  <c r="D640" i="7"/>
  <c r="E640" i="7" s="1"/>
  <c r="C642" i="7" l="1"/>
  <c r="D641" i="7"/>
  <c r="F641" i="7" s="1"/>
  <c r="F640" i="7"/>
  <c r="E641" i="7" s="1"/>
  <c r="C643" i="7" l="1"/>
  <c r="D642" i="7"/>
  <c r="E642" i="7" l="1"/>
  <c r="C644" i="7"/>
  <c r="D643" i="7"/>
  <c r="F643" i="7" s="1"/>
  <c r="F642" i="7"/>
  <c r="E643" i="7" s="1"/>
  <c r="C645" i="7" l="1"/>
  <c r="D644" i="7"/>
  <c r="E644" i="7" l="1"/>
  <c r="C646" i="7"/>
  <c r="D645" i="7"/>
  <c r="F645" i="7" s="1"/>
  <c r="F644" i="7"/>
  <c r="E645" i="7" s="1"/>
  <c r="C647" i="7" l="1"/>
  <c r="D646" i="7"/>
  <c r="E646" i="7" l="1"/>
  <c r="F646" i="7"/>
  <c r="C648" i="7"/>
  <c r="D647" i="7"/>
  <c r="F647" i="7" s="1"/>
  <c r="E647" i="7" l="1"/>
  <c r="C649" i="7"/>
  <c r="D648" i="7"/>
  <c r="E648" i="7" s="1"/>
  <c r="F648" i="7" l="1"/>
  <c r="C650" i="7"/>
  <c r="D649" i="7"/>
  <c r="E649" i="7" l="1"/>
  <c r="F649" i="7"/>
  <c r="C651" i="7"/>
  <c r="D650" i="7"/>
  <c r="F650" i="7" s="1"/>
  <c r="E650" i="7" l="1"/>
  <c r="C652" i="7"/>
  <c r="D651" i="7"/>
  <c r="E651" i="7" s="1"/>
  <c r="C653" i="7" l="1"/>
  <c r="D652" i="7"/>
  <c r="F652" i="7" s="1"/>
  <c r="F651" i="7"/>
  <c r="E652" i="7" l="1"/>
  <c r="C654" i="7"/>
  <c r="D653" i="7"/>
  <c r="E653" i="7" s="1"/>
  <c r="C655" i="7" l="1"/>
  <c r="D654" i="7"/>
  <c r="F654" i="7" s="1"/>
  <c r="F653" i="7"/>
  <c r="E654" i="7" l="1"/>
  <c r="C656" i="7"/>
  <c r="D655" i="7"/>
  <c r="E655" i="7" s="1"/>
  <c r="C657" i="7" l="1"/>
  <c r="D656" i="7"/>
  <c r="F656" i="7" s="1"/>
  <c r="F655" i="7"/>
  <c r="E656" i="7" l="1"/>
  <c r="C658" i="7"/>
  <c r="D657" i="7"/>
  <c r="E657" i="7" s="1"/>
  <c r="F657" i="7" l="1"/>
  <c r="C659" i="7"/>
  <c r="D658" i="7"/>
  <c r="F658" i="7" s="1"/>
  <c r="E658" i="7" l="1"/>
  <c r="C660" i="7"/>
  <c r="D659" i="7"/>
  <c r="E659" i="7" s="1"/>
  <c r="C661" i="7" l="1"/>
  <c r="D660" i="7"/>
  <c r="F660" i="7" s="1"/>
  <c r="F659" i="7"/>
  <c r="E660" i="7" l="1"/>
  <c r="C662" i="7"/>
  <c r="D661" i="7"/>
  <c r="E661" i="7" s="1"/>
  <c r="F661" i="7" l="1"/>
  <c r="C663" i="7"/>
  <c r="D662" i="7"/>
  <c r="F662" i="7" s="1"/>
  <c r="E662" i="7" l="1"/>
  <c r="C664" i="7"/>
  <c r="D663" i="7"/>
  <c r="E663" i="7" s="1"/>
  <c r="C665" i="7" l="1"/>
  <c r="D664" i="7"/>
  <c r="F664" i="7" s="1"/>
  <c r="F663" i="7"/>
  <c r="E664" i="7" l="1"/>
  <c r="C666" i="7"/>
  <c r="D665" i="7"/>
  <c r="E665" i="7" s="1"/>
  <c r="C667" i="7" l="1"/>
  <c r="D666" i="7"/>
  <c r="F666" i="7" s="1"/>
  <c r="F665" i="7"/>
  <c r="E666" i="7" l="1"/>
  <c r="C668" i="7"/>
  <c r="D667" i="7"/>
  <c r="E667" i="7" s="1"/>
  <c r="C669" i="7" l="1"/>
  <c r="D668" i="7"/>
  <c r="F668" i="7" s="1"/>
  <c r="F667" i="7"/>
  <c r="E668" i="7" l="1"/>
  <c r="C670" i="7"/>
  <c r="D669" i="7"/>
  <c r="E669" i="7" s="1"/>
  <c r="C671" i="7" l="1"/>
  <c r="D670" i="7"/>
  <c r="F670" i="7" s="1"/>
  <c r="F669" i="7"/>
  <c r="E670" i="7" l="1"/>
  <c r="C672" i="7"/>
  <c r="D671" i="7"/>
  <c r="E671" i="7" s="1"/>
  <c r="F671" i="7" l="1"/>
  <c r="C673" i="7"/>
  <c r="D672" i="7"/>
  <c r="F672" i="7" s="1"/>
  <c r="E672" i="7" l="1"/>
  <c r="C674" i="7"/>
  <c r="D673" i="7"/>
  <c r="E673" i="7" s="1"/>
  <c r="C675" i="7" l="1"/>
  <c r="D674" i="7"/>
  <c r="F674" i="7" s="1"/>
  <c r="F673" i="7"/>
  <c r="E674" i="7" l="1"/>
  <c r="C676" i="7"/>
  <c r="D675" i="7"/>
  <c r="E675" i="7" s="1"/>
  <c r="F675" i="7" l="1"/>
  <c r="C677" i="7"/>
  <c r="D676" i="7"/>
  <c r="F676" i="7" s="1"/>
  <c r="E676" i="7" l="1"/>
  <c r="C678" i="7"/>
  <c r="D677" i="7"/>
  <c r="E677" i="7" s="1"/>
  <c r="C679" i="7" l="1"/>
  <c r="D678" i="7"/>
  <c r="F678" i="7" s="1"/>
  <c r="F677" i="7"/>
  <c r="E678" i="7" l="1"/>
  <c r="C680" i="7"/>
  <c r="D679" i="7"/>
  <c r="E679" i="7" s="1"/>
  <c r="C681" i="7" l="1"/>
  <c r="D680" i="7"/>
  <c r="F680" i="7" s="1"/>
  <c r="F679" i="7"/>
  <c r="E680" i="7" l="1"/>
  <c r="C682" i="7"/>
  <c r="D681" i="7"/>
  <c r="E681" i="7" s="1"/>
  <c r="C683" i="7" l="1"/>
  <c r="D682" i="7"/>
  <c r="F682" i="7" s="1"/>
  <c r="F681" i="7"/>
  <c r="E682" i="7" l="1"/>
  <c r="C684" i="7"/>
  <c r="D683" i="7"/>
  <c r="E683" i="7" s="1"/>
  <c r="C685" i="7" l="1"/>
  <c r="D684" i="7"/>
  <c r="F684" i="7" s="1"/>
  <c r="F683" i="7"/>
  <c r="E684" i="7" l="1"/>
  <c r="C686" i="7"/>
  <c r="D685" i="7"/>
  <c r="E685" i="7" s="1"/>
  <c r="C687" i="7" l="1"/>
  <c r="D686" i="7"/>
  <c r="F686" i="7" s="1"/>
  <c r="F685" i="7"/>
  <c r="E686" i="7" l="1"/>
  <c r="C688" i="7"/>
  <c r="D687" i="7"/>
  <c r="E687" i="7" s="1"/>
  <c r="C689" i="7" l="1"/>
  <c r="D688" i="7"/>
  <c r="F688" i="7" s="1"/>
  <c r="F687" i="7"/>
  <c r="E688" i="7" l="1"/>
  <c r="C690" i="7"/>
  <c r="D689" i="7"/>
  <c r="E689" i="7" s="1"/>
  <c r="C691" i="7" l="1"/>
  <c r="D690" i="7"/>
  <c r="F690" i="7" s="1"/>
  <c r="F689" i="7"/>
  <c r="E690" i="7" l="1"/>
  <c r="C692" i="7"/>
  <c r="D691" i="7"/>
  <c r="E691" i="7" s="1"/>
  <c r="C693" i="7" l="1"/>
  <c r="D692" i="7"/>
  <c r="F692" i="7" s="1"/>
  <c r="F691" i="7"/>
  <c r="E692" i="7" l="1"/>
  <c r="C694" i="7"/>
  <c r="D693" i="7"/>
  <c r="E693" i="7" s="1"/>
  <c r="C695" i="7" l="1"/>
  <c r="D694" i="7"/>
  <c r="F694" i="7" s="1"/>
  <c r="F693" i="7"/>
  <c r="E694" i="7" l="1"/>
  <c r="C696" i="7"/>
  <c r="D695" i="7"/>
  <c r="E695" i="7" s="1"/>
  <c r="C697" i="7" l="1"/>
  <c r="D696" i="7"/>
  <c r="F696" i="7" s="1"/>
  <c r="F695" i="7"/>
  <c r="E696" i="7" l="1"/>
  <c r="C698" i="7"/>
  <c r="D697" i="7"/>
  <c r="E697" i="7" s="1"/>
  <c r="C699" i="7" l="1"/>
  <c r="D698" i="7"/>
  <c r="F698" i="7" s="1"/>
  <c r="F697" i="7"/>
  <c r="E698" i="7" l="1"/>
  <c r="C700" i="7"/>
  <c r="D699" i="7"/>
  <c r="E699" i="7" s="1"/>
  <c r="C701" i="7" l="1"/>
  <c r="D700" i="7"/>
  <c r="F700" i="7" s="1"/>
  <c r="F699" i="7"/>
  <c r="E700" i="7" l="1"/>
  <c r="C702" i="7"/>
  <c r="D701" i="7"/>
  <c r="E701" i="7" s="1"/>
  <c r="C703" i="7" l="1"/>
  <c r="D702" i="7"/>
  <c r="F702" i="7" s="1"/>
  <c r="F701" i="7"/>
  <c r="E702" i="7" l="1"/>
  <c r="C704" i="7"/>
  <c r="D703" i="7"/>
  <c r="E703" i="7" s="1"/>
  <c r="C705" i="7" l="1"/>
  <c r="D704" i="7"/>
  <c r="F704" i="7" s="1"/>
  <c r="F703" i="7"/>
  <c r="E704" i="7" l="1"/>
  <c r="C706" i="7"/>
  <c r="D705" i="7"/>
  <c r="E705" i="7" s="1"/>
  <c r="C707" i="7" l="1"/>
  <c r="D706" i="7"/>
  <c r="F706" i="7" s="1"/>
  <c r="F705" i="7"/>
  <c r="E706" i="7" l="1"/>
  <c r="C708" i="7"/>
  <c r="D707" i="7"/>
  <c r="E707" i="7" s="1"/>
  <c r="F707" i="7" l="1"/>
  <c r="C709" i="7"/>
  <c r="D708" i="7"/>
  <c r="F708" i="7" s="1"/>
  <c r="C710" i="7" l="1"/>
  <c r="D709" i="7"/>
  <c r="E709" i="7" s="1"/>
  <c r="E708" i="7"/>
  <c r="C711" i="7" l="1"/>
  <c r="D710" i="7"/>
  <c r="F710" i="7" s="1"/>
  <c r="F709" i="7"/>
  <c r="E710" i="7" l="1"/>
  <c r="C712" i="7"/>
  <c r="D711" i="7"/>
  <c r="E711" i="7" s="1"/>
  <c r="C713" i="7" l="1"/>
  <c r="D712" i="7"/>
  <c r="F712" i="7" s="1"/>
  <c r="F711" i="7"/>
  <c r="E712" i="7" l="1"/>
  <c r="C714" i="7"/>
  <c r="D713" i="7"/>
  <c r="E713" i="7" s="1"/>
  <c r="C715" i="7" l="1"/>
  <c r="D714" i="7"/>
  <c r="F714" i="7" s="1"/>
  <c r="F713" i="7"/>
  <c r="E714" i="7" l="1"/>
  <c r="C716" i="7"/>
  <c r="D715" i="7"/>
  <c r="E715" i="7" s="1"/>
  <c r="C717" i="7" l="1"/>
  <c r="D716" i="7"/>
  <c r="F716" i="7" s="1"/>
  <c r="F715" i="7"/>
  <c r="E716" i="7" l="1"/>
  <c r="C718" i="7"/>
  <c r="D717" i="7"/>
  <c r="E717" i="7" s="1"/>
  <c r="C719" i="7" l="1"/>
  <c r="D718" i="7"/>
  <c r="F718" i="7" s="1"/>
  <c r="F717" i="7"/>
  <c r="E718" i="7" l="1"/>
  <c r="C720" i="7"/>
  <c r="D719" i="7"/>
  <c r="E719" i="7" s="1"/>
  <c r="C721" i="7" l="1"/>
  <c r="D720" i="7"/>
  <c r="F720" i="7" s="1"/>
  <c r="F719" i="7"/>
  <c r="E720" i="7" l="1"/>
  <c r="C722" i="7"/>
  <c r="D721" i="7"/>
  <c r="E721" i="7" s="1"/>
  <c r="C723" i="7" l="1"/>
  <c r="D722" i="7"/>
  <c r="F722" i="7" s="1"/>
  <c r="F721" i="7"/>
  <c r="E722" i="7" l="1"/>
  <c r="C724" i="7"/>
  <c r="D723" i="7"/>
  <c r="E723" i="7" s="1"/>
  <c r="C725" i="7" l="1"/>
  <c r="D724" i="7"/>
  <c r="F724" i="7" s="1"/>
  <c r="F723" i="7"/>
  <c r="E724" i="7" l="1"/>
  <c r="C726" i="7"/>
  <c r="D725" i="7"/>
  <c r="E725" i="7" s="1"/>
  <c r="C727" i="7" l="1"/>
  <c r="D726" i="7"/>
  <c r="F726" i="7" s="1"/>
  <c r="F725" i="7"/>
  <c r="E726" i="7" l="1"/>
  <c r="C728" i="7"/>
  <c r="D727" i="7"/>
  <c r="E727" i="7" s="1"/>
  <c r="C729" i="7" l="1"/>
  <c r="D728" i="7"/>
  <c r="F728" i="7" s="1"/>
  <c r="F727" i="7"/>
  <c r="E728" i="7" s="1"/>
  <c r="C730" i="7" l="1"/>
  <c r="D729" i="7"/>
  <c r="E729" i="7" l="1"/>
  <c r="C731" i="7"/>
  <c r="D730" i="7"/>
  <c r="F730" i="7" s="1"/>
  <c r="F729" i="7"/>
  <c r="E730" i="7" l="1"/>
  <c r="C732" i="7"/>
  <c r="D731" i="7"/>
  <c r="E731" i="7" s="1"/>
  <c r="C733" i="7" l="1"/>
  <c r="D732" i="7"/>
  <c r="F732" i="7" s="1"/>
  <c r="F731" i="7"/>
  <c r="E732" i="7" l="1"/>
  <c r="C734" i="7"/>
  <c r="D733" i="7"/>
  <c r="E733" i="7" l="1"/>
  <c r="C735" i="7"/>
  <c r="D734" i="7"/>
  <c r="F734" i="7" s="1"/>
  <c r="F733" i="7"/>
  <c r="E734" i="7" s="1"/>
  <c r="C736" i="7" l="1"/>
  <c r="D735" i="7"/>
  <c r="E735" i="7" l="1"/>
  <c r="F735" i="7"/>
  <c r="C737" i="7"/>
  <c r="D736" i="7"/>
  <c r="E736" i="7" l="1"/>
  <c r="C738" i="7"/>
  <c r="D737" i="7"/>
  <c r="F737" i="7" s="1"/>
  <c r="F736" i="7"/>
  <c r="E737" i="7" l="1"/>
  <c r="C739" i="7"/>
  <c r="D738" i="7"/>
  <c r="E738" i="7" s="1"/>
  <c r="F738" i="7" l="1"/>
  <c r="C740" i="7"/>
  <c r="D739" i="7"/>
  <c r="F739" i="7" s="1"/>
  <c r="E739" i="7" l="1"/>
  <c r="C741" i="7"/>
  <c r="D740" i="7"/>
  <c r="E740" i="7" s="1"/>
  <c r="C742" i="7" l="1"/>
  <c r="D741" i="7"/>
  <c r="F741" i="7" s="1"/>
  <c r="F740" i="7"/>
  <c r="E741" i="7" l="1"/>
  <c r="C743" i="7"/>
  <c r="D742" i="7"/>
  <c r="E742" i="7" s="1"/>
  <c r="F742" i="7" l="1"/>
  <c r="C744" i="7"/>
  <c r="D743" i="7"/>
  <c r="E743" i="7" l="1"/>
  <c r="F743" i="7"/>
  <c r="C745" i="7"/>
  <c r="D744" i="7"/>
  <c r="F744" i="7" s="1"/>
  <c r="E744" i="7" l="1"/>
  <c r="C746" i="7"/>
  <c r="D745" i="7"/>
  <c r="E745" i="7" s="1"/>
  <c r="C747" i="7" l="1"/>
  <c r="D746" i="7"/>
  <c r="F746" i="7" s="1"/>
  <c r="F745" i="7"/>
  <c r="E746" i="7" l="1"/>
  <c r="C748" i="7"/>
  <c r="D747" i="7"/>
  <c r="E747" i="7" l="1"/>
  <c r="C749" i="7"/>
  <c r="D748" i="7"/>
  <c r="F748" i="7" s="1"/>
  <c r="F747" i="7"/>
  <c r="E748" i="7" s="1"/>
  <c r="C750" i="7" l="1"/>
  <c r="D749" i="7"/>
  <c r="E749" i="7" l="1"/>
  <c r="F749" i="7"/>
  <c r="C751" i="7"/>
  <c r="D750" i="7"/>
  <c r="F750" i="7" s="1"/>
  <c r="E750" i="7" l="1"/>
  <c r="C752" i="7"/>
  <c r="D751" i="7"/>
  <c r="E751" i="7" s="1"/>
  <c r="C753" i="7" l="1"/>
  <c r="D752" i="7"/>
  <c r="F752" i="7" s="1"/>
  <c r="F751" i="7"/>
  <c r="E752" i="7" l="1"/>
  <c r="C754" i="7"/>
  <c r="D753" i="7"/>
  <c r="E753" i="7" s="1"/>
  <c r="C755" i="7" l="1"/>
  <c r="D754" i="7"/>
  <c r="F754" i="7" s="1"/>
  <c r="F753" i="7"/>
  <c r="E754" i="7" l="1"/>
  <c r="C756" i="7"/>
  <c r="D755" i="7"/>
  <c r="E755" i="7" l="1"/>
  <c r="C757" i="7"/>
  <c r="D756" i="7"/>
  <c r="F756" i="7" s="1"/>
  <c r="F755" i="7"/>
  <c r="E756" i="7" s="1"/>
  <c r="C758" i="7" l="1"/>
  <c r="D757" i="7"/>
  <c r="E757" i="7" l="1"/>
  <c r="C759" i="7"/>
  <c r="D758" i="7"/>
  <c r="F758" i="7" s="1"/>
  <c r="F757" i="7"/>
  <c r="E758" i="7" l="1"/>
  <c r="C760" i="7"/>
  <c r="D759" i="7"/>
  <c r="E759" i="7" s="1"/>
  <c r="F759" i="7" l="1"/>
  <c r="C761" i="7"/>
  <c r="D760" i="7"/>
  <c r="F760" i="7" s="1"/>
  <c r="E760" i="7" l="1"/>
  <c r="C762" i="7"/>
  <c r="D761" i="7"/>
  <c r="E761" i="7" s="1"/>
  <c r="C763" i="7" l="1"/>
  <c r="D762" i="7"/>
  <c r="F762" i="7" s="1"/>
  <c r="F761" i="7"/>
  <c r="E762" i="7" l="1"/>
  <c r="C764" i="7"/>
  <c r="D763" i="7"/>
  <c r="E763" i="7" s="1"/>
  <c r="C765" i="7" l="1"/>
  <c r="D764" i="7"/>
  <c r="F764" i="7" s="1"/>
  <c r="F763" i="7"/>
  <c r="E764" i="7" l="1"/>
  <c r="C766" i="7"/>
  <c r="D765" i="7"/>
  <c r="E765" i="7" s="1"/>
  <c r="C767" i="7" l="1"/>
  <c r="D766" i="7"/>
  <c r="F766" i="7" s="1"/>
  <c r="F765" i="7"/>
  <c r="E766" i="7" l="1"/>
  <c r="C768" i="7"/>
  <c r="D767" i="7"/>
  <c r="E767" i="7" s="1"/>
  <c r="F767" i="7" l="1"/>
  <c r="C769" i="7"/>
  <c r="D768" i="7"/>
  <c r="F768" i="7" s="1"/>
  <c r="E768" i="7" l="1"/>
  <c r="C770" i="7"/>
  <c r="D769" i="7"/>
  <c r="E769" i="7" s="1"/>
  <c r="C771" i="7" l="1"/>
  <c r="D770" i="7"/>
  <c r="F770" i="7" s="1"/>
  <c r="F769" i="7"/>
  <c r="E770" i="7" l="1"/>
  <c r="C772" i="7"/>
  <c r="D771" i="7"/>
  <c r="E771" i="7" s="1"/>
  <c r="C773" i="7" l="1"/>
  <c r="D772" i="7"/>
  <c r="F772" i="7" s="1"/>
  <c r="F771" i="7"/>
  <c r="E772" i="7" l="1"/>
  <c r="C774" i="7"/>
  <c r="D773" i="7"/>
  <c r="E773" i="7" s="1"/>
  <c r="C775" i="7" l="1"/>
  <c r="D774" i="7"/>
  <c r="F774" i="7" s="1"/>
  <c r="F773" i="7"/>
  <c r="E774" i="7" l="1"/>
  <c r="C776" i="7"/>
  <c r="D775" i="7"/>
  <c r="E775" i="7" s="1"/>
  <c r="C777" i="7" l="1"/>
  <c r="D776" i="7"/>
  <c r="F776" i="7" s="1"/>
  <c r="F775" i="7"/>
  <c r="E776" i="7" l="1"/>
  <c r="C778" i="7"/>
  <c r="D777" i="7"/>
  <c r="E777" i="7" s="1"/>
  <c r="C779" i="7" l="1"/>
  <c r="D778" i="7"/>
  <c r="F778" i="7" s="1"/>
  <c r="F777" i="7"/>
  <c r="E778" i="7" l="1"/>
  <c r="C780" i="7"/>
  <c r="D779" i="7"/>
  <c r="E779" i="7" s="1"/>
  <c r="F779" i="7" l="1"/>
  <c r="C781" i="7"/>
  <c r="D780" i="7"/>
  <c r="F780" i="7" s="1"/>
  <c r="E780" i="7" l="1"/>
  <c r="C782" i="7"/>
  <c r="D781" i="7"/>
  <c r="E781" i="7" s="1"/>
  <c r="C783" i="7" l="1"/>
  <c r="D782" i="7"/>
  <c r="F782" i="7" s="1"/>
  <c r="F781" i="7"/>
  <c r="E782" i="7" l="1"/>
  <c r="C784" i="7"/>
  <c r="D783" i="7"/>
  <c r="E783" i="7" s="1"/>
  <c r="C785" i="7" l="1"/>
  <c r="D784" i="7"/>
  <c r="F784" i="7" s="1"/>
  <c r="F783" i="7"/>
  <c r="E784" i="7" l="1"/>
  <c r="C786" i="7"/>
  <c r="D785" i="7"/>
  <c r="E785" i="7" s="1"/>
  <c r="F785" i="7" l="1"/>
  <c r="C787" i="7"/>
  <c r="D786" i="7"/>
  <c r="F786" i="7" s="1"/>
  <c r="E786" i="7" l="1"/>
  <c r="C788" i="7"/>
  <c r="D787" i="7"/>
  <c r="E787" i="7" s="1"/>
  <c r="F787" i="7" l="1"/>
  <c r="C789" i="7"/>
  <c r="D788" i="7"/>
  <c r="F788" i="7" s="1"/>
  <c r="E788" i="7" l="1"/>
  <c r="C790" i="7"/>
  <c r="D789" i="7"/>
  <c r="E789" i="7" s="1"/>
  <c r="F789" i="7" l="1"/>
  <c r="C791" i="7"/>
  <c r="D790" i="7"/>
  <c r="F790" i="7" s="1"/>
  <c r="E790" i="7" l="1"/>
  <c r="C792" i="7"/>
  <c r="D791" i="7"/>
  <c r="E791" i="7" s="1"/>
  <c r="F791" i="7" l="1"/>
  <c r="C793" i="7"/>
  <c r="D792" i="7"/>
  <c r="F792" i="7" s="1"/>
  <c r="E792" i="7" l="1"/>
  <c r="C794" i="7"/>
  <c r="D793" i="7"/>
  <c r="E793" i="7" s="1"/>
  <c r="C795" i="7" l="1"/>
  <c r="D794" i="7"/>
  <c r="F794" i="7" s="1"/>
  <c r="F793" i="7"/>
  <c r="E794" i="7" l="1"/>
  <c r="C796" i="7"/>
  <c r="D795" i="7"/>
  <c r="E795" i="7" s="1"/>
  <c r="F795" i="7" l="1"/>
  <c r="C797" i="7"/>
  <c r="D796" i="7"/>
  <c r="F796" i="7" s="1"/>
  <c r="E796" i="7" l="1"/>
  <c r="C798" i="7"/>
  <c r="D797" i="7"/>
  <c r="E797" i="7" s="1"/>
  <c r="C799" i="7" l="1"/>
  <c r="D798" i="7"/>
  <c r="F798" i="7" s="1"/>
  <c r="F797" i="7"/>
  <c r="E798" i="7" l="1"/>
  <c r="C800" i="7"/>
  <c r="D799" i="7"/>
  <c r="E799" i="7" s="1"/>
  <c r="C801" i="7" l="1"/>
  <c r="D800" i="7"/>
  <c r="F800" i="7" s="1"/>
  <c r="F799" i="7"/>
  <c r="E800" i="7" l="1"/>
  <c r="C802" i="7"/>
  <c r="D801" i="7"/>
  <c r="E801" i="7" s="1"/>
  <c r="C803" i="7" l="1"/>
  <c r="D802" i="7"/>
  <c r="F802" i="7" s="1"/>
  <c r="F801" i="7"/>
  <c r="E802" i="7" l="1"/>
  <c r="C804" i="7"/>
  <c r="D803" i="7"/>
  <c r="E803" i="7" s="1"/>
  <c r="F803" i="7" l="1"/>
  <c r="C805" i="7"/>
  <c r="D804" i="7"/>
  <c r="E804" i="7" l="1"/>
  <c r="F804" i="7"/>
  <c r="C806" i="7"/>
  <c r="D805" i="7"/>
  <c r="F805" i="7" s="1"/>
  <c r="E805" i="7" l="1"/>
  <c r="C807" i="7"/>
  <c r="D806" i="7"/>
  <c r="E806" i="7" s="1"/>
  <c r="C808" i="7" l="1"/>
  <c r="D807" i="7"/>
  <c r="F807" i="7" s="1"/>
  <c r="F806" i="7"/>
  <c r="E807" i="7" l="1"/>
  <c r="C809" i="7"/>
  <c r="D808" i="7"/>
  <c r="E808" i="7" s="1"/>
  <c r="C810" i="7" l="1"/>
  <c r="D809" i="7"/>
  <c r="F809" i="7" s="1"/>
  <c r="F808" i="7"/>
  <c r="E809" i="7" l="1"/>
  <c r="C811" i="7"/>
  <c r="D810" i="7"/>
  <c r="E810" i="7" l="1"/>
  <c r="C812" i="7"/>
  <c r="D811" i="7"/>
  <c r="F811" i="7" s="1"/>
  <c r="F810" i="7"/>
  <c r="E811" i="7" l="1"/>
  <c r="C813" i="7"/>
  <c r="D812" i="7"/>
  <c r="E812" i="7" l="1"/>
  <c r="F812" i="7"/>
  <c r="C814" i="7"/>
  <c r="D813" i="7"/>
  <c r="F813" i="7" s="1"/>
  <c r="E813" i="7" l="1"/>
  <c r="C815" i="7"/>
  <c r="D814" i="7"/>
  <c r="E814" i="7" s="1"/>
  <c r="C816" i="7" l="1"/>
  <c r="D815" i="7"/>
  <c r="F815" i="7" s="1"/>
  <c r="F814" i="7"/>
  <c r="E815" i="7" s="1"/>
  <c r="C817" i="7" l="1"/>
  <c r="D816" i="7"/>
  <c r="E816" i="7" l="1"/>
  <c r="C818" i="7"/>
  <c r="D817" i="7"/>
  <c r="F817" i="7" s="1"/>
  <c r="F816" i="7"/>
  <c r="E817" i="7" l="1"/>
  <c r="C819" i="7"/>
  <c r="D818" i="7"/>
  <c r="E818" i="7" l="1"/>
  <c r="C820" i="7"/>
  <c r="D819" i="7"/>
  <c r="F819" i="7" s="1"/>
  <c r="F818" i="7"/>
  <c r="E819" i="7" l="1"/>
  <c r="C821" i="7"/>
  <c r="D820" i="7"/>
  <c r="E820" i="7" l="1"/>
  <c r="C822" i="7"/>
  <c r="D821" i="7"/>
  <c r="F821" i="7" s="1"/>
  <c r="F820" i="7"/>
  <c r="E821" i="7" l="1"/>
  <c r="C823" i="7"/>
  <c r="D822" i="7"/>
  <c r="E822" i="7" l="1"/>
  <c r="F822" i="7"/>
  <c r="C824" i="7"/>
  <c r="D823" i="7"/>
  <c r="E823" i="7" l="1"/>
  <c r="C825" i="7"/>
  <c r="D824" i="7"/>
  <c r="F824" i="7" s="1"/>
  <c r="F823" i="7"/>
  <c r="E824" i="7" l="1"/>
  <c r="C826" i="7"/>
  <c r="D825" i="7"/>
  <c r="E825" i="7" l="1"/>
  <c r="C827" i="7"/>
  <c r="D826" i="7"/>
  <c r="F826" i="7" s="1"/>
  <c r="F825" i="7"/>
  <c r="E826" i="7" l="1"/>
  <c r="C828" i="7"/>
  <c r="D827" i="7"/>
  <c r="E827" i="7" l="1"/>
  <c r="F827" i="7"/>
  <c r="C829" i="7"/>
  <c r="D828" i="7"/>
  <c r="F828" i="7" s="1"/>
  <c r="C830" i="7" l="1"/>
  <c r="D829" i="7"/>
  <c r="E829" i="7" s="1"/>
  <c r="E828" i="7"/>
  <c r="C831" i="7" l="1"/>
  <c r="D830" i="7"/>
  <c r="F830" i="7" s="1"/>
  <c r="F829" i="7"/>
  <c r="E830" i="7" s="1"/>
  <c r="C832" i="7" l="1"/>
  <c r="D831" i="7"/>
  <c r="E831" i="7" l="1"/>
  <c r="C833" i="7"/>
  <c r="D832" i="7"/>
  <c r="F832" i="7" s="1"/>
  <c r="F831" i="7"/>
  <c r="E832" i="7" l="1"/>
  <c r="C834" i="7"/>
  <c r="D833" i="7"/>
  <c r="E833" i="7" s="1"/>
  <c r="C835" i="7" l="1"/>
  <c r="D834" i="7"/>
  <c r="F834" i="7" s="1"/>
  <c r="F833" i="7"/>
  <c r="E834" i="7" s="1"/>
  <c r="C836" i="7" l="1"/>
  <c r="D835" i="7"/>
  <c r="E835" i="7" l="1"/>
  <c r="C837" i="7"/>
  <c r="D836" i="7"/>
  <c r="F836" i="7" s="1"/>
  <c r="F835" i="7"/>
  <c r="E836" i="7" s="1"/>
  <c r="C838" i="7" l="1"/>
  <c r="D837" i="7"/>
  <c r="E837" i="7" l="1"/>
  <c r="C839" i="7"/>
  <c r="D838" i="7"/>
  <c r="F838" i="7" s="1"/>
  <c r="F837" i="7"/>
  <c r="E838" i="7" s="1"/>
  <c r="C840" i="7" l="1"/>
  <c r="D839" i="7"/>
  <c r="E839" i="7" l="1"/>
  <c r="C841" i="7"/>
  <c r="D840" i="7"/>
  <c r="F840" i="7" s="1"/>
  <c r="F839" i="7"/>
  <c r="E840" i="7" s="1"/>
  <c r="C842" i="7" l="1"/>
  <c r="D841" i="7"/>
  <c r="E841" i="7" l="1"/>
  <c r="C843" i="7"/>
  <c r="D842" i="7"/>
  <c r="F842" i="7" s="1"/>
  <c r="F841" i="7"/>
  <c r="E842" i="7" l="1"/>
  <c r="C844" i="7"/>
  <c r="D843" i="7"/>
  <c r="E843" i="7" l="1"/>
  <c r="F843" i="7"/>
  <c r="C845" i="7"/>
  <c r="D844" i="7"/>
  <c r="F844" i="7" s="1"/>
  <c r="E844" i="7" l="1"/>
  <c r="C846" i="7"/>
  <c r="D845" i="7"/>
  <c r="E845" i="7" s="1"/>
  <c r="C847" i="7" l="1"/>
  <c r="D846" i="7"/>
  <c r="F846" i="7" s="1"/>
  <c r="F845" i="7"/>
  <c r="E846" i="7" s="1"/>
  <c r="C848" i="7" l="1"/>
  <c r="D847" i="7"/>
  <c r="E847" i="7" l="1"/>
  <c r="C849" i="7"/>
  <c r="D848" i="7"/>
  <c r="F848" i="7" s="1"/>
  <c r="F847" i="7"/>
  <c r="E848" i="7" l="1"/>
  <c r="C850" i="7"/>
  <c r="D849" i="7"/>
  <c r="E849" i="7" l="1"/>
  <c r="F849" i="7"/>
  <c r="C851" i="7"/>
  <c r="D850" i="7"/>
  <c r="F850" i="7" s="1"/>
  <c r="E850" i="7" l="1"/>
  <c r="C852" i="7"/>
  <c r="D851" i="7"/>
  <c r="E851" i="7" s="1"/>
  <c r="F851" i="7" l="1"/>
  <c r="C853" i="7"/>
  <c r="D852" i="7"/>
  <c r="F852" i="7" s="1"/>
  <c r="C854" i="7" l="1"/>
  <c r="D853" i="7"/>
  <c r="E853" i="7" s="1"/>
  <c r="E852" i="7"/>
  <c r="C855" i="7" l="1"/>
  <c r="D854" i="7"/>
  <c r="F854" i="7" s="1"/>
  <c r="F853" i="7"/>
  <c r="E854" i="7" s="1"/>
  <c r="C856" i="7" l="1"/>
  <c r="D855" i="7"/>
  <c r="E855" i="7" l="1"/>
  <c r="C857" i="7"/>
  <c r="D856" i="7"/>
  <c r="F856" i="7" s="1"/>
  <c r="F855" i="7"/>
  <c r="E856" i="7" l="1"/>
  <c r="C858" i="7"/>
  <c r="D857" i="7"/>
  <c r="E857" i="7" l="1"/>
  <c r="F857" i="7"/>
  <c r="C859" i="7"/>
  <c r="D858" i="7"/>
  <c r="F858" i="7" s="1"/>
  <c r="E858" i="7" l="1"/>
  <c r="C860" i="7"/>
  <c r="D859" i="7"/>
  <c r="E859" i="7" s="1"/>
  <c r="C861" i="7" l="1"/>
  <c r="D860" i="7"/>
  <c r="F860" i="7" s="1"/>
  <c r="F859" i="7"/>
  <c r="E860" i="7" l="1"/>
  <c r="C862" i="7"/>
  <c r="D861" i="7"/>
  <c r="E861" i="7" s="1"/>
  <c r="C863" i="7" l="1"/>
  <c r="D862" i="7"/>
  <c r="F862" i="7" s="1"/>
  <c r="F861" i="7"/>
  <c r="E862" i="7" l="1"/>
  <c r="C864" i="7"/>
  <c r="D863" i="7"/>
  <c r="E863" i="7" s="1"/>
  <c r="F863" i="7" l="1"/>
  <c r="C865" i="7"/>
  <c r="D864" i="7"/>
  <c r="F864" i="7" s="1"/>
  <c r="E864" i="7" l="1"/>
  <c r="C866" i="7"/>
  <c r="D865" i="7"/>
  <c r="E865" i="7" s="1"/>
  <c r="F865" i="7" l="1"/>
  <c r="C867" i="7"/>
  <c r="D866" i="7"/>
  <c r="F866" i="7" s="1"/>
  <c r="E866" i="7" l="1"/>
  <c r="C868" i="7"/>
  <c r="D867" i="7"/>
  <c r="E867" i="7" s="1"/>
  <c r="C869" i="7" l="1"/>
  <c r="D868" i="7"/>
  <c r="F868" i="7" s="1"/>
  <c r="F867" i="7"/>
  <c r="E868" i="7" l="1"/>
  <c r="C870" i="7"/>
  <c r="D869" i="7"/>
  <c r="E869" i="7" s="1"/>
  <c r="C871" i="7" l="1"/>
  <c r="D870" i="7"/>
  <c r="F870" i="7" s="1"/>
  <c r="F869" i="7"/>
  <c r="E870" i="7" l="1"/>
  <c r="C872" i="7"/>
  <c r="D871" i="7"/>
  <c r="E871" i="7" s="1"/>
  <c r="F871" i="7" l="1"/>
  <c r="C873" i="7"/>
  <c r="D872" i="7"/>
  <c r="F872" i="7" s="1"/>
  <c r="E872" i="7" l="1"/>
  <c r="C874" i="7"/>
  <c r="D873" i="7"/>
  <c r="E873" i="7" s="1"/>
  <c r="F873" i="7" l="1"/>
  <c r="C875" i="7"/>
  <c r="D874" i="7"/>
  <c r="F874" i="7" s="1"/>
  <c r="E874" i="7" l="1"/>
  <c r="C876" i="7"/>
  <c r="D875" i="7"/>
  <c r="E875" i="7" s="1"/>
  <c r="C877" i="7" l="1"/>
  <c r="D876" i="7"/>
  <c r="F876" i="7" s="1"/>
  <c r="F875" i="7"/>
  <c r="E876" i="7" l="1"/>
  <c r="C878" i="7"/>
  <c r="D877" i="7"/>
  <c r="E877" i="7" s="1"/>
  <c r="C879" i="7" l="1"/>
  <c r="D878" i="7"/>
  <c r="F878" i="7" s="1"/>
  <c r="F877" i="7"/>
  <c r="E878" i="7" l="1"/>
  <c r="C880" i="7"/>
  <c r="D879" i="7"/>
  <c r="E879" i="7" s="1"/>
  <c r="F879" i="7" l="1"/>
  <c r="C881" i="7"/>
  <c r="D880" i="7"/>
  <c r="F880" i="7" s="1"/>
  <c r="E880" i="7" l="1"/>
  <c r="C882" i="7"/>
  <c r="D881" i="7"/>
  <c r="E881" i="7" s="1"/>
  <c r="C883" i="7" l="1"/>
  <c r="D882" i="7"/>
  <c r="F882" i="7" s="1"/>
  <c r="F881" i="7"/>
  <c r="E882" i="7" l="1"/>
  <c r="C884" i="7"/>
  <c r="D883" i="7"/>
  <c r="E883" i="7" s="1"/>
  <c r="C885" i="7" l="1"/>
  <c r="D884" i="7"/>
  <c r="F884" i="7" s="1"/>
  <c r="F883" i="7"/>
  <c r="E884" i="7" l="1"/>
  <c r="C886" i="7"/>
  <c r="D885" i="7"/>
  <c r="E885" i="7" s="1"/>
  <c r="C887" i="7" l="1"/>
  <c r="D886" i="7"/>
  <c r="F886" i="7" s="1"/>
  <c r="F885" i="7"/>
  <c r="E886" i="7" l="1"/>
  <c r="C888" i="7"/>
  <c r="D887" i="7"/>
  <c r="E887" i="7" s="1"/>
  <c r="C889" i="7" l="1"/>
  <c r="D888" i="7"/>
  <c r="F888" i="7" s="1"/>
  <c r="F887" i="7"/>
  <c r="E888" i="7" l="1"/>
  <c r="C890" i="7"/>
  <c r="D889" i="7"/>
  <c r="E889" i="7" s="1"/>
  <c r="C891" i="7" l="1"/>
  <c r="D890" i="7"/>
  <c r="F890" i="7" s="1"/>
  <c r="F889" i="7"/>
  <c r="E890" i="7" l="1"/>
  <c r="C892" i="7"/>
  <c r="D891" i="7"/>
  <c r="E891" i="7" s="1"/>
  <c r="C893" i="7" l="1"/>
  <c r="D892" i="7"/>
  <c r="F892" i="7" s="1"/>
  <c r="F891" i="7"/>
  <c r="E892" i="7" l="1"/>
  <c r="C894" i="7"/>
  <c r="D893" i="7"/>
  <c r="E893" i="7" s="1"/>
  <c r="F893" i="7" l="1"/>
  <c r="C895" i="7"/>
  <c r="D894" i="7"/>
  <c r="F894" i="7" s="1"/>
  <c r="E894" i="7" l="1"/>
  <c r="C896" i="7"/>
  <c r="D895" i="7"/>
  <c r="E895" i="7" s="1"/>
  <c r="F895" i="7" l="1"/>
  <c r="C897" i="7"/>
  <c r="D896" i="7"/>
  <c r="F896" i="7" s="1"/>
  <c r="E896" i="7" l="1"/>
  <c r="C898" i="7"/>
  <c r="D897" i="7"/>
  <c r="E897" i="7" s="1"/>
  <c r="C899" i="7" l="1"/>
  <c r="D898" i="7"/>
  <c r="F898" i="7" s="1"/>
  <c r="F897" i="7"/>
  <c r="E898" i="7" s="1"/>
  <c r="C900" i="7" l="1"/>
  <c r="D899" i="7"/>
  <c r="E899" i="7" l="1"/>
  <c r="F899" i="7"/>
  <c r="C901" i="7"/>
  <c r="D900" i="7"/>
  <c r="F900" i="7" s="1"/>
  <c r="E900" i="7" l="1"/>
  <c r="C902" i="7"/>
  <c r="D901" i="7"/>
  <c r="E901" i="7" s="1"/>
  <c r="F901" i="7" l="1"/>
  <c r="C903" i="7"/>
  <c r="D902" i="7"/>
  <c r="F902" i="7" s="1"/>
  <c r="E902" i="7" l="1"/>
  <c r="C904" i="7"/>
  <c r="D903" i="7"/>
  <c r="E903" i="7" s="1"/>
  <c r="F903" i="7" l="1"/>
  <c r="C905" i="7"/>
  <c r="D904" i="7"/>
  <c r="F904" i="7" s="1"/>
  <c r="E904" i="7" l="1"/>
  <c r="C906" i="7"/>
  <c r="D905" i="7"/>
  <c r="E905" i="7" s="1"/>
  <c r="C907" i="7" l="1"/>
  <c r="D906" i="7"/>
  <c r="F906" i="7" s="1"/>
  <c r="F905" i="7"/>
  <c r="E906" i="7" s="1"/>
  <c r="C908" i="7" l="1"/>
  <c r="D907" i="7"/>
  <c r="E907" i="7" l="1"/>
  <c r="C909" i="7"/>
  <c r="D908" i="7"/>
  <c r="F908" i="7" s="1"/>
  <c r="F907" i="7"/>
  <c r="E908" i="7" l="1"/>
  <c r="C910" i="7"/>
  <c r="D909" i="7"/>
  <c r="E909" i="7" l="1"/>
  <c r="C911" i="7"/>
  <c r="D910" i="7"/>
  <c r="F910" i="7" s="1"/>
  <c r="F909" i="7"/>
  <c r="E910" i="7" l="1"/>
  <c r="C912" i="7"/>
  <c r="D911" i="7"/>
  <c r="E911" i="7" l="1"/>
  <c r="C913" i="7"/>
  <c r="D912" i="7"/>
  <c r="F912" i="7" s="1"/>
  <c r="F911" i="7"/>
  <c r="E912" i="7" l="1"/>
  <c r="C914" i="7"/>
  <c r="D913" i="7"/>
  <c r="E913" i="7" s="1"/>
  <c r="C915" i="7" l="1"/>
  <c r="D914" i="7"/>
  <c r="F914" i="7" s="1"/>
  <c r="F913" i="7"/>
  <c r="E914" i="7" s="1"/>
  <c r="C916" i="7" l="1"/>
  <c r="D915" i="7"/>
  <c r="E915" i="7" s="1"/>
  <c r="F915" i="7" l="1"/>
  <c r="C917" i="7"/>
  <c r="D916" i="7"/>
  <c r="F916" i="7" s="1"/>
  <c r="E916" i="7" l="1"/>
  <c r="C918" i="7"/>
  <c r="D917" i="7"/>
  <c r="E917" i="7" s="1"/>
  <c r="F917" i="7" l="1"/>
  <c r="C919" i="7"/>
  <c r="D918" i="7"/>
  <c r="F918" i="7" s="1"/>
  <c r="E918" i="7" l="1"/>
  <c r="C920" i="7"/>
  <c r="D919" i="7"/>
  <c r="E919" i="7" s="1"/>
  <c r="C921" i="7" l="1"/>
  <c r="D920" i="7"/>
  <c r="F920" i="7" s="1"/>
  <c r="F919" i="7"/>
  <c r="E920" i="7" l="1"/>
  <c r="C922" i="7"/>
  <c r="D921" i="7"/>
  <c r="E921" i="7" s="1"/>
  <c r="C923" i="7" l="1"/>
  <c r="D922" i="7"/>
  <c r="F922" i="7" s="1"/>
  <c r="F921" i="7"/>
  <c r="E922" i="7" l="1"/>
  <c r="C924" i="7"/>
  <c r="D923" i="7"/>
  <c r="E923" i="7" s="1"/>
  <c r="C925" i="7" l="1"/>
  <c r="D924" i="7"/>
  <c r="F924" i="7" s="1"/>
  <c r="F923" i="7"/>
  <c r="E924" i="7" l="1"/>
  <c r="C926" i="7"/>
  <c r="D925" i="7"/>
  <c r="E925" i="7" s="1"/>
  <c r="C927" i="7" l="1"/>
  <c r="D926" i="7"/>
  <c r="F926" i="7" s="1"/>
  <c r="F925" i="7"/>
  <c r="E926" i="7" l="1"/>
  <c r="C928" i="7"/>
  <c r="D927" i="7"/>
  <c r="E927" i="7" s="1"/>
  <c r="C929" i="7" l="1"/>
  <c r="D928" i="7"/>
  <c r="F928" i="7" s="1"/>
  <c r="F927" i="7"/>
  <c r="E928" i="7" l="1"/>
  <c r="C930" i="7"/>
  <c r="D929" i="7"/>
  <c r="E929" i="7" s="1"/>
  <c r="F929" i="7" l="1"/>
  <c r="C931" i="7"/>
  <c r="D930" i="7"/>
  <c r="F930" i="7" s="1"/>
  <c r="E930" i="7" l="1"/>
  <c r="C932" i="7"/>
  <c r="D931" i="7"/>
  <c r="E931" i="7" s="1"/>
  <c r="C933" i="7" l="1"/>
  <c r="D932" i="7"/>
  <c r="F932" i="7" s="1"/>
  <c r="F931" i="7"/>
  <c r="E932" i="7" l="1"/>
  <c r="C934" i="7"/>
  <c r="D933" i="7"/>
  <c r="E933" i="7" s="1"/>
  <c r="C935" i="7" l="1"/>
  <c r="D934" i="7"/>
  <c r="F934" i="7" s="1"/>
  <c r="F933" i="7"/>
  <c r="E934" i="7" l="1"/>
  <c r="C936" i="7"/>
  <c r="D935" i="7"/>
  <c r="E935" i="7" s="1"/>
  <c r="C937" i="7" l="1"/>
  <c r="D936" i="7"/>
  <c r="F936" i="7" s="1"/>
  <c r="F935" i="7"/>
  <c r="E936" i="7" l="1"/>
  <c r="C938" i="7"/>
  <c r="D937" i="7"/>
  <c r="E937" i="7" s="1"/>
  <c r="C939" i="7" l="1"/>
  <c r="D938" i="7"/>
  <c r="F938" i="7" s="1"/>
  <c r="F937" i="7"/>
  <c r="E938" i="7" l="1"/>
  <c r="C940" i="7"/>
  <c r="D939" i="7"/>
  <c r="E939" i="7" s="1"/>
  <c r="C941" i="7" l="1"/>
  <c r="D940" i="7"/>
  <c r="F940" i="7" s="1"/>
  <c r="F939" i="7"/>
  <c r="E940" i="7" l="1"/>
  <c r="C942" i="7"/>
  <c r="D941" i="7"/>
  <c r="E941" i="7" s="1"/>
  <c r="C943" i="7" l="1"/>
  <c r="D942" i="7"/>
  <c r="F942" i="7" s="1"/>
  <c r="F941" i="7"/>
  <c r="E942" i="7" l="1"/>
  <c r="C944" i="7"/>
  <c r="D943" i="7"/>
  <c r="E943" i="7" s="1"/>
  <c r="C945" i="7" l="1"/>
  <c r="D944" i="7"/>
  <c r="F944" i="7" s="1"/>
  <c r="F943" i="7"/>
  <c r="E944" i="7" l="1"/>
  <c r="C946" i="7"/>
  <c r="D945" i="7"/>
  <c r="E945" i="7" s="1"/>
  <c r="C947" i="7" l="1"/>
  <c r="D946" i="7"/>
  <c r="F946" i="7" s="1"/>
  <c r="F945" i="7"/>
  <c r="E946" i="7" l="1"/>
  <c r="C948" i="7"/>
  <c r="D947" i="7"/>
  <c r="E947" i="7" s="1"/>
  <c r="F947" i="7" l="1"/>
  <c r="C949" i="7"/>
  <c r="D948" i="7"/>
  <c r="F948" i="7" s="1"/>
  <c r="E948" i="7" l="1"/>
  <c r="C950" i="7"/>
  <c r="D949" i="7"/>
  <c r="E949" i="7" s="1"/>
  <c r="C951" i="7" l="1"/>
  <c r="D950" i="7"/>
  <c r="F950" i="7" s="1"/>
  <c r="F949" i="7"/>
  <c r="E950" i="7" l="1"/>
  <c r="C952" i="7"/>
  <c r="D951" i="7"/>
  <c r="E951" i="7" s="1"/>
  <c r="C953" i="7" l="1"/>
  <c r="D952" i="7"/>
  <c r="F952" i="7" s="1"/>
  <c r="F951" i="7"/>
  <c r="E952" i="7" l="1"/>
  <c r="C954" i="7"/>
  <c r="D953" i="7"/>
  <c r="E953" i="7" s="1"/>
  <c r="F953" i="7" l="1"/>
  <c r="C955" i="7"/>
  <c r="D954" i="7"/>
  <c r="F954" i="7" s="1"/>
  <c r="E954" i="7" l="1"/>
  <c r="C956" i="7"/>
  <c r="D955" i="7"/>
  <c r="E955" i="7" s="1"/>
  <c r="F955" i="7" l="1"/>
  <c r="C957" i="7"/>
  <c r="D956" i="7"/>
  <c r="F956" i="7" s="1"/>
  <c r="E956" i="7" l="1"/>
  <c r="C958" i="7"/>
  <c r="D957" i="7"/>
  <c r="E957" i="7" s="1"/>
  <c r="C959" i="7" l="1"/>
  <c r="D958" i="7"/>
  <c r="F958" i="7" s="1"/>
  <c r="F957" i="7"/>
  <c r="E958" i="7" l="1"/>
  <c r="C960" i="7"/>
  <c r="D959" i="7"/>
  <c r="E959" i="7" s="1"/>
  <c r="C961" i="7" l="1"/>
  <c r="D960" i="7"/>
  <c r="F960" i="7" s="1"/>
  <c r="F959" i="7"/>
  <c r="E960" i="7" l="1"/>
  <c r="C962" i="7"/>
  <c r="D961" i="7"/>
  <c r="E961" i="7" s="1"/>
  <c r="C963" i="7" l="1"/>
  <c r="D962" i="7"/>
  <c r="F962" i="7" s="1"/>
  <c r="F961" i="7"/>
  <c r="E962" i="7" l="1"/>
  <c r="C964" i="7"/>
  <c r="D963" i="7"/>
  <c r="E963" i="7" s="1"/>
  <c r="F963" i="7" l="1"/>
  <c r="C965" i="7"/>
  <c r="D964" i="7"/>
  <c r="F964" i="7" s="1"/>
  <c r="E964" i="7" l="1"/>
  <c r="C966" i="7"/>
  <c r="D965" i="7"/>
  <c r="E965" i="7" s="1"/>
  <c r="C967" i="7" l="1"/>
  <c r="D966" i="7"/>
  <c r="F966" i="7" s="1"/>
  <c r="F965" i="7"/>
  <c r="E966" i="7" l="1"/>
  <c r="C968" i="7"/>
  <c r="D967" i="7"/>
  <c r="E967" i="7" s="1"/>
  <c r="F967" i="7" l="1"/>
  <c r="C969" i="7"/>
  <c r="D968" i="7"/>
  <c r="E968" i="7" l="1"/>
  <c r="C970" i="7"/>
  <c r="D969" i="7"/>
  <c r="F969" i="7" s="1"/>
  <c r="F968" i="7"/>
  <c r="E969" i="7" s="1"/>
  <c r="C971" i="7" l="1"/>
  <c r="D970" i="7"/>
  <c r="E970" i="7" l="1"/>
  <c r="C972" i="7"/>
  <c r="D971" i="7"/>
  <c r="F971" i="7" s="1"/>
  <c r="F970" i="7"/>
  <c r="E971" i="7" s="1"/>
  <c r="C973" i="7" l="1"/>
  <c r="D972" i="7"/>
  <c r="E972" i="7" l="1"/>
  <c r="C974" i="7"/>
  <c r="D973" i="7"/>
  <c r="F973" i="7" s="1"/>
  <c r="F972" i="7"/>
  <c r="E973" i="7" s="1"/>
  <c r="C975" i="7" l="1"/>
  <c r="D974" i="7"/>
  <c r="E974" i="7" l="1"/>
  <c r="C976" i="7"/>
  <c r="D975" i="7"/>
  <c r="F975" i="7" s="1"/>
  <c r="F974" i="7"/>
  <c r="E975" i="7" s="1"/>
  <c r="C977" i="7" l="1"/>
  <c r="D976" i="7"/>
  <c r="E976" i="7" l="1"/>
  <c r="C978" i="7"/>
  <c r="D977" i="7"/>
  <c r="F977" i="7" s="1"/>
  <c r="F976" i="7"/>
  <c r="E977" i="7" l="1"/>
  <c r="C979" i="7"/>
  <c r="D978" i="7"/>
  <c r="E978" i="7" l="1"/>
  <c r="F978" i="7"/>
  <c r="C980" i="7"/>
  <c r="D979" i="7"/>
  <c r="E979" i="7" l="1"/>
  <c r="C981" i="7"/>
  <c r="D980" i="7"/>
  <c r="F980" i="7" s="1"/>
  <c r="F979" i="7"/>
  <c r="E980" i="7" s="1"/>
  <c r="C982" i="7" l="1"/>
  <c r="D981" i="7"/>
  <c r="E981" i="7" s="1"/>
  <c r="F981" i="7" l="1"/>
  <c r="C983" i="7"/>
  <c r="D982" i="7"/>
  <c r="F982" i="7" s="1"/>
  <c r="E982" i="7" l="1"/>
  <c r="C984" i="7"/>
  <c r="D983" i="7"/>
  <c r="E983" i="7" s="1"/>
  <c r="C985" i="7" l="1"/>
  <c r="D984" i="7"/>
  <c r="F984" i="7" s="1"/>
  <c r="F983" i="7"/>
  <c r="E984" i="7" l="1"/>
  <c r="C986" i="7"/>
  <c r="D985" i="7"/>
  <c r="E985" i="7" s="1"/>
  <c r="C987" i="7" l="1"/>
  <c r="D986" i="7"/>
  <c r="F986" i="7" s="1"/>
  <c r="F985" i="7"/>
  <c r="E986" i="7" l="1"/>
  <c r="C988" i="7"/>
  <c r="D987" i="7"/>
  <c r="E987" i="7" s="1"/>
  <c r="F987" i="7" l="1"/>
  <c r="C989" i="7"/>
  <c r="D988" i="7"/>
  <c r="F988" i="7" s="1"/>
  <c r="C990" i="7" l="1"/>
  <c r="D989" i="7"/>
  <c r="E989" i="7" s="1"/>
  <c r="E988" i="7"/>
  <c r="C991" i="7" l="1"/>
  <c r="D990" i="7"/>
  <c r="F990" i="7" s="1"/>
  <c r="F989" i="7"/>
  <c r="E990" i="7" s="1"/>
  <c r="C992" i="7" l="1"/>
  <c r="D991" i="7"/>
  <c r="E991" i="7" l="1"/>
  <c r="C993" i="7"/>
  <c r="D992" i="7"/>
  <c r="F992" i="7" s="1"/>
  <c r="F991" i="7"/>
  <c r="E992" i="7" s="1"/>
  <c r="C994" i="7" l="1"/>
  <c r="D993" i="7"/>
  <c r="E993" i="7" l="1"/>
  <c r="F993" i="7"/>
  <c r="C995" i="7"/>
  <c r="D994" i="7"/>
  <c r="F994" i="7" s="1"/>
  <c r="C996" i="7" l="1"/>
  <c r="D995" i="7"/>
  <c r="E995" i="7" s="1"/>
  <c r="E994" i="7"/>
  <c r="C997" i="7" l="1"/>
  <c r="D996" i="7"/>
  <c r="F996" i="7" s="1"/>
  <c r="F995" i="7"/>
  <c r="E996" i="7" s="1"/>
  <c r="C998" i="7" l="1"/>
  <c r="D997" i="7"/>
  <c r="E997" i="7" l="1"/>
  <c r="C999" i="7"/>
  <c r="D998" i="7"/>
  <c r="F998" i="7" s="1"/>
  <c r="F997" i="7"/>
  <c r="E998" i="7" s="1"/>
  <c r="C1000" i="7" l="1"/>
  <c r="D999" i="7"/>
  <c r="E999" i="7" l="1"/>
  <c r="C1001" i="7"/>
  <c r="D1000" i="7"/>
  <c r="F1000" i="7" s="1"/>
  <c r="F999" i="7"/>
  <c r="E1000" i="7" l="1"/>
  <c r="C1002" i="7"/>
  <c r="D1001" i="7"/>
  <c r="E1001" i="7" l="1"/>
  <c r="F1001" i="7"/>
  <c r="C1003" i="7"/>
  <c r="D1002" i="7"/>
  <c r="F1002" i="7" s="1"/>
  <c r="C1004" i="7" l="1"/>
  <c r="D1003" i="7"/>
  <c r="E1003" i="7" s="1"/>
  <c r="E1002" i="7"/>
  <c r="C1005" i="7" l="1"/>
  <c r="D1004" i="7"/>
  <c r="F1004" i="7" s="1"/>
  <c r="F1003" i="7"/>
  <c r="E1004" i="7" l="1"/>
  <c r="C1006" i="7"/>
  <c r="D1005" i="7"/>
  <c r="E1005" i="7" s="1"/>
  <c r="C1007" i="7" l="1"/>
  <c r="D1006" i="7"/>
  <c r="F1006" i="7" s="1"/>
  <c r="F1005" i="7"/>
  <c r="E1006" i="7" l="1"/>
  <c r="C1008" i="7"/>
  <c r="D1007" i="7"/>
  <c r="E1007" i="7" l="1"/>
  <c r="C1009" i="7"/>
  <c r="D1008" i="7"/>
  <c r="F1008" i="7" s="1"/>
  <c r="F1007" i="7"/>
  <c r="E1008" i="7" s="1"/>
  <c r="C1010" i="7" l="1"/>
  <c r="D1009" i="7"/>
  <c r="E1009" i="7" l="1"/>
  <c r="F1009" i="7"/>
  <c r="C1011" i="7"/>
  <c r="D1010" i="7"/>
  <c r="F1010" i="7" s="1"/>
  <c r="C1012" i="7" l="1"/>
  <c r="D1011" i="7"/>
  <c r="E1011" i="7" s="1"/>
  <c r="E1010" i="7"/>
  <c r="C1013" i="7" l="1"/>
  <c r="D1012" i="7"/>
  <c r="F1012" i="7" s="1"/>
  <c r="F1011" i="7"/>
  <c r="E1012" i="7" s="1"/>
  <c r="C1014" i="7" l="1"/>
  <c r="D1013" i="7"/>
  <c r="E1013" i="7" l="1"/>
  <c r="F1013" i="7"/>
  <c r="C1015" i="7"/>
  <c r="D1014" i="7"/>
  <c r="F1014" i="7" s="1"/>
  <c r="E1014" i="7" l="1"/>
  <c r="C1016" i="7"/>
  <c r="D1015" i="7"/>
  <c r="E1015" i="7" s="1"/>
  <c r="C1017" i="7" l="1"/>
  <c r="D1016" i="7"/>
  <c r="F1016" i="7" s="1"/>
  <c r="F1015" i="7"/>
  <c r="E1016" i="7" s="1"/>
  <c r="C1018" i="7" l="1"/>
  <c r="D1017" i="7"/>
  <c r="E1017" i="7" l="1"/>
  <c r="F1017" i="7"/>
  <c r="C1019" i="7"/>
  <c r="D1018" i="7"/>
  <c r="E1018" i="7" l="1"/>
  <c r="C1020" i="7"/>
  <c r="D1019" i="7"/>
  <c r="F1019" i="7" s="1"/>
  <c r="F1018" i="7"/>
  <c r="E1019" i="7" s="1"/>
  <c r="C1021" i="7" l="1"/>
  <c r="D1020" i="7"/>
  <c r="E1020" i="7" s="1"/>
  <c r="C1022" i="7" l="1"/>
  <c r="D1021" i="7"/>
  <c r="F1021" i="7" s="1"/>
  <c r="F1020" i="7"/>
  <c r="E1021" i="7" l="1"/>
  <c r="C1023" i="7"/>
  <c r="D1022" i="7"/>
  <c r="E1022" i="7" s="1"/>
  <c r="F1022" i="7" l="1"/>
  <c r="C1024" i="7"/>
  <c r="D1023" i="7"/>
  <c r="F1023" i="7" s="1"/>
  <c r="E1023" i="7" l="1"/>
  <c r="C1025" i="7"/>
  <c r="D1024" i="7"/>
  <c r="E1024" i="7" s="1"/>
  <c r="F1024" i="7" l="1"/>
  <c r="C1026" i="7"/>
  <c r="D1025" i="7"/>
  <c r="F1025" i="7" s="1"/>
  <c r="C1027" i="7" l="1"/>
  <c r="D1026" i="7"/>
  <c r="E1026" i="7" s="1"/>
  <c r="E1025" i="7"/>
  <c r="C1028" i="7" l="1"/>
  <c r="D1027" i="7"/>
  <c r="F1027" i="7" s="1"/>
  <c r="F1026" i="7"/>
  <c r="E1027" i="7" l="1"/>
  <c r="C1029" i="7"/>
  <c r="D1028" i="7"/>
  <c r="E1028" i="7" l="1"/>
  <c r="C1030" i="7"/>
  <c r="D1029" i="7"/>
  <c r="F1029" i="7" s="1"/>
  <c r="F1028" i="7"/>
  <c r="E1029" i="7" s="1"/>
  <c r="C1031" i="7" l="1"/>
  <c r="D1030" i="7"/>
  <c r="E1030" i="7" l="1"/>
  <c r="C1032" i="7"/>
  <c r="D1031" i="7"/>
  <c r="F1031" i="7" s="1"/>
  <c r="F1030" i="7"/>
  <c r="E1031" i="7" s="1"/>
  <c r="C1033" i="7" l="1"/>
  <c r="D1032" i="7"/>
  <c r="E1032" i="7" l="1"/>
  <c r="F1032" i="7"/>
  <c r="C1034" i="7"/>
  <c r="D1033" i="7"/>
  <c r="F1033" i="7" s="1"/>
  <c r="C1035" i="7" l="1"/>
  <c r="D1034" i="7"/>
  <c r="E1034" i="7" s="1"/>
  <c r="E1033" i="7"/>
  <c r="C1036" i="7" l="1"/>
  <c r="D1035" i="7"/>
  <c r="F1035" i="7" s="1"/>
  <c r="F1034" i="7"/>
  <c r="E1035" i="7" l="1"/>
  <c r="C1037" i="7"/>
  <c r="D1036" i="7"/>
  <c r="E1036" i="7" s="1"/>
  <c r="C1038" i="7" l="1"/>
  <c r="D1037" i="7"/>
  <c r="F1037" i="7" s="1"/>
  <c r="F1036" i="7"/>
  <c r="E1037" i="7" l="1"/>
  <c r="C1039" i="7"/>
  <c r="D1038" i="7"/>
  <c r="E1038" i="7" l="1"/>
  <c r="C1040" i="7"/>
  <c r="D1039" i="7"/>
  <c r="F1039" i="7" s="1"/>
  <c r="F1038" i="7"/>
  <c r="E1039" i="7" l="1"/>
  <c r="C1041" i="7"/>
  <c r="D1040" i="7"/>
  <c r="E1040" i="7" l="1"/>
  <c r="C1042" i="7"/>
  <c r="D1041" i="7"/>
  <c r="F1041" i="7" s="1"/>
  <c r="F1040" i="7"/>
  <c r="E1041" i="7" l="1"/>
  <c r="C1043" i="7"/>
  <c r="D1042" i="7"/>
  <c r="E1042" i="7" l="1"/>
  <c r="F1042" i="7"/>
  <c r="C1044" i="7"/>
  <c r="D1043" i="7"/>
  <c r="F1043" i="7" s="1"/>
  <c r="C1045" i="7" l="1"/>
  <c r="D1044" i="7"/>
  <c r="E1044" i="7" s="1"/>
  <c r="E1043" i="7"/>
  <c r="F1044" i="7" l="1"/>
  <c r="C1046" i="7"/>
  <c r="D1045" i="7"/>
  <c r="F1045" i="7" s="1"/>
  <c r="E1045" i="7" l="1"/>
  <c r="C1047" i="7"/>
  <c r="D1046" i="7"/>
  <c r="E1046" i="7" s="1"/>
  <c r="C1048" i="7" l="1"/>
  <c r="D1047" i="7"/>
  <c r="F1047" i="7" s="1"/>
  <c r="F1046" i="7"/>
  <c r="E1047" i="7" l="1"/>
  <c r="C1049" i="7"/>
  <c r="D1048" i="7"/>
  <c r="E1048" i="7" s="1"/>
  <c r="C1050" i="7" l="1"/>
  <c r="D1049" i="7"/>
  <c r="F1049" i="7" s="1"/>
  <c r="F1048" i="7"/>
  <c r="E1049" i="7" s="1"/>
  <c r="C1051" i="7" l="1"/>
  <c r="D1050" i="7"/>
  <c r="E1050" i="7" l="1"/>
  <c r="C1052" i="7"/>
  <c r="D1051" i="7"/>
  <c r="F1051" i="7" s="1"/>
  <c r="F1050" i="7"/>
  <c r="E1051" i="7" l="1"/>
  <c r="C1053" i="7"/>
  <c r="D1052" i="7"/>
  <c r="E1052" i="7" s="1"/>
  <c r="F1052" i="7" l="1"/>
  <c r="C1054" i="7"/>
  <c r="D1053" i="7"/>
  <c r="F1053" i="7" s="1"/>
  <c r="C1055" i="7" l="1"/>
  <c r="D1054" i="7"/>
  <c r="E1054" i="7" s="1"/>
  <c r="E1053" i="7"/>
  <c r="C1056" i="7" l="1"/>
  <c r="D1055" i="7"/>
  <c r="F1055" i="7" s="1"/>
  <c r="F1054" i="7"/>
  <c r="E1055" i="7" l="1"/>
  <c r="C1057" i="7"/>
  <c r="D1056" i="7"/>
  <c r="E1056" i="7" l="1"/>
  <c r="C1058" i="7"/>
  <c r="D1057" i="7"/>
  <c r="F1057" i="7" s="1"/>
  <c r="F1056" i="7"/>
  <c r="E1057" i="7" l="1"/>
  <c r="C1059" i="7"/>
  <c r="D1058" i="7"/>
  <c r="E1058" i="7" l="1"/>
  <c r="C1060" i="7"/>
  <c r="D1059" i="7"/>
  <c r="F1059" i="7" s="1"/>
  <c r="F1058" i="7"/>
  <c r="E1059" i="7" s="1"/>
  <c r="C1061" i="7" l="1"/>
  <c r="D1060" i="7"/>
  <c r="E1060" i="7" l="1"/>
  <c r="C1062" i="7"/>
  <c r="D1061" i="7"/>
  <c r="F1061" i="7" s="1"/>
  <c r="F1060" i="7"/>
  <c r="E1061" i="7" l="1"/>
  <c r="C1063" i="7"/>
  <c r="D1062" i="7"/>
  <c r="E1062" i="7" l="1"/>
  <c r="C1064" i="7"/>
  <c r="D1063" i="7"/>
  <c r="F1063" i="7" s="1"/>
  <c r="F1062" i="7"/>
  <c r="E1063" i="7" s="1"/>
  <c r="C1065" i="7" l="1"/>
  <c r="D1064" i="7"/>
  <c r="E1064" i="7" l="1"/>
  <c r="F1064" i="7"/>
  <c r="C1066" i="7"/>
  <c r="D1065" i="7"/>
  <c r="E1065" i="7" l="1"/>
  <c r="C1067" i="7"/>
  <c r="D1066" i="7"/>
  <c r="F1066" i="7" s="1"/>
  <c r="F1065" i="7"/>
  <c r="E1066" i="7" l="1"/>
  <c r="C1068" i="7"/>
  <c r="D1067" i="7"/>
  <c r="E1067" i="7" s="1"/>
  <c r="F1067" i="7" l="1"/>
  <c r="C1069" i="7"/>
  <c r="D1068" i="7"/>
  <c r="F1068" i="7" s="1"/>
  <c r="C1070" i="7" l="1"/>
  <c r="D1069" i="7"/>
  <c r="E1069" i="7" s="1"/>
  <c r="E1068" i="7"/>
  <c r="C1071" i="7" l="1"/>
  <c r="D1070" i="7"/>
  <c r="F1070" i="7" s="1"/>
  <c r="F1069" i="7"/>
  <c r="E1070" i="7" l="1"/>
  <c r="C1072" i="7"/>
  <c r="D1071" i="7"/>
  <c r="E1071" i="7" s="1"/>
  <c r="F1071" i="7" l="1"/>
  <c r="C1073" i="7"/>
  <c r="D1072" i="7"/>
  <c r="F1072" i="7" s="1"/>
  <c r="C1074" i="7" l="1"/>
  <c r="D1073" i="7"/>
  <c r="E1073" i="7" s="1"/>
  <c r="E1072" i="7"/>
  <c r="F1073" i="7" l="1"/>
  <c r="C1075" i="7"/>
  <c r="D1074" i="7"/>
  <c r="F1074" i="7" s="1"/>
  <c r="C1076" i="7" l="1"/>
  <c r="D1075" i="7"/>
  <c r="E1075" i="7" s="1"/>
  <c r="E1074" i="7"/>
  <c r="F1075" i="7" l="1"/>
  <c r="C1077" i="7"/>
  <c r="D1076" i="7"/>
  <c r="F1076" i="7" s="1"/>
  <c r="C1078" i="7" l="1"/>
  <c r="D1077" i="7"/>
  <c r="E1077" i="7" s="1"/>
  <c r="E1076" i="7"/>
  <c r="C1079" i="7" l="1"/>
  <c r="D1078" i="7"/>
  <c r="F1078" i="7" s="1"/>
  <c r="F1077" i="7"/>
  <c r="E1078" i="7" l="1"/>
  <c r="C1080" i="7"/>
  <c r="D1079" i="7"/>
  <c r="E1079" i="7" s="1"/>
  <c r="C1081" i="7" l="1"/>
  <c r="D1080" i="7"/>
  <c r="F1080" i="7" s="1"/>
  <c r="F1079" i="7"/>
  <c r="E1080" i="7" l="1"/>
  <c r="C1082" i="7"/>
  <c r="D1081" i="7"/>
  <c r="E1081" i="7" s="1"/>
  <c r="C1083" i="7" l="1"/>
  <c r="D1082" i="7"/>
  <c r="F1082" i="7" s="1"/>
  <c r="F1081" i="7"/>
  <c r="E1082" i="7" l="1"/>
  <c r="C1084" i="7"/>
  <c r="D1083" i="7"/>
  <c r="E1083" i="7" s="1"/>
  <c r="C1085" i="7" l="1"/>
  <c r="D1084" i="7"/>
  <c r="F1084" i="7" s="1"/>
  <c r="F1083" i="7"/>
  <c r="E1084" i="7" l="1"/>
  <c r="C1086" i="7"/>
  <c r="D1085" i="7"/>
  <c r="E1085" i="7" s="1"/>
  <c r="C1087" i="7" l="1"/>
  <c r="D1086" i="7"/>
  <c r="F1086" i="7" s="1"/>
  <c r="F1085" i="7"/>
  <c r="E1086" i="7" l="1"/>
  <c r="C1088" i="7"/>
  <c r="D1087" i="7"/>
  <c r="E1087" i="7" s="1"/>
  <c r="C1089" i="7" l="1"/>
  <c r="D1088" i="7"/>
  <c r="F1088" i="7" s="1"/>
  <c r="F1087" i="7"/>
  <c r="E1088" i="7" l="1"/>
  <c r="C1090" i="7"/>
  <c r="D1089" i="7"/>
  <c r="E1089" i="7" s="1"/>
  <c r="C1091" i="7" l="1"/>
  <c r="D1090" i="7"/>
  <c r="F1090" i="7" s="1"/>
  <c r="F1089" i="7"/>
  <c r="E1090" i="7" l="1"/>
  <c r="C1092" i="7"/>
  <c r="D1091" i="7"/>
  <c r="E1091" i="7" s="1"/>
  <c r="C1093" i="7" l="1"/>
  <c r="D1092" i="7"/>
  <c r="F1092" i="7" s="1"/>
  <c r="F1091" i="7"/>
  <c r="E1092" i="7" l="1"/>
  <c r="C1094" i="7"/>
  <c r="D1093" i="7"/>
  <c r="E1093" i="7" s="1"/>
  <c r="C1095" i="7" l="1"/>
  <c r="D1094" i="7"/>
  <c r="F1094" i="7" s="1"/>
  <c r="F1093" i="7"/>
  <c r="E1094" i="7" l="1"/>
  <c r="C1096" i="7"/>
  <c r="D1095" i="7"/>
  <c r="E1095" i="7" s="1"/>
  <c r="F1095" i="7" l="1"/>
  <c r="C1097" i="7"/>
  <c r="D1096" i="7"/>
  <c r="E1096" i="7" l="1"/>
  <c r="C1098" i="7"/>
  <c r="D1097" i="7"/>
  <c r="F1097" i="7" s="1"/>
  <c r="F1096" i="7"/>
  <c r="E1097" i="7" l="1"/>
  <c r="C1099" i="7"/>
  <c r="D1098" i="7"/>
  <c r="E1098" i="7" s="1"/>
  <c r="C1100" i="7" l="1"/>
  <c r="D1099" i="7"/>
  <c r="F1099" i="7" s="1"/>
  <c r="F1098" i="7"/>
  <c r="E1099" i="7" l="1"/>
  <c r="C1101" i="7"/>
  <c r="D1100" i="7"/>
  <c r="E1100" i="7" s="1"/>
  <c r="C1102" i="7" l="1"/>
  <c r="D1101" i="7"/>
  <c r="F1101" i="7" s="1"/>
  <c r="F1100" i="7"/>
  <c r="E1101" i="7" l="1"/>
  <c r="C1103" i="7"/>
  <c r="D1102" i="7"/>
  <c r="E1102" i="7" s="1"/>
  <c r="C1104" i="7" l="1"/>
  <c r="D1103" i="7"/>
  <c r="F1103" i="7" s="1"/>
  <c r="F1102" i="7"/>
  <c r="E1103" i="7" s="1"/>
  <c r="C1105" i="7" l="1"/>
  <c r="D1104" i="7"/>
  <c r="E1104" i="7" l="1"/>
  <c r="C1106" i="7"/>
  <c r="D1105" i="7"/>
  <c r="F1105" i="7" s="1"/>
  <c r="F1104" i="7"/>
  <c r="E1105" i="7" l="1"/>
  <c r="C1107" i="7"/>
  <c r="D1106" i="7"/>
  <c r="E1106" i="7" l="1"/>
  <c r="F1106" i="7"/>
  <c r="C1108" i="7"/>
  <c r="D1107" i="7"/>
  <c r="E1107" i="7" l="1"/>
  <c r="C1109" i="7"/>
  <c r="D1108" i="7"/>
  <c r="F1108" i="7" s="1"/>
  <c r="F1107" i="7"/>
  <c r="E1108" i="7" s="1"/>
  <c r="C1110" i="7" l="1"/>
  <c r="D1109" i="7"/>
  <c r="E1109" i="7" s="1"/>
  <c r="C1111" i="7" l="1"/>
  <c r="D1110" i="7"/>
  <c r="F1110" i="7" s="1"/>
  <c r="F1109" i="7"/>
  <c r="E1110" i="7" l="1"/>
  <c r="C1112" i="7"/>
  <c r="D1111" i="7"/>
  <c r="E1111" i="7" s="1"/>
  <c r="F1111" i="7" l="1"/>
  <c r="C1113" i="7"/>
  <c r="D1112" i="7"/>
  <c r="F1112" i="7" s="1"/>
  <c r="C1114" i="7" l="1"/>
  <c r="D1113" i="7"/>
  <c r="E1113" i="7" s="1"/>
  <c r="E1112" i="7"/>
  <c r="C1115" i="7" l="1"/>
  <c r="D1114" i="7"/>
  <c r="F1114" i="7" s="1"/>
  <c r="F1113" i="7"/>
  <c r="E1114" i="7" l="1"/>
  <c r="C1116" i="7"/>
  <c r="D1115" i="7"/>
  <c r="E1115" i="7" s="1"/>
  <c r="C1117" i="7" l="1"/>
  <c r="D1116" i="7"/>
  <c r="F1116" i="7" s="1"/>
  <c r="F1115" i="7"/>
  <c r="E1116" i="7" l="1"/>
  <c r="C1118" i="7"/>
  <c r="D1117" i="7"/>
  <c r="E1117" i="7" s="1"/>
  <c r="C1119" i="7" l="1"/>
  <c r="D1118" i="7"/>
  <c r="F1118" i="7" s="1"/>
  <c r="F1117" i="7"/>
  <c r="E1118" i="7" l="1"/>
  <c r="C1120" i="7"/>
  <c r="D1119" i="7"/>
  <c r="E1119" i="7" s="1"/>
  <c r="F1119" i="7" l="1"/>
  <c r="C1121" i="7"/>
  <c r="D1120" i="7"/>
  <c r="E1120" i="7" l="1"/>
  <c r="C1122" i="7"/>
  <c r="D1121" i="7"/>
  <c r="F1121" i="7" s="1"/>
  <c r="F1120" i="7"/>
  <c r="E1121" i="7" s="1"/>
  <c r="C1123" i="7" l="1"/>
  <c r="D1122" i="7"/>
  <c r="E1122" i="7" s="1"/>
  <c r="C1124" i="7" l="1"/>
  <c r="D1123" i="7"/>
  <c r="F1123" i="7" s="1"/>
  <c r="F1122" i="7"/>
  <c r="E1123" i="7" l="1"/>
  <c r="C1125" i="7"/>
  <c r="D1124" i="7"/>
  <c r="E1124" i="7" s="1"/>
  <c r="C1126" i="7" l="1"/>
  <c r="D1125" i="7"/>
  <c r="F1125" i="7" s="1"/>
  <c r="F1124" i="7"/>
  <c r="E1125" i="7" l="1"/>
  <c r="C1127" i="7"/>
  <c r="D1126" i="7"/>
  <c r="E1126" i="7" s="1"/>
  <c r="C1128" i="7" l="1"/>
  <c r="D1127" i="7"/>
  <c r="F1127" i="7" s="1"/>
  <c r="F1126" i="7"/>
  <c r="E1127" i="7" l="1"/>
  <c r="C1129" i="7"/>
  <c r="D1128" i="7"/>
  <c r="E1128" i="7" s="1"/>
  <c r="C1130" i="7" l="1"/>
  <c r="D1129" i="7"/>
  <c r="F1129" i="7" s="1"/>
  <c r="F1128" i="7"/>
  <c r="E1129" i="7" l="1"/>
  <c r="C1131" i="7"/>
  <c r="D1130" i="7"/>
  <c r="E1130" i="7" s="1"/>
  <c r="F1130" i="7" l="1"/>
  <c r="C1132" i="7"/>
  <c r="D1131" i="7"/>
  <c r="F1131" i="7" s="1"/>
  <c r="C1133" i="7" l="1"/>
  <c r="D1132" i="7"/>
  <c r="E1132" i="7" s="1"/>
  <c r="E1131" i="7"/>
  <c r="F1132" i="7" l="1"/>
  <c r="C1134" i="7"/>
  <c r="D1133" i="7"/>
  <c r="F1133" i="7" s="1"/>
  <c r="C1135" i="7" l="1"/>
  <c r="D1134" i="7"/>
  <c r="F1134" i="7" s="1"/>
  <c r="E1133" i="7"/>
  <c r="E1134" i="7" l="1"/>
  <c r="C1136" i="7"/>
  <c r="D1135" i="7"/>
  <c r="E1135" i="7" s="1"/>
  <c r="F1135" i="7" l="1"/>
  <c r="C1137" i="7"/>
  <c r="D1136" i="7"/>
  <c r="E1136" i="7" l="1"/>
  <c r="F1136" i="7"/>
  <c r="C1138" i="7"/>
  <c r="D1137" i="7"/>
  <c r="F1137" i="7" s="1"/>
  <c r="C1139" i="7" l="1"/>
  <c r="D1138" i="7"/>
  <c r="E1138" i="7" s="1"/>
  <c r="E1137" i="7"/>
  <c r="F1138" i="7" l="1"/>
  <c r="C1140" i="7"/>
  <c r="D1139" i="7"/>
  <c r="E1139" i="7" l="1"/>
  <c r="F1139" i="7"/>
  <c r="C1141" i="7"/>
  <c r="D1140" i="7"/>
  <c r="F1140" i="7" s="1"/>
  <c r="C1142" i="7" l="1"/>
  <c r="D1141" i="7"/>
  <c r="E1141" i="7" s="1"/>
  <c r="E1140" i="7"/>
  <c r="C1143" i="7" l="1"/>
  <c r="D1142" i="7"/>
  <c r="F1142" i="7" s="1"/>
  <c r="F1141" i="7"/>
  <c r="E1142" i="7" l="1"/>
  <c r="C1144" i="7"/>
  <c r="D1143" i="7"/>
  <c r="E1143" i="7" s="1"/>
  <c r="F1143" i="7" l="1"/>
  <c r="C1145" i="7"/>
  <c r="D1144" i="7"/>
  <c r="F1144" i="7" s="1"/>
  <c r="E1144" i="7" l="1"/>
  <c r="C1146" i="7"/>
  <c r="D1145" i="7"/>
  <c r="E1145" i="7" s="1"/>
  <c r="F1145" i="7" l="1"/>
  <c r="C1147" i="7"/>
  <c r="D1146" i="7"/>
  <c r="F1146" i="7" s="1"/>
  <c r="C1148" i="7" l="1"/>
  <c r="D1147" i="7"/>
  <c r="E1147" i="7" s="1"/>
  <c r="E1146" i="7"/>
  <c r="F1147" i="7" l="1"/>
  <c r="C1149" i="7"/>
  <c r="D1148" i="7"/>
  <c r="F1148" i="7" s="1"/>
  <c r="C1150" i="7" l="1"/>
  <c r="D1149" i="7"/>
  <c r="E1149" i="7" s="1"/>
  <c r="E1148" i="7"/>
  <c r="C1151" i="7" l="1"/>
  <c r="D1150" i="7"/>
  <c r="F1150" i="7" s="1"/>
  <c r="F1149" i="7"/>
  <c r="E1150" i="7" l="1"/>
  <c r="C1152" i="7"/>
  <c r="D1151" i="7"/>
  <c r="E1151" i="7" s="1"/>
  <c r="C1153" i="7" l="1"/>
  <c r="D1152" i="7"/>
  <c r="F1152" i="7" s="1"/>
  <c r="F1151" i="7"/>
  <c r="E1152" i="7" l="1"/>
  <c r="C1154" i="7"/>
  <c r="D1153" i="7"/>
  <c r="E1153" i="7" s="1"/>
  <c r="C1155" i="7" l="1"/>
  <c r="D1154" i="7"/>
  <c r="F1154" i="7" s="1"/>
  <c r="F1153" i="7"/>
  <c r="E1154" i="7" l="1"/>
  <c r="C1156" i="7"/>
  <c r="D1155" i="7"/>
  <c r="E1155" i="7" s="1"/>
  <c r="F1155" i="7" l="1"/>
  <c r="C1157" i="7"/>
  <c r="D1156" i="7"/>
  <c r="F1156" i="7" s="1"/>
  <c r="C1158" i="7" l="1"/>
  <c r="D1157" i="7"/>
  <c r="E1157" i="7" s="1"/>
  <c r="E1156" i="7"/>
  <c r="F1157" i="7" l="1"/>
  <c r="C1159" i="7"/>
  <c r="D1158" i="7"/>
  <c r="F1158" i="7" s="1"/>
  <c r="C1160" i="7" l="1"/>
  <c r="D1159" i="7"/>
  <c r="E1159" i="7" s="1"/>
  <c r="E1158" i="7"/>
  <c r="F1159" i="7" l="1"/>
  <c r="C1161" i="7"/>
  <c r="D1160" i="7"/>
  <c r="F1160" i="7" s="1"/>
  <c r="C1162" i="7" l="1"/>
  <c r="D1161" i="7"/>
  <c r="E1161" i="7" s="1"/>
  <c r="E1160" i="7"/>
  <c r="C1163" i="7" l="1"/>
  <c r="D1162" i="7"/>
  <c r="F1162" i="7" s="1"/>
  <c r="F1161" i="7"/>
  <c r="E1162" i="7" l="1"/>
  <c r="C1164" i="7"/>
  <c r="D1163" i="7"/>
  <c r="E1163" i="7" s="1"/>
  <c r="C1165" i="7" l="1"/>
  <c r="D1164" i="7"/>
  <c r="F1164" i="7" s="1"/>
  <c r="F1163" i="7"/>
  <c r="E1164" i="7" l="1"/>
  <c r="C1166" i="7"/>
  <c r="D1165" i="7"/>
  <c r="E1165" i="7" s="1"/>
  <c r="C1167" i="7" l="1"/>
  <c r="D1166" i="7"/>
  <c r="F1166" i="7" s="1"/>
  <c r="F1165" i="7"/>
  <c r="E1166" i="7" l="1"/>
  <c r="C1168" i="7"/>
  <c r="D1167" i="7"/>
  <c r="E1167" i="7" s="1"/>
  <c r="C1169" i="7" l="1"/>
  <c r="D1168" i="7"/>
  <c r="F1168" i="7" s="1"/>
  <c r="F1167" i="7"/>
  <c r="E1168" i="7" l="1"/>
  <c r="C1170" i="7"/>
  <c r="D1169" i="7"/>
  <c r="E1169" i="7" s="1"/>
  <c r="F1169" i="7" l="1"/>
  <c r="C1171" i="7"/>
  <c r="D1170" i="7"/>
  <c r="F1170" i="7" s="1"/>
  <c r="C1172" i="7" l="1"/>
  <c r="D1171" i="7"/>
  <c r="E1171" i="7" s="1"/>
  <c r="E1170" i="7"/>
  <c r="C1173" i="7" l="1"/>
  <c r="D1172" i="7"/>
  <c r="F1172" i="7" s="1"/>
  <c r="F1171" i="7"/>
  <c r="E1172" i="7" l="1"/>
  <c r="C1174" i="7"/>
  <c r="D1173" i="7"/>
  <c r="E1173" i="7" s="1"/>
  <c r="C1175" i="7" l="1"/>
  <c r="D1174" i="7"/>
  <c r="F1174" i="7" s="1"/>
  <c r="F1173" i="7"/>
  <c r="E1174" i="7" l="1"/>
  <c r="C1176" i="7"/>
  <c r="D1175" i="7"/>
  <c r="E1175" i="7" s="1"/>
  <c r="C1177" i="7" l="1"/>
  <c r="D1176" i="7"/>
  <c r="F1176" i="7" s="1"/>
  <c r="F1175" i="7"/>
  <c r="E1176" i="7" l="1"/>
  <c r="C1178" i="7"/>
  <c r="D1177" i="7"/>
  <c r="E1177" i="7" s="1"/>
  <c r="F1177" i="7" l="1"/>
  <c r="C1179" i="7"/>
  <c r="D1178" i="7"/>
  <c r="F1178" i="7" s="1"/>
  <c r="C1180" i="7" l="1"/>
  <c r="D1179" i="7"/>
  <c r="E1179" i="7" s="1"/>
  <c r="E1178" i="7"/>
  <c r="C1181" i="7" l="1"/>
  <c r="D1180" i="7"/>
  <c r="F1180" i="7" s="1"/>
  <c r="F1179" i="7"/>
  <c r="E1180" i="7" l="1"/>
  <c r="C1182" i="7"/>
  <c r="D1181" i="7"/>
  <c r="E1181" i="7" s="1"/>
  <c r="C1183" i="7" l="1"/>
  <c r="D1182" i="7"/>
  <c r="F1182" i="7" s="1"/>
  <c r="F1181" i="7"/>
  <c r="E1182" i="7" l="1"/>
  <c r="C1184" i="7"/>
  <c r="D1183" i="7"/>
  <c r="E1183" i="7" s="1"/>
  <c r="F1183" i="7" l="1"/>
  <c r="C1185" i="7"/>
  <c r="D1184" i="7"/>
  <c r="F1184" i="7" s="1"/>
  <c r="C1186" i="7" l="1"/>
  <c r="D1185" i="7"/>
  <c r="E1185" i="7" s="1"/>
  <c r="E1184" i="7"/>
  <c r="F1185" i="7" l="1"/>
  <c r="C1187" i="7"/>
  <c r="D1186" i="7"/>
  <c r="F1186" i="7" s="1"/>
  <c r="C1188" i="7" l="1"/>
  <c r="D1187" i="7"/>
  <c r="E1187" i="7" s="1"/>
  <c r="E1186" i="7"/>
  <c r="C1189" i="7" l="1"/>
  <c r="D1188" i="7"/>
  <c r="F1188" i="7" s="1"/>
  <c r="F1187" i="7"/>
  <c r="E1188" i="7" l="1"/>
  <c r="C1190" i="7"/>
  <c r="D1189" i="7"/>
  <c r="E1189" i="7" s="1"/>
  <c r="C1191" i="7" l="1"/>
  <c r="D1190" i="7"/>
  <c r="F1190" i="7" s="1"/>
  <c r="F1189" i="7"/>
  <c r="E1190" i="7" l="1"/>
  <c r="C1192" i="7"/>
  <c r="D1191" i="7"/>
  <c r="E1191" i="7" s="1"/>
  <c r="F1191" i="7" l="1"/>
  <c r="C1193" i="7"/>
  <c r="D1192" i="7"/>
  <c r="F1192" i="7" s="1"/>
  <c r="C1194" i="7" l="1"/>
  <c r="D1193" i="7"/>
  <c r="E1193" i="7" s="1"/>
  <c r="E1192" i="7"/>
  <c r="C1195" i="7" l="1"/>
  <c r="D1194" i="7"/>
  <c r="F1194" i="7" s="1"/>
  <c r="F1193" i="7"/>
  <c r="E1194" i="7" l="1"/>
  <c r="C1196" i="7"/>
  <c r="D1195" i="7"/>
  <c r="E1195" i="7" s="1"/>
  <c r="C1197" i="7" l="1"/>
  <c r="D1196" i="7"/>
  <c r="F1196" i="7" s="1"/>
  <c r="F1195" i="7"/>
  <c r="E1196" i="7" l="1"/>
  <c r="C1198" i="7"/>
  <c r="D1197" i="7"/>
  <c r="E1197" i="7" s="1"/>
  <c r="C1199" i="7" l="1"/>
  <c r="D1198" i="7"/>
  <c r="F1198" i="7" s="1"/>
  <c r="F1197" i="7"/>
  <c r="E1198" i="7" l="1"/>
  <c r="C1200" i="7"/>
  <c r="D1199" i="7"/>
  <c r="E1199" i="7" s="1"/>
  <c r="C1201" i="7" l="1"/>
  <c r="D1200" i="7"/>
  <c r="F1200" i="7" s="1"/>
  <c r="F1199" i="7"/>
  <c r="E1200" i="7" l="1"/>
  <c r="C1202" i="7"/>
  <c r="D1201" i="7"/>
  <c r="E1201" i="7" s="1"/>
  <c r="C1203" i="7" l="1"/>
  <c r="D1202" i="7"/>
  <c r="F1202" i="7" s="1"/>
  <c r="F1201" i="7"/>
  <c r="E1202" i="7" l="1"/>
  <c r="C1204" i="7"/>
  <c r="D1203" i="7"/>
  <c r="E1203" i="7" s="1"/>
  <c r="C1205" i="7" l="1"/>
  <c r="D1204" i="7"/>
  <c r="F1204" i="7" s="1"/>
  <c r="F1203" i="7"/>
  <c r="E1204" i="7" l="1"/>
  <c r="C1206" i="7"/>
  <c r="D1205" i="7"/>
  <c r="E1205" i="7" s="1"/>
  <c r="C1207" i="7" l="1"/>
  <c r="D1206" i="7"/>
  <c r="F1206" i="7" s="1"/>
  <c r="F1205" i="7"/>
  <c r="E1206" i="7" l="1"/>
  <c r="C1208" i="7"/>
  <c r="D1207" i="7"/>
  <c r="E1207" i="7" s="1"/>
  <c r="C1209" i="7" l="1"/>
  <c r="D1208" i="7"/>
  <c r="F1208" i="7" s="1"/>
  <c r="F1207" i="7"/>
  <c r="E1208" i="7" l="1"/>
  <c r="C1210" i="7"/>
  <c r="D1209" i="7"/>
  <c r="E1209" i="7" s="1"/>
  <c r="F1209" i="7" l="1"/>
  <c r="C1211" i="7"/>
  <c r="D1210" i="7"/>
  <c r="F1210" i="7" s="1"/>
  <c r="C1212" i="7" l="1"/>
  <c r="D1211" i="7"/>
  <c r="E1211" i="7" s="1"/>
  <c r="E1210" i="7"/>
  <c r="C1213" i="7" l="1"/>
  <c r="D1212" i="7"/>
  <c r="F1212" i="7" s="1"/>
  <c r="F1211" i="7"/>
  <c r="E1212" i="7" l="1"/>
  <c r="C1214" i="7"/>
  <c r="D1213" i="7"/>
  <c r="E1213" i="7" s="1"/>
  <c r="C1215" i="7" l="1"/>
  <c r="D1214" i="7"/>
  <c r="F1214" i="7" s="1"/>
  <c r="F1213" i="7"/>
  <c r="E1214" i="7" l="1"/>
  <c r="C1216" i="7"/>
  <c r="D1215" i="7"/>
  <c r="E1215" i="7" s="1"/>
  <c r="F1215" i="7" l="1"/>
  <c r="C1217" i="7"/>
  <c r="D1216" i="7"/>
  <c r="F1216" i="7" s="1"/>
  <c r="E1216" i="7" l="1"/>
  <c r="C1218" i="7"/>
  <c r="D1217" i="7"/>
  <c r="E1217" i="7" s="1"/>
  <c r="F1217" i="7" l="1"/>
  <c r="C1219" i="7"/>
  <c r="D1218" i="7"/>
  <c r="F1218" i="7" s="1"/>
  <c r="C1220" i="7" l="1"/>
  <c r="D1219" i="7"/>
  <c r="E1219" i="7" s="1"/>
  <c r="E1218" i="7"/>
  <c r="C1221" i="7" l="1"/>
  <c r="D1220" i="7"/>
  <c r="F1220" i="7" s="1"/>
  <c r="F1219" i="7"/>
  <c r="E1220" i="7" l="1"/>
  <c r="C1222" i="7"/>
  <c r="D1221" i="7"/>
  <c r="E1221" i="7" s="1"/>
  <c r="F1221" i="7" l="1"/>
  <c r="C1223" i="7"/>
  <c r="D1222" i="7"/>
  <c r="F1222" i="7" s="1"/>
  <c r="C1224" i="7" l="1"/>
  <c r="D1223" i="7"/>
  <c r="E1223" i="7" s="1"/>
  <c r="E1222" i="7"/>
  <c r="C1225" i="7" l="1"/>
  <c r="D1224" i="7"/>
  <c r="F1224" i="7" s="1"/>
  <c r="F1223" i="7"/>
  <c r="E1224" i="7" l="1"/>
  <c r="C1226" i="7"/>
  <c r="D1225" i="7"/>
  <c r="E1225" i="7" s="1"/>
  <c r="C1227" i="7" l="1"/>
  <c r="D1226" i="7"/>
  <c r="F1226" i="7" s="1"/>
  <c r="F1225" i="7"/>
  <c r="E1226" i="7" l="1"/>
  <c r="C1228" i="7"/>
  <c r="D1227" i="7"/>
  <c r="E1227" i="7" s="1"/>
  <c r="F1227" i="7" l="1"/>
  <c r="C1229" i="7"/>
  <c r="D1228" i="7"/>
  <c r="F1228" i="7" s="1"/>
  <c r="C1230" i="7" l="1"/>
  <c r="D1229" i="7"/>
  <c r="E1229" i="7" s="1"/>
  <c r="E1228" i="7"/>
  <c r="C1231" i="7" l="1"/>
  <c r="D1230" i="7"/>
  <c r="F1230" i="7" s="1"/>
  <c r="F1229" i="7"/>
  <c r="E1230" i="7" l="1"/>
  <c r="C1232" i="7"/>
  <c r="D1231" i="7"/>
  <c r="E1231" i="7" s="1"/>
  <c r="C1233" i="7" l="1"/>
  <c r="D1232" i="7"/>
  <c r="F1232" i="7" s="1"/>
  <c r="F1231" i="7"/>
  <c r="E1232" i="7" l="1"/>
  <c r="C1234" i="7"/>
  <c r="D1233" i="7"/>
  <c r="E1233" i="7" s="1"/>
  <c r="C1235" i="7" l="1"/>
  <c r="D1234" i="7"/>
  <c r="F1234" i="7" s="1"/>
  <c r="F1233" i="7"/>
  <c r="E1234" i="7" l="1"/>
  <c r="C1236" i="7"/>
  <c r="D1235" i="7"/>
  <c r="E1235" i="7" s="1"/>
  <c r="C1237" i="7" l="1"/>
  <c r="D1236" i="7"/>
  <c r="F1236" i="7" s="1"/>
  <c r="F1235" i="7"/>
  <c r="E1236" i="7" l="1"/>
  <c r="C1238" i="7"/>
  <c r="D1237" i="7"/>
  <c r="E1237" i="7" s="1"/>
  <c r="F1237" i="7" l="1"/>
  <c r="C1239" i="7"/>
  <c r="D1238" i="7"/>
  <c r="F1238" i="7" s="1"/>
  <c r="E1238" i="7" l="1"/>
  <c r="C1240" i="7"/>
  <c r="D1239" i="7"/>
  <c r="E1239" i="7" s="1"/>
  <c r="C1241" i="7" l="1"/>
  <c r="D1240" i="7"/>
  <c r="F1240" i="7" s="1"/>
  <c r="F1239" i="7"/>
  <c r="E1240" i="7" l="1"/>
  <c r="C1242" i="7"/>
  <c r="D1241" i="7"/>
  <c r="E1241" i="7" s="1"/>
  <c r="C1243" i="7" l="1"/>
  <c r="D1242" i="7"/>
  <c r="F1242" i="7" s="1"/>
  <c r="F1241" i="7"/>
  <c r="E1242" i="7" l="1"/>
  <c r="C1244" i="7"/>
  <c r="D1243" i="7"/>
  <c r="E1243" i="7" s="1"/>
  <c r="F1243" i="7" l="1"/>
  <c r="C1245" i="7"/>
  <c r="D1244" i="7"/>
  <c r="F1244" i="7" s="1"/>
  <c r="C1246" i="7" l="1"/>
  <c r="D1245" i="7"/>
  <c r="E1245" i="7" s="1"/>
  <c r="E1244" i="7"/>
  <c r="F1245" i="7" l="1"/>
  <c r="C1247" i="7"/>
  <c r="D1246" i="7"/>
  <c r="F1246" i="7" s="1"/>
  <c r="E1246" i="7" l="1"/>
  <c r="C1248" i="7"/>
  <c r="D1247" i="7"/>
  <c r="F1247" i="7" s="1"/>
  <c r="C1249" i="7" l="1"/>
  <c r="D1248" i="7"/>
  <c r="E1248" i="7" s="1"/>
  <c r="E1247" i="7"/>
  <c r="C1250" i="7" l="1"/>
  <c r="D1249" i="7"/>
  <c r="F1249" i="7" s="1"/>
  <c r="F1248" i="7"/>
  <c r="E1249" i="7" l="1"/>
  <c r="C1251" i="7"/>
  <c r="D1250" i="7"/>
  <c r="E1250" i="7" l="1"/>
  <c r="F1250" i="7"/>
  <c r="C1252" i="7"/>
  <c r="D1251" i="7"/>
  <c r="E1251" i="7" l="1"/>
  <c r="F1251" i="7"/>
  <c r="C1253" i="7"/>
  <c r="D1252" i="7"/>
  <c r="E1252" i="7" l="1"/>
  <c r="F1252" i="7"/>
  <c r="C1254" i="7"/>
  <c r="D1253" i="7"/>
  <c r="F1253" i="7" s="1"/>
  <c r="E1253" i="7" l="1"/>
  <c r="C1255" i="7"/>
  <c r="D1254" i="7"/>
  <c r="E1254" i="7" s="1"/>
  <c r="F1254" i="7" l="1"/>
  <c r="C1256" i="7"/>
  <c r="D1255" i="7"/>
  <c r="F1255" i="7" s="1"/>
  <c r="C1257" i="7" l="1"/>
  <c r="D1256" i="7"/>
  <c r="E1256" i="7" s="1"/>
  <c r="E1255" i="7"/>
  <c r="F1256" i="7" l="1"/>
  <c r="C1258" i="7"/>
  <c r="D1257" i="7"/>
  <c r="F1257" i="7" s="1"/>
  <c r="C1259" i="7" l="1"/>
  <c r="D1258" i="7"/>
  <c r="E1258" i="7" s="1"/>
  <c r="E1257" i="7"/>
  <c r="F1258" i="7" l="1"/>
  <c r="C1260" i="7"/>
  <c r="D1259" i="7"/>
  <c r="F1259" i="7" s="1"/>
  <c r="E1259" i="7" l="1"/>
  <c r="C1261" i="7"/>
  <c r="D1260" i="7"/>
  <c r="E1260" i="7" s="1"/>
  <c r="F1260" i="7" l="1"/>
  <c r="C1262" i="7"/>
  <c r="D1261" i="7"/>
  <c r="F1261" i="7" s="1"/>
  <c r="C1263" i="7" l="1"/>
  <c r="D1262" i="7"/>
  <c r="E1262" i="7" s="1"/>
  <c r="E1261" i="7"/>
  <c r="F1262" i="7" l="1"/>
  <c r="C1264" i="7"/>
  <c r="D1263" i="7"/>
  <c r="F1263" i="7" s="1"/>
  <c r="C1265" i="7" l="1"/>
  <c r="D1264" i="7"/>
  <c r="F1264" i="7" s="1"/>
  <c r="E1263" i="7"/>
  <c r="E1264" i="7" l="1"/>
  <c r="C1266" i="7"/>
  <c r="D1265" i="7"/>
  <c r="E1265" i="7" s="1"/>
  <c r="F1265" i="7" l="1"/>
  <c r="C1267" i="7"/>
  <c r="D1266" i="7"/>
  <c r="F1266" i="7" s="1"/>
  <c r="E1266" i="7" l="1"/>
  <c r="C1268" i="7"/>
  <c r="D1267" i="7"/>
  <c r="E1267" i="7" s="1"/>
  <c r="C1269" i="7" l="1"/>
  <c r="D1268" i="7"/>
  <c r="F1268" i="7" s="1"/>
  <c r="F1267" i="7"/>
  <c r="E1268" i="7" l="1"/>
  <c r="C1270" i="7"/>
  <c r="D1269" i="7"/>
  <c r="E1269" i="7" s="1"/>
  <c r="C1271" i="7" l="1"/>
  <c r="D1270" i="7"/>
  <c r="F1270" i="7" s="1"/>
  <c r="F1269" i="7"/>
  <c r="E1270" i="7" l="1"/>
  <c r="C1272" i="7"/>
  <c r="D1271" i="7"/>
  <c r="E1271" i="7" s="1"/>
  <c r="C1273" i="7" l="1"/>
  <c r="D1272" i="7"/>
  <c r="F1272" i="7" s="1"/>
  <c r="F1271" i="7"/>
  <c r="E1272" i="7" l="1"/>
  <c r="C1274" i="7"/>
  <c r="D1273" i="7"/>
  <c r="E1273" i="7" s="1"/>
  <c r="C1275" i="7" l="1"/>
  <c r="D1274" i="7"/>
  <c r="F1274" i="7" s="1"/>
  <c r="F1273" i="7"/>
  <c r="E1274" i="7" l="1"/>
  <c r="C1276" i="7"/>
  <c r="D1275" i="7"/>
  <c r="E1275" i="7" s="1"/>
  <c r="F1275" i="7" l="1"/>
  <c r="C1277" i="7"/>
  <c r="D1276" i="7"/>
  <c r="F1276" i="7" s="1"/>
  <c r="E1276" i="7" l="1"/>
  <c r="C1278" i="7"/>
  <c r="D1277" i="7"/>
  <c r="E1277" i="7" s="1"/>
  <c r="C1279" i="7" l="1"/>
  <c r="D1278" i="7"/>
  <c r="F1278" i="7" s="1"/>
  <c r="F1277" i="7"/>
  <c r="E1278" i="7" l="1"/>
  <c r="C1280" i="7"/>
  <c r="D1279" i="7"/>
  <c r="E1279" i="7" s="1"/>
  <c r="C1281" i="7" l="1"/>
  <c r="D1280" i="7"/>
  <c r="F1280" i="7" s="1"/>
  <c r="F1279" i="7"/>
  <c r="E1280" i="7" l="1"/>
  <c r="C1282" i="7"/>
  <c r="D1281" i="7"/>
  <c r="E1281" i="7" s="1"/>
  <c r="C1283" i="7" l="1"/>
  <c r="D1282" i="7"/>
  <c r="F1282" i="7" s="1"/>
  <c r="F1281" i="7"/>
  <c r="E1282" i="7" l="1"/>
  <c r="C1284" i="7"/>
  <c r="D1283" i="7"/>
  <c r="E1283" i="7" s="1"/>
  <c r="C1285" i="7" l="1"/>
  <c r="D1284" i="7"/>
  <c r="F1284" i="7" s="1"/>
  <c r="F1283" i="7"/>
  <c r="E1284" i="7" l="1"/>
  <c r="C1286" i="7"/>
  <c r="D1285" i="7"/>
  <c r="E1285" i="7" s="1"/>
  <c r="F1285" i="7" l="1"/>
  <c r="C1287" i="7"/>
  <c r="D1286" i="7"/>
  <c r="F1286" i="7" s="1"/>
  <c r="E1286" i="7" l="1"/>
  <c r="C1288" i="7"/>
  <c r="D1287" i="7"/>
  <c r="E1287" i="7" s="1"/>
  <c r="C1289" i="7" l="1"/>
  <c r="D1288" i="7"/>
  <c r="F1288" i="7" s="1"/>
  <c r="F1287" i="7"/>
  <c r="E1288" i="7" l="1"/>
  <c r="C1290" i="7"/>
  <c r="D1289" i="7"/>
  <c r="E1289" i="7" s="1"/>
  <c r="F1289" i="7" l="1"/>
  <c r="C1291" i="7"/>
  <c r="D1290" i="7"/>
  <c r="F1290" i="7" s="1"/>
  <c r="E1290" i="7" l="1"/>
  <c r="C1292" i="7"/>
  <c r="D1291" i="7"/>
  <c r="E1291" i="7" s="1"/>
  <c r="C1293" i="7" l="1"/>
  <c r="D1292" i="7"/>
  <c r="F1292" i="7" s="1"/>
  <c r="F1291" i="7"/>
  <c r="E1292" i="7" l="1"/>
  <c r="C1294" i="7"/>
  <c r="D1293" i="7"/>
  <c r="E1293" i="7" s="1"/>
  <c r="F1293" i="7" l="1"/>
  <c r="C1295" i="7"/>
  <c r="D1294" i="7"/>
  <c r="F1294" i="7" s="1"/>
  <c r="E1294" i="7" l="1"/>
  <c r="C1296" i="7"/>
  <c r="D1295" i="7"/>
  <c r="E1295" i="7" s="1"/>
  <c r="F1295" i="7" l="1"/>
  <c r="C1297" i="7"/>
  <c r="D1296" i="7"/>
  <c r="E1296" i="7" l="1"/>
  <c r="C1298" i="7"/>
  <c r="D1297" i="7"/>
  <c r="F1297" i="7" s="1"/>
  <c r="F1296" i="7"/>
  <c r="E1297" i="7" l="1"/>
  <c r="C1299" i="7"/>
  <c r="D1298" i="7"/>
  <c r="E1298" i="7" l="1"/>
  <c r="C1300" i="7"/>
  <c r="D1299" i="7"/>
  <c r="F1299" i="7" s="1"/>
  <c r="F1298" i="7"/>
  <c r="E1299" i="7" s="1"/>
  <c r="C1301" i="7" l="1"/>
  <c r="D1300" i="7"/>
  <c r="E1300" i="7" l="1"/>
  <c r="C1302" i="7"/>
  <c r="D1301" i="7"/>
  <c r="F1301" i="7" s="1"/>
  <c r="F1300" i="7"/>
  <c r="E1301" i="7" l="1"/>
  <c r="C1303" i="7"/>
  <c r="D1302" i="7"/>
  <c r="E1302" i="7" s="1"/>
  <c r="C1304" i="7" l="1"/>
  <c r="D1303" i="7"/>
  <c r="F1303" i="7" s="1"/>
  <c r="F1302" i="7"/>
  <c r="E1303" i="7" l="1"/>
  <c r="C1305" i="7"/>
  <c r="D1304" i="7"/>
  <c r="E1304" i="7" s="1"/>
  <c r="F1304" i="7" l="1"/>
  <c r="C1306" i="7"/>
  <c r="D1305" i="7"/>
  <c r="E1305" i="7" l="1"/>
  <c r="C1307" i="7"/>
  <c r="D1306" i="7"/>
  <c r="F1306" i="7" s="1"/>
  <c r="F1305" i="7"/>
  <c r="E1306" i="7" l="1"/>
  <c r="C1308" i="7"/>
  <c r="D1307" i="7"/>
  <c r="E1307" i="7" s="1"/>
  <c r="C1309" i="7" l="1"/>
  <c r="D1308" i="7"/>
  <c r="F1308" i="7" s="1"/>
  <c r="F1307" i="7"/>
  <c r="E1308" i="7" l="1"/>
  <c r="C1310" i="7"/>
  <c r="D1309" i="7"/>
  <c r="E1309" i="7" s="1"/>
  <c r="C1311" i="7" l="1"/>
  <c r="D1310" i="7"/>
  <c r="F1310" i="7" s="1"/>
  <c r="F1309" i="7"/>
  <c r="E1310" i="7" l="1"/>
  <c r="C1312" i="7"/>
  <c r="D1311" i="7"/>
  <c r="E1311" i="7" s="1"/>
  <c r="F1311" i="7" l="1"/>
  <c r="C1313" i="7"/>
  <c r="D1312" i="7"/>
  <c r="F1312" i="7" s="1"/>
  <c r="E1312" i="7" l="1"/>
  <c r="C1314" i="7"/>
  <c r="D1313" i="7"/>
  <c r="E1313" i="7" s="1"/>
  <c r="C1315" i="7" l="1"/>
  <c r="D1314" i="7"/>
  <c r="F1314" i="7" s="1"/>
  <c r="F1313" i="7"/>
  <c r="E1314" i="7" l="1"/>
  <c r="C1316" i="7"/>
  <c r="D1315" i="7"/>
  <c r="E1315" i="7" s="1"/>
  <c r="C1317" i="7" l="1"/>
  <c r="D1316" i="7"/>
  <c r="F1316" i="7" s="1"/>
  <c r="F1315" i="7"/>
  <c r="E1316" i="7" l="1"/>
  <c r="C1318" i="7"/>
  <c r="D1317" i="7"/>
  <c r="E1317" i="7" s="1"/>
  <c r="C1319" i="7" l="1"/>
  <c r="D1318" i="7"/>
  <c r="F1318" i="7" s="1"/>
  <c r="F1317" i="7"/>
  <c r="E1318" i="7" l="1"/>
  <c r="C1320" i="7"/>
  <c r="D1319" i="7"/>
  <c r="E1319" i="7" s="1"/>
  <c r="F1319" i="7" l="1"/>
  <c r="C1321" i="7"/>
  <c r="D1320" i="7"/>
  <c r="E1320" i="7" l="1"/>
  <c r="F1320" i="7"/>
  <c r="C1322" i="7"/>
  <c r="D1321" i="7"/>
  <c r="F1321" i="7" s="1"/>
  <c r="E1321" i="7" l="1"/>
  <c r="C1323" i="7"/>
  <c r="D1322" i="7"/>
  <c r="E1322" i="7" s="1"/>
  <c r="C1324" i="7" l="1"/>
  <c r="D1323" i="7"/>
  <c r="F1323" i="7" s="1"/>
  <c r="F1322" i="7"/>
  <c r="E1323" i="7" l="1"/>
  <c r="C1325" i="7"/>
  <c r="D1324" i="7"/>
  <c r="E1324" i="7" l="1"/>
  <c r="C1326" i="7"/>
  <c r="D1325" i="7"/>
  <c r="F1325" i="7" s="1"/>
  <c r="F1324" i="7"/>
  <c r="E1325" i="7" l="1"/>
  <c r="C1327" i="7"/>
  <c r="D1326" i="7"/>
  <c r="E1326" i="7" s="1"/>
  <c r="C1328" i="7" l="1"/>
  <c r="D1327" i="7"/>
  <c r="F1327" i="7" s="1"/>
  <c r="F1326" i="7"/>
  <c r="E1327" i="7" s="1"/>
  <c r="C1329" i="7" l="1"/>
  <c r="D1328" i="7"/>
  <c r="E1328" i="7" l="1"/>
  <c r="C1330" i="7"/>
  <c r="D1329" i="7"/>
  <c r="F1329" i="7" s="1"/>
  <c r="F1328" i="7"/>
  <c r="E1329" i="7" l="1"/>
  <c r="C1331" i="7"/>
  <c r="D1330" i="7"/>
  <c r="E1330" i="7" s="1"/>
  <c r="C1332" i="7" l="1"/>
  <c r="D1331" i="7"/>
  <c r="F1331" i="7" s="1"/>
  <c r="F1330" i="7"/>
  <c r="E1331" i="7" s="1"/>
  <c r="C1333" i="7" l="1"/>
  <c r="D1332" i="7"/>
  <c r="E1332" i="7" l="1"/>
  <c r="C1334" i="7"/>
  <c r="D1333" i="7"/>
  <c r="F1333" i="7" s="1"/>
  <c r="F1332" i="7"/>
  <c r="E1333" i="7" l="1"/>
  <c r="C1335" i="7"/>
  <c r="D1334" i="7"/>
  <c r="E1334" i="7" s="1"/>
  <c r="C1336" i="7" l="1"/>
  <c r="D1335" i="7"/>
  <c r="F1335" i="7" s="1"/>
  <c r="F1334" i="7"/>
  <c r="E1335" i="7" l="1"/>
  <c r="C1337" i="7"/>
  <c r="D1336" i="7"/>
  <c r="E1336" i="7" l="1"/>
  <c r="F1336" i="7"/>
  <c r="C1338" i="7"/>
  <c r="D1337" i="7"/>
  <c r="E1337" i="7" l="1"/>
  <c r="C1339" i="7"/>
  <c r="D1338" i="7"/>
  <c r="F1338" i="7" s="1"/>
  <c r="F1337" i="7"/>
  <c r="E1338" i="7" s="1"/>
  <c r="C1340" i="7" l="1"/>
  <c r="D1339" i="7"/>
  <c r="E1339" i="7" s="1"/>
  <c r="C1341" i="7" l="1"/>
  <c r="D1340" i="7"/>
  <c r="F1340" i="7" s="1"/>
  <c r="F1339" i="7"/>
  <c r="E1340" i="7" l="1"/>
  <c r="C1342" i="7"/>
  <c r="D1341" i="7"/>
  <c r="E1341" i="7" s="1"/>
  <c r="C1343" i="7" l="1"/>
  <c r="D1342" i="7"/>
  <c r="F1342" i="7" s="1"/>
  <c r="F1341" i="7"/>
  <c r="E1342" i="7" l="1"/>
  <c r="C1344" i="7"/>
  <c r="D1343" i="7"/>
  <c r="E1343" i="7" s="1"/>
  <c r="C1345" i="7" l="1"/>
  <c r="D1344" i="7"/>
  <c r="F1344" i="7" s="1"/>
  <c r="F1343" i="7"/>
  <c r="E1344" i="7" l="1"/>
  <c r="C1346" i="7"/>
  <c r="D1345" i="7"/>
  <c r="E1345" i="7" s="1"/>
  <c r="C1347" i="7" l="1"/>
  <c r="D1346" i="7"/>
  <c r="F1346" i="7" s="1"/>
  <c r="F1345" i="7"/>
  <c r="E1346" i="7" l="1"/>
  <c r="C1348" i="7"/>
  <c r="D1347" i="7"/>
  <c r="E1347" i="7" s="1"/>
  <c r="C1349" i="7" l="1"/>
  <c r="D1348" i="7"/>
  <c r="F1348" i="7" s="1"/>
  <c r="F1347" i="7"/>
  <c r="E1348" i="7" l="1"/>
  <c r="C1350" i="7"/>
  <c r="D1349" i="7"/>
  <c r="E1349" i="7" s="1"/>
  <c r="C1351" i="7" l="1"/>
  <c r="D1350" i="7"/>
  <c r="F1350" i="7" s="1"/>
  <c r="F1349" i="7"/>
  <c r="E1350" i="7" l="1"/>
  <c r="C1352" i="7"/>
  <c r="D1351" i="7"/>
  <c r="E1351" i="7" s="1"/>
  <c r="F1351" i="7" l="1"/>
  <c r="C1353" i="7"/>
  <c r="D1352" i="7"/>
  <c r="F1352" i="7" s="1"/>
  <c r="E1352" i="7" l="1"/>
  <c r="C1354" i="7"/>
  <c r="D1353" i="7"/>
  <c r="E1353" i="7" s="1"/>
  <c r="C1355" i="7" l="1"/>
  <c r="D1354" i="7"/>
  <c r="F1354" i="7" s="1"/>
  <c r="F1353" i="7"/>
  <c r="E1354" i="7" l="1"/>
  <c r="C1356" i="7"/>
  <c r="D1355" i="7"/>
  <c r="E1355" i="7" s="1"/>
  <c r="C1357" i="7" l="1"/>
  <c r="D1356" i="7"/>
  <c r="F1356" i="7" s="1"/>
  <c r="F1355" i="7"/>
  <c r="E1356" i="7" l="1"/>
  <c r="C1358" i="7"/>
  <c r="D1357" i="7"/>
  <c r="E1357" i="7" s="1"/>
  <c r="F1357" i="7" l="1"/>
  <c r="C1359" i="7"/>
  <c r="D1358" i="7"/>
  <c r="E1358" i="7" l="1"/>
  <c r="C1360" i="7"/>
  <c r="D1359" i="7"/>
  <c r="F1359" i="7" s="1"/>
  <c r="F1358" i="7"/>
  <c r="E1359" i="7" l="1"/>
  <c r="C1361" i="7"/>
  <c r="D1360" i="7"/>
  <c r="E1360" i="7" s="1"/>
  <c r="F1360" i="7" l="1"/>
  <c r="C1362" i="7"/>
  <c r="D1361" i="7"/>
  <c r="E1361" i="7" l="1"/>
  <c r="C1363" i="7"/>
  <c r="D1362" i="7"/>
  <c r="F1362" i="7" s="1"/>
  <c r="F1361" i="7"/>
  <c r="E1362" i="7" s="1"/>
  <c r="C1364" i="7" l="1"/>
  <c r="D1363" i="7"/>
  <c r="E1363" i="7" s="1"/>
  <c r="C1365" i="7" l="1"/>
  <c r="D1364" i="7"/>
  <c r="F1364" i="7" s="1"/>
  <c r="F1363" i="7"/>
  <c r="E1364" i="7" l="1"/>
  <c r="C1366" i="7"/>
  <c r="D1365" i="7"/>
  <c r="E1365" i="7" s="1"/>
  <c r="C1367" i="7" l="1"/>
  <c r="D1366" i="7"/>
  <c r="F1366" i="7" s="1"/>
  <c r="F1365" i="7"/>
  <c r="E1366" i="7" l="1"/>
  <c r="C1368" i="7"/>
  <c r="D1367" i="7"/>
  <c r="E1367" i="7" s="1"/>
  <c r="C1369" i="7" l="1"/>
  <c r="D1368" i="7"/>
  <c r="F1368" i="7" s="1"/>
  <c r="F1367" i="7"/>
  <c r="E1368" i="7" l="1"/>
  <c r="C1370" i="7"/>
  <c r="D1369" i="7"/>
  <c r="E1369" i="7" s="1"/>
  <c r="C1371" i="7" l="1"/>
  <c r="D1370" i="7"/>
  <c r="F1370" i="7" s="1"/>
  <c r="F1369" i="7"/>
  <c r="E1370" i="7" l="1"/>
  <c r="C1372" i="7"/>
  <c r="D1371" i="7"/>
  <c r="E1371" i="7" s="1"/>
  <c r="C1373" i="7" l="1"/>
  <c r="D1372" i="7"/>
  <c r="F1372" i="7" s="1"/>
  <c r="F1371" i="7"/>
  <c r="E1372" i="7" l="1"/>
  <c r="C1374" i="7"/>
  <c r="D1373" i="7"/>
  <c r="E1373" i="7" s="1"/>
  <c r="C1375" i="7" l="1"/>
  <c r="D1374" i="7"/>
  <c r="F1374" i="7" s="1"/>
  <c r="F1373" i="7"/>
  <c r="E1374" i="7" l="1"/>
  <c r="C1376" i="7"/>
  <c r="D1375" i="7"/>
  <c r="E1375" i="7" s="1"/>
  <c r="F1375" i="7" l="1"/>
  <c r="C1377" i="7"/>
  <c r="D1376" i="7"/>
  <c r="F1376" i="7" s="1"/>
  <c r="C1378" i="7" l="1"/>
  <c r="D1377" i="7"/>
  <c r="E1377" i="7" s="1"/>
  <c r="E1376" i="7"/>
  <c r="C1379" i="7" l="1"/>
  <c r="D1378" i="7"/>
  <c r="F1378" i="7" s="1"/>
  <c r="F1377" i="7"/>
  <c r="E1378" i="7" l="1"/>
  <c r="C1380" i="7"/>
  <c r="D1379" i="7"/>
  <c r="E1379" i="7" s="1"/>
  <c r="C1381" i="7" l="1"/>
  <c r="D1380" i="7"/>
  <c r="F1380" i="7" s="1"/>
  <c r="F1379" i="7"/>
  <c r="E1380" i="7" l="1"/>
  <c r="C1382" i="7"/>
  <c r="D1381" i="7"/>
  <c r="E1381" i="7" s="1"/>
  <c r="C1383" i="7" l="1"/>
  <c r="D1382" i="7"/>
  <c r="F1382" i="7" s="1"/>
  <c r="F1381" i="7"/>
  <c r="E1382" i="7" l="1"/>
  <c r="C1384" i="7"/>
  <c r="D1383" i="7"/>
  <c r="E1383" i="7" s="1"/>
  <c r="C1385" i="7" l="1"/>
  <c r="D1384" i="7"/>
  <c r="F1384" i="7" s="1"/>
  <c r="F1383" i="7"/>
  <c r="E1384" i="7" l="1"/>
  <c r="C1386" i="7"/>
  <c r="D1385" i="7"/>
  <c r="E1385" i="7" s="1"/>
  <c r="C1387" i="7" l="1"/>
  <c r="D1386" i="7"/>
  <c r="F1386" i="7" s="1"/>
  <c r="F1385" i="7"/>
  <c r="E1386" i="7" l="1"/>
  <c r="C1388" i="7"/>
  <c r="D1387" i="7"/>
  <c r="E1387" i="7" s="1"/>
  <c r="C1389" i="7" l="1"/>
  <c r="D1388" i="7"/>
  <c r="F1388" i="7" s="1"/>
  <c r="F1387" i="7"/>
  <c r="E1388" i="7" l="1"/>
  <c r="C1390" i="7"/>
  <c r="D1389" i="7"/>
  <c r="E1389" i="7" s="1"/>
  <c r="C1391" i="7" l="1"/>
  <c r="D1390" i="7"/>
  <c r="F1390" i="7" s="1"/>
  <c r="F1389" i="7"/>
  <c r="E1390" i="7" l="1"/>
  <c r="C1392" i="7"/>
  <c r="D1391" i="7"/>
  <c r="E1391" i="7" s="1"/>
  <c r="C1393" i="7" l="1"/>
  <c r="D1392" i="7"/>
  <c r="F1392" i="7" s="1"/>
  <c r="F1391" i="7"/>
  <c r="E1392" i="7" l="1"/>
  <c r="C1394" i="7"/>
  <c r="D1393" i="7"/>
  <c r="E1393" i="7" s="1"/>
  <c r="C1395" i="7" l="1"/>
  <c r="D1394" i="7"/>
  <c r="F1394" i="7" s="1"/>
  <c r="F1393" i="7"/>
  <c r="E1394" i="7" l="1"/>
  <c r="C1396" i="7"/>
  <c r="D1395" i="7"/>
  <c r="E1395" i="7" s="1"/>
  <c r="F1395" i="7" l="1"/>
  <c r="C1397" i="7"/>
  <c r="D1396" i="7"/>
  <c r="E1396" i="7" l="1"/>
  <c r="C1398" i="7"/>
  <c r="D1397" i="7"/>
  <c r="F1397" i="7" s="1"/>
  <c r="F1396" i="7"/>
  <c r="E1397" i="7" l="1"/>
  <c r="C1399" i="7"/>
  <c r="D1398" i="7"/>
  <c r="E1398" i="7" l="1"/>
  <c r="C1400" i="7"/>
  <c r="D1399" i="7"/>
  <c r="F1399" i="7" s="1"/>
  <c r="F1398" i="7"/>
  <c r="E1399" i="7" s="1"/>
  <c r="C1401" i="7" l="1"/>
  <c r="D1400" i="7"/>
  <c r="E1400" i="7" l="1"/>
  <c r="C1402" i="7"/>
  <c r="D1401" i="7"/>
  <c r="F1401" i="7" s="1"/>
  <c r="F1400" i="7"/>
  <c r="E1401" i="7" l="1"/>
  <c r="C1403" i="7"/>
  <c r="D1402" i="7"/>
  <c r="E1402" i="7" l="1"/>
  <c r="C1404" i="7"/>
  <c r="D1403" i="7"/>
  <c r="F1403" i="7" s="1"/>
  <c r="F1402" i="7"/>
  <c r="E1403" i="7" s="1"/>
  <c r="C1405" i="7" l="1"/>
  <c r="D1404" i="7"/>
  <c r="E1404" i="7" l="1"/>
  <c r="C1406" i="7"/>
  <c r="D1405" i="7"/>
  <c r="F1405" i="7" s="1"/>
  <c r="F1404" i="7"/>
  <c r="E1405" i="7" s="1"/>
  <c r="C1407" i="7" l="1"/>
  <c r="D1406" i="7"/>
  <c r="E1406" i="7" l="1"/>
  <c r="C1408" i="7"/>
  <c r="D1407" i="7"/>
  <c r="F1407" i="7" s="1"/>
  <c r="F1406" i="7"/>
  <c r="E1407" i="7" s="1"/>
  <c r="C1409" i="7" l="1"/>
  <c r="D1408" i="7"/>
  <c r="E1408" i="7" l="1"/>
  <c r="C1410" i="7"/>
  <c r="D1409" i="7"/>
  <c r="F1409" i="7" s="1"/>
  <c r="F1408" i="7"/>
  <c r="E1409" i="7" l="1"/>
  <c r="C1411" i="7"/>
  <c r="D1410" i="7"/>
  <c r="E1410" i="7" l="1"/>
  <c r="C1412" i="7"/>
  <c r="D1411" i="7"/>
  <c r="F1411" i="7" s="1"/>
  <c r="F1410" i="7"/>
  <c r="E1411" i="7" s="1"/>
  <c r="C1413" i="7" l="1"/>
  <c r="D1412" i="7"/>
  <c r="E1412" i="7" l="1"/>
  <c r="F1412" i="7"/>
  <c r="C1414" i="7"/>
  <c r="D1413" i="7"/>
  <c r="F1413" i="7" s="1"/>
  <c r="C1415" i="7" l="1"/>
  <c r="D1414" i="7"/>
  <c r="E1414" i="7" s="1"/>
  <c r="E1413" i="7"/>
  <c r="C1416" i="7" l="1"/>
  <c r="D1415" i="7"/>
  <c r="F1415" i="7" s="1"/>
  <c r="F1414" i="7"/>
  <c r="E1415" i="7" s="1"/>
  <c r="C1417" i="7" l="1"/>
  <c r="D1416" i="7"/>
  <c r="E1416" i="7" l="1"/>
  <c r="C1418" i="7"/>
  <c r="D1417" i="7"/>
  <c r="F1417" i="7" s="1"/>
  <c r="F1416" i="7"/>
  <c r="E1417" i="7" s="1"/>
  <c r="C1419" i="7" l="1"/>
  <c r="D1418" i="7"/>
  <c r="E1418" i="7" l="1"/>
  <c r="F1418" i="7"/>
  <c r="C1420" i="7"/>
  <c r="D1419" i="7"/>
  <c r="F1419" i="7" s="1"/>
  <c r="E1419" i="7" l="1"/>
  <c r="C1421" i="7"/>
  <c r="D1420" i="7"/>
  <c r="E1420" i="7" s="1"/>
  <c r="F1420" i="7" l="1"/>
  <c r="C1422" i="7"/>
  <c r="D1421" i="7"/>
  <c r="F1421" i="7" s="1"/>
  <c r="E1421" i="7" l="1"/>
  <c r="C1423" i="7"/>
  <c r="D1422" i="7"/>
  <c r="E1422" i="7" s="1"/>
  <c r="C1424" i="7" l="1"/>
  <c r="D1423" i="7"/>
  <c r="F1423" i="7" s="1"/>
  <c r="F1422" i="7"/>
  <c r="E1423" i="7" l="1"/>
  <c r="C1425" i="7"/>
  <c r="D1424" i="7"/>
  <c r="E1424" i="7" s="1"/>
  <c r="F1424" i="7" l="1"/>
  <c r="C1426" i="7"/>
  <c r="D1425" i="7"/>
  <c r="F1425" i="7" s="1"/>
  <c r="E1425" i="7" l="1"/>
  <c r="C1427" i="7"/>
  <c r="D1426" i="7"/>
  <c r="E1426" i="7" s="1"/>
  <c r="F1426" i="7" l="1"/>
  <c r="C1428" i="7"/>
  <c r="D1427" i="7"/>
  <c r="F1427" i="7" s="1"/>
  <c r="E1427" i="7" l="1"/>
  <c r="C1429" i="7"/>
  <c r="D1428" i="7"/>
  <c r="E1428" i="7" s="1"/>
  <c r="C1430" i="7" l="1"/>
  <c r="D1429" i="7"/>
  <c r="F1429" i="7" s="1"/>
  <c r="F1428" i="7"/>
  <c r="E1429" i="7" s="1"/>
  <c r="C1431" i="7" l="1"/>
  <c r="D1430" i="7"/>
  <c r="E1430" i="7" l="1"/>
  <c r="C1432" i="7"/>
  <c r="D1431" i="7"/>
  <c r="F1431" i="7" s="1"/>
  <c r="F1430" i="7"/>
  <c r="E1431" i="7" l="1"/>
  <c r="C1433" i="7"/>
  <c r="D1432" i="7"/>
  <c r="E1432" i="7" l="1"/>
  <c r="C1434" i="7"/>
  <c r="D1433" i="7"/>
  <c r="F1433" i="7" s="1"/>
  <c r="F1432" i="7"/>
  <c r="E1433" i="7" s="1"/>
  <c r="C1435" i="7" l="1"/>
  <c r="D1434" i="7"/>
  <c r="E1434" i="7" l="1"/>
  <c r="C1436" i="7"/>
  <c r="D1435" i="7"/>
  <c r="F1435" i="7" s="1"/>
  <c r="F1434" i="7"/>
  <c r="E1435" i="7" l="1"/>
  <c r="C1437" i="7"/>
  <c r="D1436" i="7"/>
  <c r="E1436" i="7" l="1"/>
  <c r="C1438" i="7"/>
  <c r="D1437" i="7"/>
  <c r="F1437" i="7" s="1"/>
  <c r="F1436" i="7"/>
  <c r="E1437" i="7" s="1"/>
  <c r="C1439" i="7" l="1"/>
  <c r="D1438" i="7"/>
  <c r="E1438" i="7" l="1"/>
  <c r="C1440" i="7"/>
  <c r="D1439" i="7"/>
  <c r="F1439" i="7" s="1"/>
  <c r="F1438" i="7"/>
  <c r="E1439" i="7" s="1"/>
  <c r="C1441" i="7" l="1"/>
  <c r="D1440" i="7"/>
  <c r="E1440" i="7" l="1"/>
  <c r="C1442" i="7"/>
  <c r="D1441" i="7"/>
  <c r="F1441" i="7" s="1"/>
  <c r="F1440" i="7"/>
  <c r="E1441" i="7" l="1"/>
  <c r="C1443" i="7"/>
  <c r="D1442" i="7"/>
  <c r="E1442" i="7" l="1"/>
  <c r="C1444" i="7"/>
  <c r="D1443" i="7"/>
  <c r="F1443" i="7" s="1"/>
  <c r="F1442" i="7"/>
  <c r="E1443" i="7" l="1"/>
  <c r="C1445" i="7"/>
  <c r="D1444" i="7"/>
  <c r="E1444" i="7" l="1"/>
  <c r="F1444" i="7"/>
  <c r="C1446" i="7"/>
  <c r="D1445" i="7"/>
  <c r="E1445" i="7" l="1"/>
  <c r="C1447" i="7"/>
  <c r="D1446" i="7"/>
  <c r="F1446" i="7" s="1"/>
  <c r="F1445" i="7"/>
  <c r="E1446" i="7" s="1"/>
  <c r="C1448" i="7" l="1"/>
  <c r="D1447" i="7"/>
  <c r="E1447" i="7" s="1"/>
  <c r="C1449" i="7" l="1"/>
  <c r="D1448" i="7"/>
  <c r="F1448" i="7" s="1"/>
  <c r="F1447" i="7"/>
  <c r="E1448" i="7" l="1"/>
  <c r="C1450" i="7"/>
  <c r="D1449" i="7"/>
  <c r="E1449" i="7" s="1"/>
  <c r="C1451" i="7" l="1"/>
  <c r="D1450" i="7"/>
  <c r="F1450" i="7" s="1"/>
  <c r="F1449" i="7"/>
  <c r="E1450" i="7" l="1"/>
  <c r="C1452" i="7"/>
  <c r="D1451" i="7"/>
  <c r="E1451" i="7" s="1"/>
  <c r="C1453" i="7" l="1"/>
  <c r="D1452" i="7"/>
  <c r="F1452" i="7" s="1"/>
  <c r="F1451" i="7"/>
  <c r="E1452" i="7" l="1"/>
  <c r="C1454" i="7"/>
  <c r="D1453" i="7"/>
  <c r="E1453" i="7" s="1"/>
  <c r="C1455" i="7" l="1"/>
  <c r="D1454" i="7"/>
  <c r="F1454" i="7" s="1"/>
  <c r="F1453" i="7"/>
  <c r="E1454" i="7" l="1"/>
  <c r="C1456" i="7"/>
  <c r="D1455" i="7"/>
  <c r="E1455" i="7" s="1"/>
  <c r="F1455" i="7" l="1"/>
  <c r="C1457" i="7"/>
  <c r="D1456" i="7"/>
  <c r="F1456" i="7" s="1"/>
  <c r="C1458" i="7" l="1"/>
  <c r="D1457" i="7"/>
  <c r="E1457" i="7" s="1"/>
  <c r="E1456" i="7"/>
  <c r="C1459" i="7" l="1"/>
  <c r="D1458" i="7"/>
  <c r="F1458" i="7" s="1"/>
  <c r="F1457" i="7"/>
  <c r="E1458" i="7" l="1"/>
  <c r="C1460" i="7"/>
  <c r="D1459" i="7"/>
  <c r="E1459" i="7" s="1"/>
  <c r="C1461" i="7" l="1"/>
  <c r="D1460" i="7"/>
  <c r="F1460" i="7" s="1"/>
  <c r="F1459" i="7"/>
  <c r="E1460" i="7" l="1"/>
  <c r="C1462" i="7"/>
  <c r="D1461" i="7"/>
  <c r="E1461" i="7" s="1"/>
  <c r="C1463" i="7" l="1"/>
  <c r="D1462" i="7"/>
  <c r="F1462" i="7" s="1"/>
  <c r="F1461" i="7"/>
  <c r="E1462" i="7" l="1"/>
  <c r="C1464" i="7"/>
  <c r="D1463" i="7"/>
  <c r="E1463" i="7" s="1"/>
  <c r="F1463" i="7" l="1"/>
  <c r="C1465" i="7"/>
  <c r="D1464" i="7"/>
  <c r="F1464" i="7" s="1"/>
  <c r="C1466" i="7" l="1"/>
  <c r="D1465" i="7"/>
  <c r="E1465" i="7" s="1"/>
  <c r="E1464" i="7"/>
  <c r="F1465" i="7" l="1"/>
  <c r="C1467" i="7"/>
  <c r="D1466" i="7"/>
  <c r="F1466" i="7" s="1"/>
  <c r="C1468" i="7" l="1"/>
  <c r="D1467" i="7"/>
  <c r="E1467" i="7" s="1"/>
  <c r="E1466" i="7"/>
  <c r="C1469" i="7" l="1"/>
  <c r="D1468" i="7"/>
  <c r="F1468" i="7" s="1"/>
  <c r="F1467" i="7"/>
  <c r="E1468" i="7" l="1"/>
  <c r="C1470" i="7"/>
  <c r="D1469" i="7"/>
  <c r="E1469" i="7" s="1"/>
  <c r="C1471" i="7" l="1"/>
  <c r="D1470" i="7"/>
  <c r="F1470" i="7" s="1"/>
  <c r="F1469" i="7"/>
  <c r="E1470" i="7" l="1"/>
  <c r="C1472" i="7"/>
  <c r="D1471" i="7"/>
  <c r="E1471" i="7" s="1"/>
  <c r="C1473" i="7" l="1"/>
  <c r="D1472" i="7"/>
  <c r="F1472" i="7" s="1"/>
  <c r="F1471" i="7"/>
  <c r="E1472" i="7" l="1"/>
  <c r="C1474" i="7"/>
  <c r="D1473" i="7"/>
  <c r="E1473" i="7" s="1"/>
  <c r="C1475" i="7" l="1"/>
  <c r="D1474" i="7"/>
  <c r="F1474" i="7" s="1"/>
  <c r="F1473" i="7"/>
  <c r="E1474" i="7" l="1"/>
  <c r="C1476" i="7"/>
  <c r="D1475" i="7"/>
  <c r="E1475" i="7" s="1"/>
  <c r="F1475" i="7" l="1"/>
  <c r="C1477" i="7"/>
  <c r="D1476" i="7"/>
  <c r="E1476" i="7" l="1"/>
  <c r="C1478" i="7"/>
  <c r="D1477" i="7"/>
  <c r="F1477" i="7" s="1"/>
  <c r="F1476" i="7"/>
  <c r="E1477" i="7" l="1"/>
  <c r="C1479" i="7"/>
  <c r="D1478" i="7"/>
  <c r="E1478" i="7" s="1"/>
  <c r="C1480" i="7" l="1"/>
  <c r="D1479" i="7"/>
  <c r="F1479" i="7" s="1"/>
  <c r="F1478" i="7"/>
  <c r="E1479" i="7" s="1"/>
  <c r="C1481" i="7" l="1"/>
  <c r="D1480" i="7"/>
  <c r="E1480" i="7" l="1"/>
  <c r="C1482" i="7"/>
  <c r="D1481" i="7"/>
  <c r="F1481" i="7" s="1"/>
  <c r="F1480" i="7"/>
  <c r="E1481" i="7" l="1"/>
  <c r="C1483" i="7"/>
  <c r="D1482" i="7"/>
  <c r="E1482" i="7" l="1"/>
  <c r="C1484" i="7"/>
  <c r="D1483" i="7"/>
  <c r="F1483" i="7" s="1"/>
  <c r="F1482" i="7"/>
  <c r="E1483" i="7" s="1"/>
  <c r="C1485" i="7" l="1"/>
  <c r="D1484" i="7"/>
  <c r="E1484" i="7" l="1"/>
  <c r="C1486" i="7"/>
  <c r="D1485" i="7"/>
  <c r="F1485" i="7" s="1"/>
  <c r="F1484" i="7"/>
  <c r="E1485" i="7" l="1"/>
  <c r="C1487" i="7"/>
  <c r="D1486" i="7"/>
  <c r="E1486" i="7" l="1"/>
  <c r="C1488" i="7"/>
  <c r="D1487" i="7"/>
  <c r="F1487" i="7" s="1"/>
  <c r="F1486" i="7"/>
  <c r="E1487" i="7" l="1"/>
  <c r="C1489" i="7"/>
  <c r="D1488" i="7"/>
  <c r="E1488" i="7" l="1"/>
  <c r="C1490" i="7"/>
  <c r="D1489" i="7"/>
  <c r="F1489" i="7" s="1"/>
  <c r="F1488" i="7"/>
  <c r="E1489" i="7" l="1"/>
  <c r="C1491" i="7"/>
  <c r="D1490" i="7"/>
  <c r="E1490" i="7" l="1"/>
  <c r="C1492" i="7"/>
  <c r="D1491" i="7"/>
  <c r="F1491" i="7" s="1"/>
  <c r="F1490" i="7"/>
  <c r="E1491" i="7" l="1"/>
  <c r="C1493" i="7"/>
  <c r="D1492" i="7"/>
  <c r="E1492" i="7" l="1"/>
  <c r="F1492" i="7"/>
  <c r="C1494" i="7"/>
  <c r="D1493" i="7"/>
  <c r="F1493" i="7" s="1"/>
  <c r="C1495" i="7" l="1"/>
  <c r="D1494" i="7"/>
  <c r="E1494" i="7" s="1"/>
  <c r="E1493" i="7"/>
  <c r="C1496" i="7" l="1"/>
  <c r="D1495" i="7"/>
  <c r="F1495" i="7" s="1"/>
  <c r="F1494" i="7"/>
  <c r="E1495" i="7" l="1"/>
  <c r="C1497" i="7"/>
  <c r="D1496" i="7"/>
  <c r="E1496" i="7" s="1"/>
  <c r="C1498" i="7" l="1"/>
  <c r="D1497" i="7"/>
  <c r="F1497" i="7" s="1"/>
  <c r="F1496" i="7"/>
  <c r="E1497" i="7" s="1"/>
  <c r="C1499" i="7" l="1"/>
  <c r="D1498" i="7"/>
  <c r="E1498" i="7" l="1"/>
  <c r="C1500" i="7"/>
  <c r="D1499" i="7"/>
  <c r="F1499" i="7" s="1"/>
  <c r="F1498" i="7"/>
  <c r="E1499" i="7" l="1"/>
  <c r="C1501" i="7"/>
  <c r="D1500" i="7"/>
  <c r="E1500" i="7" s="1"/>
  <c r="C1502" i="7" l="1"/>
  <c r="D1501" i="7"/>
  <c r="F1501" i="7" s="1"/>
  <c r="F1500" i="7"/>
  <c r="E1501" i="7" s="1"/>
  <c r="C1503" i="7" l="1"/>
  <c r="D1502" i="7"/>
  <c r="E1502" i="7" l="1"/>
  <c r="C1504" i="7"/>
  <c r="D1503" i="7"/>
  <c r="F1503" i="7" s="1"/>
  <c r="F1502" i="7"/>
  <c r="E1503" i="7" s="1"/>
  <c r="C1505" i="7" l="1"/>
  <c r="D1504" i="7"/>
  <c r="E1504" i="7" l="1"/>
  <c r="C1506" i="7"/>
  <c r="D1505" i="7"/>
  <c r="F1505" i="7" s="1"/>
  <c r="F1504" i="7"/>
  <c r="E1505" i="7" l="1"/>
  <c r="C1507" i="7"/>
  <c r="D1506" i="7"/>
  <c r="E1506" i="7" l="1"/>
  <c r="C1508" i="7"/>
  <c r="D1507" i="7"/>
  <c r="F1507" i="7" s="1"/>
  <c r="F1506" i="7"/>
  <c r="E1507" i="7" s="1"/>
  <c r="C1509" i="7" l="1"/>
  <c r="D1508" i="7"/>
  <c r="E1508" i="7" l="1"/>
  <c r="C1510" i="7"/>
  <c r="D1509" i="7"/>
  <c r="F1509" i="7" s="1"/>
  <c r="F1508" i="7"/>
  <c r="E1509" i="7" l="1"/>
  <c r="C1511" i="7"/>
  <c r="D1510" i="7"/>
  <c r="E1510" i="7" l="1"/>
  <c r="C1512" i="7"/>
  <c r="D1511" i="7"/>
  <c r="F1511" i="7" s="1"/>
  <c r="F1510" i="7"/>
  <c r="E1511" i="7" s="1"/>
  <c r="C1513" i="7" l="1"/>
  <c r="D1512" i="7"/>
  <c r="E1512" i="7" l="1"/>
  <c r="C1514" i="7"/>
  <c r="D1513" i="7"/>
  <c r="F1513" i="7" s="1"/>
  <c r="F1512" i="7"/>
  <c r="E1513" i="7" l="1"/>
  <c r="C1515" i="7"/>
  <c r="D1514" i="7"/>
  <c r="E1514" i="7" l="1"/>
  <c r="C1516" i="7"/>
  <c r="D1515" i="7"/>
  <c r="F1515" i="7" s="1"/>
  <c r="F1514" i="7"/>
  <c r="E1515" i="7" l="1"/>
  <c r="C1517" i="7"/>
  <c r="D1516" i="7"/>
  <c r="E1516" i="7" s="1"/>
  <c r="C1518" i="7" l="1"/>
  <c r="D1517" i="7"/>
  <c r="F1517" i="7" s="1"/>
  <c r="F1516" i="7"/>
  <c r="E1517" i="7" s="1"/>
  <c r="C1519" i="7" l="1"/>
  <c r="D1518" i="7"/>
  <c r="E1518" i="7" l="1"/>
  <c r="C1520" i="7"/>
  <c r="D1519" i="7"/>
  <c r="F1519" i="7" s="1"/>
  <c r="F1518" i="7"/>
  <c r="E1519" i="7" l="1"/>
  <c r="C1521" i="7"/>
  <c r="D1520" i="7"/>
  <c r="E1520" i="7" l="1"/>
  <c r="C1522" i="7"/>
  <c r="D1521" i="7"/>
  <c r="F1521" i="7" s="1"/>
  <c r="F1520" i="7"/>
  <c r="E1521" i="7" l="1"/>
  <c r="C1523" i="7"/>
  <c r="D1522" i="7"/>
  <c r="E1522" i="7" s="1"/>
  <c r="C1524" i="7" l="1"/>
  <c r="D1523" i="7"/>
  <c r="F1523" i="7" s="1"/>
  <c r="F1522" i="7"/>
  <c r="E1523" i="7" l="1"/>
  <c r="C1525" i="7"/>
  <c r="D1524" i="7"/>
  <c r="E1524" i="7" s="1"/>
  <c r="C1526" i="7" l="1"/>
  <c r="D1525" i="7"/>
  <c r="F1525" i="7" s="1"/>
  <c r="F1524" i="7"/>
  <c r="E1525" i="7" l="1"/>
  <c r="C1527" i="7"/>
  <c r="D1526" i="7"/>
  <c r="E1526" i="7" s="1"/>
  <c r="F1526" i="7" l="1"/>
  <c r="C1528" i="7"/>
  <c r="D1527" i="7"/>
  <c r="F1527" i="7" s="1"/>
  <c r="C1529" i="7" l="1"/>
  <c r="D1528" i="7"/>
  <c r="E1528" i="7" s="1"/>
  <c r="E1527" i="7"/>
  <c r="C1530" i="7" l="1"/>
  <c r="D1529" i="7"/>
  <c r="F1529" i="7" s="1"/>
  <c r="F1528" i="7"/>
  <c r="E1529" i="7" l="1"/>
  <c r="C1531" i="7"/>
  <c r="D1530" i="7"/>
  <c r="E1530" i="7" l="1"/>
  <c r="C1532" i="7"/>
  <c r="D1531" i="7"/>
  <c r="F1531" i="7" s="1"/>
  <c r="F1530" i="7"/>
  <c r="E1531" i="7" s="1"/>
  <c r="C1533" i="7" l="1"/>
  <c r="D1532" i="7"/>
  <c r="E1532" i="7" l="1"/>
  <c r="C1534" i="7"/>
  <c r="D1533" i="7"/>
  <c r="F1533" i="7" s="1"/>
  <c r="F1532" i="7"/>
  <c r="E1533" i="7" l="1"/>
  <c r="C1535" i="7"/>
  <c r="D1534" i="7"/>
  <c r="E1534" i="7" l="1"/>
  <c r="C1536" i="7"/>
  <c r="D1535" i="7"/>
  <c r="F1535" i="7" s="1"/>
  <c r="F1534" i="7"/>
  <c r="E1535" i="7" l="1"/>
  <c r="C1537" i="7"/>
  <c r="D1536" i="7"/>
  <c r="E1536" i="7" s="1"/>
  <c r="F1536" i="7" l="1"/>
  <c r="C1538" i="7"/>
  <c r="D1537" i="7"/>
  <c r="E1537" i="7" l="1"/>
  <c r="C1539" i="7"/>
  <c r="D1538" i="7"/>
  <c r="F1538" i="7" s="1"/>
  <c r="F1537" i="7"/>
  <c r="E1538" i="7" l="1"/>
  <c r="C1540" i="7"/>
  <c r="D1539" i="7"/>
  <c r="E1539" i="7" s="1"/>
  <c r="C1541" i="7" l="1"/>
  <c r="D1540" i="7"/>
  <c r="F1540" i="7" s="1"/>
  <c r="F1539" i="7"/>
  <c r="E1540" i="7" l="1"/>
  <c r="C1542" i="7"/>
  <c r="D1541" i="7"/>
  <c r="E1541" i="7" s="1"/>
  <c r="C1543" i="7" l="1"/>
  <c r="D1542" i="7"/>
  <c r="F1542" i="7" s="1"/>
  <c r="F1541" i="7"/>
  <c r="E1542" i="7" l="1"/>
  <c r="C1544" i="7"/>
  <c r="D1543" i="7"/>
  <c r="E1543" i="7" s="1"/>
  <c r="C1545" i="7" l="1"/>
  <c r="D1544" i="7"/>
  <c r="F1544" i="7" s="1"/>
  <c r="F1543" i="7"/>
  <c r="E1544" i="7" l="1"/>
  <c r="C1546" i="7"/>
  <c r="D1545" i="7"/>
  <c r="E1545" i="7" s="1"/>
  <c r="C1547" i="7" l="1"/>
  <c r="D1546" i="7"/>
  <c r="F1546" i="7" s="1"/>
  <c r="F1545" i="7"/>
  <c r="E1546" i="7" l="1"/>
  <c r="C1548" i="7"/>
  <c r="D1547" i="7"/>
  <c r="E1547" i="7" s="1"/>
  <c r="C1549" i="7" l="1"/>
  <c r="D1548" i="7"/>
  <c r="F1548" i="7" s="1"/>
  <c r="F1547" i="7"/>
  <c r="E1548" i="7" l="1"/>
  <c r="C1550" i="7"/>
  <c r="D1549" i="7"/>
  <c r="E1549" i="7" s="1"/>
  <c r="C1551" i="7" l="1"/>
  <c r="D1550" i="7"/>
  <c r="F1550" i="7" s="1"/>
  <c r="F1549" i="7"/>
  <c r="E1550" i="7" l="1"/>
  <c r="C1552" i="7"/>
  <c r="D1551" i="7"/>
  <c r="E1551" i="7" s="1"/>
  <c r="C1553" i="7" l="1"/>
  <c r="D1552" i="7"/>
  <c r="F1552" i="7" s="1"/>
  <c r="F1551" i="7"/>
  <c r="E1552" i="7" l="1"/>
  <c r="C1554" i="7"/>
  <c r="D1553" i="7"/>
  <c r="E1553" i="7" s="1"/>
  <c r="C1555" i="7" l="1"/>
  <c r="D1554" i="7"/>
  <c r="F1554" i="7" s="1"/>
  <c r="F1553" i="7"/>
  <c r="E1554" i="7" l="1"/>
  <c r="C1556" i="7"/>
  <c r="D1555" i="7"/>
  <c r="E1555" i="7" s="1"/>
  <c r="C1557" i="7" l="1"/>
  <c r="D1556" i="7"/>
  <c r="F1556" i="7" s="1"/>
  <c r="F1555" i="7"/>
  <c r="E1556" i="7" l="1"/>
  <c r="C1558" i="7"/>
  <c r="D1557" i="7"/>
  <c r="E1557" i="7" s="1"/>
  <c r="C1559" i="7" l="1"/>
  <c r="D1558" i="7"/>
  <c r="F1558" i="7" s="1"/>
  <c r="F1557" i="7"/>
  <c r="E1558" i="7" l="1"/>
  <c r="C1560" i="7"/>
  <c r="D1559" i="7"/>
  <c r="E1559" i="7" s="1"/>
  <c r="C1561" i="7" l="1"/>
  <c r="D1560" i="7"/>
  <c r="F1560" i="7" s="1"/>
  <c r="F1559" i="7"/>
  <c r="E1560" i="7" l="1"/>
  <c r="C1562" i="7"/>
  <c r="D1561" i="7"/>
  <c r="E1561" i="7" s="1"/>
  <c r="C1563" i="7" l="1"/>
  <c r="D1562" i="7"/>
  <c r="F1562" i="7" s="1"/>
  <c r="F1561" i="7"/>
  <c r="E1562" i="7" l="1"/>
  <c r="C1564" i="7"/>
  <c r="D1563" i="7"/>
  <c r="E1563" i="7" s="1"/>
  <c r="C1565" i="7" l="1"/>
  <c r="D1564" i="7"/>
  <c r="F1564" i="7" s="1"/>
  <c r="F1563" i="7"/>
  <c r="E1564" i="7" l="1"/>
  <c r="C1566" i="7"/>
  <c r="D1565" i="7"/>
  <c r="E1565" i="7" s="1"/>
  <c r="C1567" i="7" l="1"/>
  <c r="D1566" i="7"/>
  <c r="F1566" i="7" s="1"/>
  <c r="F1565" i="7"/>
  <c r="E1566" i="7" l="1"/>
  <c r="C1568" i="7"/>
  <c r="D1567" i="7"/>
  <c r="E1567" i="7" s="1"/>
  <c r="C1569" i="7" l="1"/>
  <c r="D1568" i="7"/>
  <c r="F1568" i="7" s="1"/>
  <c r="F1567" i="7"/>
  <c r="E1568" i="7" l="1"/>
  <c r="C1570" i="7"/>
  <c r="D1569" i="7"/>
  <c r="E1569" i="7" s="1"/>
  <c r="C1571" i="7" l="1"/>
  <c r="D1570" i="7"/>
  <c r="F1570" i="7" s="1"/>
  <c r="F1569" i="7"/>
  <c r="E1570" i="7" l="1"/>
  <c r="C1572" i="7"/>
  <c r="D1571" i="7"/>
  <c r="E1571" i="7" s="1"/>
  <c r="C1573" i="7" l="1"/>
  <c r="D1572" i="7"/>
  <c r="F1572" i="7" s="1"/>
  <c r="F1571" i="7"/>
  <c r="E1572" i="7" l="1"/>
  <c r="C1574" i="7"/>
  <c r="D1573" i="7"/>
  <c r="E1573" i="7" s="1"/>
  <c r="C1575" i="7" l="1"/>
  <c r="D1574" i="7"/>
  <c r="F1574" i="7" s="1"/>
  <c r="F1573" i="7"/>
  <c r="E1574" i="7" l="1"/>
  <c r="C1576" i="7"/>
  <c r="D1575" i="7"/>
  <c r="E1575" i="7" s="1"/>
  <c r="C1577" i="7" l="1"/>
  <c r="D1576" i="7"/>
  <c r="F1576" i="7" s="1"/>
  <c r="F1575" i="7"/>
  <c r="E1576" i="7" l="1"/>
  <c r="C1578" i="7"/>
  <c r="D1577" i="7"/>
  <c r="E1577" i="7" s="1"/>
  <c r="C1579" i="7" l="1"/>
  <c r="D1578" i="7"/>
  <c r="F1578" i="7" s="1"/>
  <c r="F1577" i="7"/>
  <c r="E1578" i="7" l="1"/>
  <c r="C1580" i="7"/>
  <c r="D1579" i="7"/>
  <c r="E1579" i="7" s="1"/>
  <c r="C1581" i="7" l="1"/>
  <c r="D1580" i="7"/>
  <c r="F1580" i="7" s="1"/>
  <c r="F1579" i="7"/>
  <c r="E1580" i="7" l="1"/>
  <c r="C1582" i="7"/>
  <c r="D1581" i="7"/>
  <c r="E1581" i="7" s="1"/>
  <c r="C1583" i="7" l="1"/>
  <c r="D1582" i="7"/>
  <c r="F1582" i="7" s="1"/>
  <c r="F1581" i="7"/>
  <c r="E1582" i="7" l="1"/>
  <c r="C1584" i="7"/>
  <c r="D1583" i="7"/>
  <c r="E1583" i="7" s="1"/>
  <c r="F1583" i="7" l="1"/>
  <c r="C1585" i="7"/>
  <c r="D1584" i="7"/>
  <c r="F1584" i="7" s="1"/>
  <c r="E1584" i="7" l="1"/>
  <c r="C1586" i="7"/>
  <c r="D1585" i="7"/>
  <c r="E1585" i="7" s="1"/>
  <c r="C1587" i="7" l="1"/>
  <c r="D1586" i="7"/>
  <c r="F1586" i="7" s="1"/>
  <c r="F1585" i="7"/>
  <c r="E1586" i="7" l="1"/>
  <c r="C1588" i="7"/>
  <c r="D1587" i="7"/>
  <c r="E1587" i="7" s="1"/>
  <c r="C1589" i="7" l="1"/>
  <c r="D1588" i="7"/>
  <c r="F1588" i="7" s="1"/>
  <c r="F1587" i="7"/>
  <c r="E1588" i="7" l="1"/>
  <c r="C1590" i="7"/>
  <c r="D1589" i="7"/>
  <c r="E1589" i="7" s="1"/>
  <c r="C1591" i="7" l="1"/>
  <c r="D1590" i="7"/>
  <c r="F1590" i="7" s="1"/>
  <c r="F1589" i="7"/>
  <c r="E1590" i="7" l="1"/>
  <c r="C1592" i="7"/>
  <c r="D1591" i="7"/>
  <c r="E1591" i="7" s="1"/>
  <c r="C1593" i="7" l="1"/>
  <c r="D1592" i="7"/>
  <c r="F1592" i="7" s="1"/>
  <c r="F1591" i="7"/>
  <c r="E1592" i="7" l="1"/>
  <c r="C1594" i="7"/>
  <c r="D1593" i="7"/>
  <c r="E1593" i="7" s="1"/>
  <c r="C1595" i="7" l="1"/>
  <c r="D1594" i="7"/>
  <c r="F1594" i="7" s="1"/>
  <c r="F1593" i="7"/>
  <c r="E1594" i="7" l="1"/>
  <c r="C1596" i="7"/>
  <c r="D1595" i="7"/>
  <c r="E1595" i="7" s="1"/>
  <c r="C1597" i="7" l="1"/>
  <c r="D1596" i="7"/>
  <c r="F1596" i="7" s="1"/>
  <c r="F1595" i="7"/>
  <c r="E1596" i="7" l="1"/>
  <c r="C1598" i="7"/>
  <c r="D1597" i="7"/>
  <c r="E1597" i="7" s="1"/>
  <c r="C1599" i="7" l="1"/>
  <c r="D1598" i="7"/>
  <c r="F1598" i="7" s="1"/>
  <c r="F1597" i="7"/>
  <c r="E1598" i="7" l="1"/>
  <c r="C1600" i="7"/>
  <c r="D1599" i="7"/>
  <c r="E1599" i="7" s="1"/>
  <c r="C1601" i="7" l="1"/>
  <c r="D1600" i="7"/>
  <c r="F1600" i="7" s="1"/>
  <c r="F1599" i="7"/>
  <c r="E1600" i="7" l="1"/>
  <c r="C1602" i="7"/>
  <c r="D1601" i="7"/>
  <c r="E1601" i="7" s="1"/>
  <c r="C1603" i="7" l="1"/>
  <c r="D1602" i="7"/>
  <c r="F1602" i="7" s="1"/>
  <c r="F1601" i="7"/>
  <c r="E1602" i="7" l="1"/>
  <c r="C1604" i="7"/>
  <c r="D1603" i="7"/>
  <c r="E1603" i="7" s="1"/>
  <c r="C1605" i="7" l="1"/>
  <c r="D1604" i="7"/>
  <c r="F1604" i="7" s="1"/>
  <c r="F1603" i="7"/>
  <c r="E1604" i="7" l="1"/>
  <c r="C1606" i="7"/>
  <c r="D1605" i="7"/>
  <c r="E1605" i="7" s="1"/>
  <c r="C1607" i="7" l="1"/>
  <c r="D1606" i="7"/>
  <c r="F1606" i="7" s="1"/>
  <c r="F1605" i="7"/>
  <c r="E1606" i="7" l="1"/>
  <c r="C1608" i="7"/>
  <c r="D1607" i="7"/>
  <c r="E1607" i="7" s="1"/>
  <c r="C1609" i="7" l="1"/>
  <c r="D1608" i="7"/>
  <c r="F1608" i="7" s="1"/>
  <c r="F1607" i="7"/>
  <c r="E1608" i="7" l="1"/>
  <c r="C1610" i="7"/>
  <c r="D1609" i="7"/>
  <c r="E1609" i="7" s="1"/>
  <c r="C1611" i="7" l="1"/>
  <c r="D1610" i="7"/>
  <c r="F1610" i="7" s="1"/>
  <c r="F1609" i="7"/>
  <c r="E1610" i="7" l="1"/>
  <c r="C1612" i="7"/>
  <c r="D1611" i="7"/>
  <c r="E1611" i="7" s="1"/>
  <c r="C1613" i="7" l="1"/>
  <c r="D1612" i="7"/>
  <c r="F1612" i="7" s="1"/>
  <c r="F1611" i="7"/>
  <c r="E1612" i="7" l="1"/>
  <c r="C1614" i="7"/>
  <c r="D1613" i="7"/>
  <c r="E1613" i="7" s="1"/>
  <c r="C1615" i="7" l="1"/>
  <c r="D1614" i="7"/>
  <c r="F1614" i="7" s="1"/>
  <c r="F1613" i="7"/>
  <c r="E1614" i="7" l="1"/>
  <c r="C1616" i="7"/>
  <c r="D1615" i="7"/>
  <c r="E1615" i="7" s="1"/>
  <c r="C1617" i="7" l="1"/>
  <c r="D1616" i="7"/>
  <c r="F1616" i="7" s="1"/>
  <c r="F1615" i="7"/>
  <c r="E1616" i="7" l="1"/>
  <c r="C1618" i="7"/>
  <c r="D1617" i="7"/>
  <c r="E1617" i="7" s="1"/>
  <c r="C1619" i="7" l="1"/>
  <c r="D1618" i="7"/>
  <c r="F1618" i="7" s="1"/>
  <c r="F1617" i="7"/>
  <c r="E1618" i="7" l="1"/>
  <c r="C1620" i="7"/>
  <c r="D1619" i="7"/>
  <c r="E1619" i="7" s="1"/>
  <c r="C1621" i="7" l="1"/>
  <c r="D1620" i="7"/>
  <c r="F1620" i="7" s="1"/>
  <c r="F1619" i="7"/>
  <c r="E1620" i="7" l="1"/>
  <c r="C1622" i="7"/>
  <c r="D1621" i="7"/>
  <c r="E1621" i="7" s="1"/>
  <c r="C1623" i="7" l="1"/>
  <c r="D1622" i="7"/>
  <c r="F1622" i="7" s="1"/>
  <c r="F1621" i="7"/>
  <c r="E1622" i="7" l="1"/>
  <c r="C1624" i="7"/>
  <c r="D1623" i="7"/>
  <c r="E1623" i="7" s="1"/>
  <c r="C1625" i="7" l="1"/>
  <c r="D1624" i="7"/>
  <c r="F1624" i="7" s="1"/>
  <c r="F1623" i="7"/>
  <c r="E1624" i="7" l="1"/>
  <c r="C1626" i="7"/>
  <c r="D1625" i="7"/>
  <c r="E1625" i="7" s="1"/>
  <c r="C1627" i="7" l="1"/>
  <c r="D1626" i="7"/>
  <c r="F1626" i="7" s="1"/>
  <c r="F1625" i="7"/>
  <c r="E1626" i="7" l="1"/>
  <c r="C1628" i="7"/>
  <c r="D1627" i="7"/>
  <c r="E1627" i="7" s="1"/>
  <c r="F1627" i="7" l="1"/>
  <c r="C1629" i="7"/>
  <c r="D1628" i="7"/>
  <c r="F1628" i="7" s="1"/>
  <c r="E1628" i="7" l="1"/>
  <c r="C1630" i="7"/>
  <c r="D1629" i="7"/>
  <c r="E1629" i="7" s="1"/>
  <c r="C1631" i="7" l="1"/>
  <c r="D1630" i="7"/>
  <c r="F1630" i="7" s="1"/>
  <c r="F1629" i="7"/>
  <c r="E1630" i="7" l="1"/>
  <c r="C1632" i="7"/>
  <c r="D1631" i="7"/>
  <c r="E1631" i="7" s="1"/>
  <c r="C1633" i="7" l="1"/>
  <c r="D1632" i="7"/>
  <c r="F1632" i="7" s="1"/>
  <c r="F1631" i="7"/>
  <c r="E1632" i="7" l="1"/>
  <c r="C1634" i="7"/>
  <c r="D1633" i="7"/>
  <c r="E1633" i="7" s="1"/>
  <c r="C1635" i="7" l="1"/>
  <c r="D1634" i="7"/>
  <c r="F1634" i="7" s="1"/>
  <c r="F1633" i="7"/>
  <c r="E1634" i="7" l="1"/>
  <c r="C1636" i="7"/>
  <c r="D1635" i="7"/>
  <c r="E1635" i="7" s="1"/>
  <c r="C1637" i="7" l="1"/>
  <c r="D1636" i="7"/>
  <c r="F1636" i="7" s="1"/>
  <c r="F1635" i="7"/>
  <c r="E1636" i="7" l="1"/>
  <c r="C1638" i="7"/>
  <c r="D1637" i="7"/>
  <c r="E1637" i="7" s="1"/>
  <c r="C1639" i="7" l="1"/>
  <c r="D1638" i="7"/>
  <c r="F1638" i="7" s="1"/>
  <c r="F1637" i="7"/>
  <c r="E1638" i="7" l="1"/>
  <c r="C1640" i="7"/>
  <c r="D1639" i="7"/>
  <c r="E1639" i="7" s="1"/>
  <c r="C1641" i="7" l="1"/>
  <c r="D1640" i="7"/>
  <c r="F1640" i="7" s="1"/>
  <c r="F1639" i="7"/>
  <c r="E1640" i="7" l="1"/>
  <c r="C1642" i="7"/>
  <c r="D1641" i="7"/>
  <c r="E1641" i="7" s="1"/>
  <c r="C1643" i="7" l="1"/>
  <c r="D1642" i="7"/>
  <c r="F1642" i="7" s="1"/>
  <c r="F1641" i="7"/>
  <c r="E1642" i="7" l="1"/>
  <c r="C1644" i="7"/>
  <c r="D1643" i="7"/>
  <c r="E1643" i="7" s="1"/>
  <c r="C1645" i="7" l="1"/>
  <c r="D1644" i="7"/>
  <c r="F1644" i="7" s="1"/>
  <c r="F1643" i="7"/>
  <c r="E1644" i="7" l="1"/>
  <c r="C1646" i="7"/>
  <c r="D1645" i="7"/>
  <c r="E1645" i="7" s="1"/>
  <c r="F1645" i="7" l="1"/>
  <c r="C1647" i="7"/>
  <c r="D1646" i="7"/>
  <c r="F1646" i="7" s="1"/>
  <c r="E1646" i="7" l="1"/>
  <c r="C1648" i="7"/>
  <c r="D1647" i="7"/>
  <c r="E1647" i="7" s="1"/>
  <c r="C1649" i="7" l="1"/>
  <c r="D1648" i="7"/>
  <c r="F1648" i="7" s="1"/>
  <c r="F1647" i="7"/>
  <c r="E1648" i="7" l="1"/>
  <c r="C1650" i="7"/>
  <c r="D1649" i="7"/>
  <c r="E1649" i="7" s="1"/>
  <c r="C1651" i="7" l="1"/>
  <c r="D1650" i="7"/>
  <c r="F1650" i="7" s="1"/>
  <c r="F1649" i="7"/>
  <c r="E1650" i="7" l="1"/>
  <c r="C1652" i="7"/>
  <c r="D1651" i="7"/>
  <c r="E1651" i="7" s="1"/>
  <c r="C1653" i="7" l="1"/>
  <c r="D1652" i="7"/>
  <c r="F1652" i="7" s="1"/>
  <c r="F1651" i="7"/>
  <c r="E1652" i="7" l="1"/>
  <c r="C1654" i="7"/>
  <c r="D1653" i="7"/>
  <c r="E1653" i="7" s="1"/>
  <c r="C1655" i="7" l="1"/>
  <c r="D1654" i="7"/>
  <c r="F1654" i="7" s="1"/>
  <c r="F1653" i="7"/>
  <c r="E1654" i="7" l="1"/>
  <c r="C1656" i="7"/>
  <c r="D1655" i="7"/>
  <c r="E1655" i="7" s="1"/>
  <c r="F1655" i="7" l="1"/>
  <c r="C1657" i="7"/>
  <c r="D1656" i="7"/>
  <c r="F1656" i="7" s="1"/>
  <c r="C1658" i="7" l="1"/>
  <c r="D1657" i="7"/>
  <c r="E1657" i="7" s="1"/>
  <c r="E1656" i="7"/>
  <c r="C1659" i="7" l="1"/>
  <c r="D1658" i="7"/>
  <c r="F1658" i="7" s="1"/>
  <c r="F1657" i="7"/>
  <c r="E1658" i="7" l="1"/>
  <c r="C1660" i="7"/>
  <c r="D1659" i="7"/>
  <c r="E1659" i="7" s="1"/>
  <c r="C1661" i="7" l="1"/>
  <c r="D1660" i="7"/>
  <c r="F1660" i="7" s="1"/>
  <c r="F1659" i="7"/>
  <c r="E1660" i="7" l="1"/>
  <c r="C1662" i="7"/>
  <c r="D1661" i="7"/>
  <c r="E1661" i="7" s="1"/>
  <c r="C1663" i="7" l="1"/>
  <c r="D1662" i="7"/>
  <c r="F1662" i="7" s="1"/>
  <c r="F1661" i="7"/>
  <c r="E1662" i="7" l="1"/>
  <c r="C1664" i="7"/>
  <c r="D1663" i="7"/>
  <c r="E1663" i="7" s="1"/>
  <c r="C1665" i="7" l="1"/>
  <c r="D1664" i="7"/>
  <c r="F1664" i="7" s="1"/>
  <c r="F1663" i="7"/>
  <c r="E1664" i="7" l="1"/>
  <c r="C1666" i="7"/>
  <c r="D1665" i="7"/>
  <c r="E1665" i="7" s="1"/>
  <c r="C1667" i="7" l="1"/>
  <c r="D1666" i="7"/>
  <c r="F1666" i="7" s="1"/>
  <c r="F1665" i="7"/>
  <c r="E1666" i="7" l="1"/>
  <c r="C1668" i="7"/>
  <c r="D1667" i="7"/>
  <c r="E1667" i="7" s="1"/>
  <c r="C1669" i="7" l="1"/>
  <c r="D1668" i="7"/>
  <c r="F1668" i="7" s="1"/>
  <c r="F1667" i="7"/>
  <c r="E1668" i="7" l="1"/>
  <c r="C1670" i="7"/>
  <c r="D1669" i="7"/>
  <c r="E1669" i="7" s="1"/>
  <c r="F1669" i="7" l="1"/>
  <c r="C1671" i="7"/>
  <c r="D1670" i="7"/>
  <c r="F1670" i="7" s="1"/>
  <c r="C1672" i="7" l="1"/>
  <c r="D1671" i="7"/>
  <c r="E1671" i="7" s="1"/>
  <c r="E1670" i="7"/>
  <c r="C1673" i="7" l="1"/>
  <c r="D1672" i="7"/>
  <c r="F1672" i="7" s="1"/>
  <c r="F1671" i="7"/>
  <c r="E1672" i="7" l="1"/>
  <c r="C1674" i="7"/>
  <c r="D1673" i="7"/>
  <c r="E1673" i="7" s="1"/>
  <c r="C1675" i="7" l="1"/>
  <c r="D1674" i="7"/>
  <c r="F1674" i="7" s="1"/>
  <c r="F1673" i="7"/>
  <c r="E1674" i="7" l="1"/>
  <c r="C1676" i="7"/>
  <c r="D1675" i="7"/>
  <c r="E1675" i="7" s="1"/>
  <c r="C1677" i="7" l="1"/>
  <c r="D1676" i="7"/>
  <c r="F1676" i="7" s="1"/>
  <c r="F1675" i="7"/>
  <c r="E1676" i="7" l="1"/>
  <c r="C1678" i="7"/>
  <c r="D1677" i="7"/>
  <c r="E1677" i="7" s="1"/>
  <c r="C1679" i="7" l="1"/>
  <c r="D1678" i="7"/>
  <c r="F1678" i="7" s="1"/>
  <c r="F1677" i="7"/>
  <c r="E1678" i="7" l="1"/>
  <c r="C1680" i="7"/>
  <c r="D1679" i="7"/>
  <c r="E1679" i="7" s="1"/>
  <c r="C1681" i="7" l="1"/>
  <c r="D1680" i="7"/>
  <c r="F1680" i="7" s="1"/>
  <c r="F1679" i="7"/>
  <c r="E1680" i="7" l="1"/>
  <c r="C1682" i="7"/>
  <c r="D1681" i="7"/>
  <c r="E1681" i="7" s="1"/>
  <c r="C1683" i="7" l="1"/>
  <c r="D1682" i="7"/>
  <c r="F1682" i="7" s="1"/>
  <c r="F1681" i="7"/>
  <c r="E1682" i="7" l="1"/>
  <c r="C1684" i="7"/>
  <c r="D1683" i="7"/>
  <c r="E1683" i="7" s="1"/>
  <c r="C1685" i="7" l="1"/>
  <c r="D1684" i="7"/>
  <c r="F1684" i="7" s="1"/>
  <c r="F1683" i="7"/>
  <c r="E1684" i="7" l="1"/>
  <c r="C1686" i="7"/>
  <c r="D1685" i="7"/>
  <c r="E1685" i="7" s="1"/>
  <c r="F1685" i="7" l="1"/>
  <c r="C1687" i="7"/>
  <c r="D1686" i="7"/>
  <c r="F1686" i="7" s="1"/>
  <c r="C1688" i="7" l="1"/>
  <c r="D1687" i="7"/>
  <c r="E1687" i="7" s="1"/>
  <c r="E1686" i="7"/>
  <c r="C1689" i="7" l="1"/>
  <c r="D1688" i="7"/>
  <c r="F1688" i="7" s="1"/>
  <c r="F1687" i="7"/>
  <c r="E1688" i="7" l="1"/>
  <c r="C1690" i="7"/>
  <c r="D1689" i="7"/>
  <c r="E1689" i="7" s="1"/>
  <c r="C1691" i="7" l="1"/>
  <c r="D1690" i="7"/>
  <c r="F1690" i="7" s="1"/>
  <c r="F1689" i="7"/>
  <c r="E1690" i="7" l="1"/>
  <c r="C1692" i="7"/>
  <c r="D1691" i="7"/>
  <c r="E1691" i="7" s="1"/>
  <c r="C1693" i="7" l="1"/>
  <c r="D1692" i="7"/>
  <c r="F1692" i="7" s="1"/>
  <c r="F1691" i="7"/>
  <c r="E1692" i="7" l="1"/>
  <c r="C1694" i="7"/>
  <c r="D1693" i="7"/>
  <c r="E1693" i="7" s="1"/>
  <c r="C1695" i="7" l="1"/>
  <c r="D1694" i="7"/>
  <c r="F1694" i="7" s="1"/>
  <c r="F1693" i="7"/>
  <c r="E1694" i="7" l="1"/>
  <c r="C1696" i="7"/>
  <c r="D1695" i="7"/>
  <c r="E1695" i="7" s="1"/>
  <c r="C1697" i="7" l="1"/>
  <c r="D1696" i="7"/>
  <c r="F1696" i="7" s="1"/>
  <c r="F1695" i="7"/>
  <c r="E1696" i="7" l="1"/>
  <c r="C1698" i="7"/>
  <c r="D1697" i="7"/>
  <c r="E1697" i="7" s="1"/>
  <c r="C1699" i="7" l="1"/>
  <c r="D1698" i="7"/>
  <c r="F1698" i="7" s="1"/>
  <c r="F1697" i="7"/>
  <c r="E1698" i="7" l="1"/>
  <c r="C1700" i="7"/>
  <c r="D1699" i="7"/>
  <c r="E1699" i="7" s="1"/>
  <c r="C1701" i="7" l="1"/>
  <c r="D1700" i="7"/>
  <c r="F1700" i="7" s="1"/>
  <c r="F1699" i="7"/>
  <c r="E1700" i="7" l="1"/>
  <c r="C1702" i="7"/>
  <c r="D1701" i="7"/>
  <c r="E1701" i="7" s="1"/>
  <c r="C1703" i="7" l="1"/>
  <c r="D1702" i="7"/>
  <c r="F1702" i="7" s="1"/>
  <c r="F1701" i="7"/>
  <c r="E1702" i="7" l="1"/>
  <c r="C1704" i="7"/>
  <c r="D1703" i="7"/>
  <c r="E1703" i="7" s="1"/>
  <c r="C1705" i="7" l="1"/>
  <c r="D1704" i="7"/>
  <c r="F1704" i="7" s="1"/>
  <c r="F1703" i="7"/>
  <c r="E1704" i="7" l="1"/>
  <c r="C1706" i="7"/>
  <c r="D1705" i="7"/>
  <c r="E1705" i="7" s="1"/>
  <c r="F1705" i="7" l="1"/>
  <c r="C1707" i="7"/>
  <c r="D1706" i="7"/>
  <c r="F1706" i="7" s="1"/>
  <c r="C1708" i="7" l="1"/>
  <c r="D1707" i="7"/>
  <c r="E1707" i="7" s="1"/>
  <c r="E1706" i="7"/>
  <c r="F1707" i="7" l="1"/>
  <c r="C1709" i="7"/>
  <c r="D1708" i="7"/>
  <c r="F1708" i="7" s="1"/>
  <c r="E1708" i="7" l="1"/>
  <c r="C1710" i="7"/>
  <c r="D1709" i="7"/>
  <c r="E1709" i="7" s="1"/>
  <c r="C1711" i="7" l="1"/>
  <c r="D1710" i="7"/>
  <c r="F1710" i="7" s="1"/>
  <c r="F1709" i="7"/>
  <c r="E1710" i="7" l="1"/>
  <c r="C1712" i="7"/>
  <c r="D1711" i="7"/>
  <c r="E1711" i="7" s="1"/>
  <c r="F1711" i="7" l="1"/>
  <c r="C1713" i="7"/>
  <c r="D1712" i="7"/>
  <c r="F1712" i="7" s="1"/>
  <c r="E1712" i="7" l="1"/>
  <c r="C1714" i="7"/>
  <c r="D1713" i="7"/>
  <c r="E1713" i="7" s="1"/>
  <c r="C1715" i="7" l="1"/>
  <c r="D1714" i="7"/>
  <c r="F1714" i="7" s="1"/>
  <c r="F1713" i="7"/>
  <c r="E1714" i="7" l="1"/>
  <c r="C1716" i="7"/>
  <c r="D1715" i="7"/>
  <c r="E1715" i="7" s="1"/>
  <c r="C1717" i="7" l="1"/>
  <c r="D1716" i="7"/>
  <c r="F1716" i="7" s="1"/>
  <c r="F1715" i="7"/>
  <c r="E1716" i="7" l="1"/>
  <c r="C1718" i="7"/>
  <c r="D1717" i="7"/>
  <c r="E1717" i="7" s="1"/>
  <c r="C1719" i="7" l="1"/>
  <c r="D1718" i="7"/>
  <c r="F1718" i="7" s="1"/>
  <c r="F1717" i="7"/>
  <c r="E1718" i="7" l="1"/>
  <c r="C1720" i="7"/>
  <c r="D1719" i="7"/>
  <c r="E1719" i="7" s="1"/>
  <c r="C1721" i="7" l="1"/>
  <c r="D1720" i="7"/>
  <c r="F1720" i="7" s="1"/>
  <c r="F1719" i="7"/>
  <c r="E1720" i="7" l="1"/>
  <c r="C1722" i="7"/>
  <c r="D1721" i="7"/>
  <c r="E1721" i="7" s="1"/>
  <c r="C1723" i="7" l="1"/>
  <c r="D1722" i="7"/>
  <c r="F1722" i="7" s="1"/>
  <c r="F1721" i="7"/>
  <c r="E1722" i="7" l="1"/>
  <c r="C1724" i="7"/>
  <c r="D1723" i="7"/>
  <c r="E1723" i="7" s="1"/>
  <c r="F1723" i="7" l="1"/>
  <c r="C1725" i="7"/>
  <c r="D1724" i="7"/>
  <c r="F1724" i="7" s="1"/>
  <c r="C1726" i="7" l="1"/>
  <c r="D1725" i="7"/>
  <c r="E1725" i="7" s="1"/>
  <c r="E1724" i="7"/>
  <c r="C1727" i="7" l="1"/>
  <c r="D1726" i="7"/>
  <c r="F1726" i="7" s="1"/>
  <c r="F1725" i="7"/>
  <c r="E1726" i="7" l="1"/>
  <c r="C1728" i="7"/>
  <c r="D1727" i="7"/>
  <c r="E1727" i="7" s="1"/>
  <c r="F1727" i="7" l="1"/>
  <c r="C1729" i="7"/>
  <c r="D1728" i="7"/>
  <c r="F1728" i="7" s="1"/>
  <c r="C1730" i="7" l="1"/>
  <c r="D1729" i="7"/>
  <c r="E1729" i="7" s="1"/>
  <c r="E1728" i="7"/>
  <c r="F1729" i="7" l="1"/>
  <c r="C1731" i="7"/>
  <c r="D1730" i="7"/>
  <c r="F1730" i="7" s="1"/>
  <c r="E1730" i="7" l="1"/>
  <c r="C1732" i="7"/>
  <c r="D1731" i="7"/>
  <c r="E1731" i="7" s="1"/>
  <c r="F1731" i="7" l="1"/>
  <c r="C1733" i="7"/>
  <c r="D1732" i="7"/>
  <c r="F1732" i="7" s="1"/>
  <c r="E1732" i="7" l="1"/>
  <c r="C1734" i="7"/>
  <c r="D1733" i="7"/>
  <c r="F1733" i="7" s="1"/>
  <c r="E1733" i="7" l="1"/>
  <c r="C1735" i="7"/>
  <c r="D1734" i="7"/>
  <c r="E1734" i="7" s="1"/>
  <c r="F1734" i="7" l="1"/>
  <c r="C1736" i="7"/>
  <c r="D1735" i="7"/>
  <c r="F1735" i="7" s="1"/>
  <c r="C1737" i="7" l="1"/>
  <c r="D1736" i="7"/>
  <c r="E1736" i="7" s="1"/>
  <c r="E1735" i="7"/>
  <c r="F1736" i="7" l="1"/>
  <c r="C1738" i="7"/>
  <c r="D1737" i="7"/>
  <c r="F1737" i="7" s="1"/>
  <c r="E1737" i="7" l="1"/>
  <c r="C1739" i="7"/>
  <c r="D1738" i="7"/>
  <c r="E1738" i="7" s="1"/>
  <c r="F1738" i="7" l="1"/>
  <c r="C1740" i="7"/>
  <c r="D1739" i="7"/>
  <c r="F1739" i="7" s="1"/>
  <c r="E1739" i="7" l="1"/>
  <c r="C1741" i="7"/>
  <c r="D1740" i="7"/>
  <c r="E1740" i="7" s="1"/>
  <c r="F1740" i="7" l="1"/>
  <c r="C1742" i="7"/>
  <c r="D1741" i="7"/>
  <c r="F1741" i="7" s="1"/>
  <c r="C1743" i="7" l="1"/>
  <c r="D1742" i="7"/>
  <c r="E1742" i="7" s="1"/>
  <c r="E1741" i="7"/>
  <c r="C1744" i="7" l="1"/>
  <c r="D1743" i="7"/>
  <c r="F1743" i="7" s="1"/>
  <c r="F1742" i="7"/>
  <c r="E1743" i="7" s="1"/>
  <c r="C1745" i="7" l="1"/>
  <c r="D1744" i="7"/>
  <c r="E1744" i="7" l="1"/>
  <c r="F1744" i="7"/>
  <c r="C1746" i="7"/>
  <c r="D1745" i="7"/>
  <c r="E1745" i="7" l="1"/>
  <c r="C1747" i="7"/>
  <c r="D1746" i="7"/>
  <c r="F1746" i="7" s="1"/>
  <c r="F1745" i="7"/>
  <c r="E1746" i="7" l="1"/>
  <c r="C1748" i="7"/>
  <c r="D1747" i="7"/>
  <c r="E1747" i="7" s="1"/>
  <c r="C1749" i="7" l="1"/>
  <c r="D1748" i="7"/>
  <c r="F1748" i="7" s="1"/>
  <c r="F1747" i="7"/>
  <c r="E1748" i="7" l="1"/>
  <c r="C1750" i="7"/>
  <c r="D1749" i="7"/>
  <c r="E1749" i="7" s="1"/>
  <c r="F1749" i="7" l="1"/>
  <c r="C1751" i="7"/>
  <c r="D1750" i="7"/>
  <c r="F1750" i="7" s="1"/>
  <c r="E1750" i="7" l="1"/>
  <c r="C1752" i="7"/>
  <c r="D1751" i="7"/>
  <c r="E1751" i="7" s="1"/>
  <c r="C1753" i="7" l="1"/>
  <c r="D1752" i="7"/>
  <c r="F1752" i="7" s="1"/>
  <c r="F1751" i="7"/>
  <c r="E1752" i="7" l="1"/>
  <c r="C1754" i="7"/>
  <c r="D1753" i="7"/>
  <c r="E1753" i="7" s="1"/>
  <c r="F1753" i="7" l="1"/>
  <c r="C1755" i="7"/>
  <c r="D1754" i="7"/>
  <c r="F1754" i="7" s="1"/>
  <c r="E1754" i="7" l="1"/>
  <c r="C1756" i="7"/>
  <c r="D1755" i="7"/>
  <c r="E1755" i="7" s="1"/>
  <c r="F1755" i="7" l="1"/>
  <c r="C1757" i="7"/>
  <c r="D1756" i="7"/>
  <c r="F1756" i="7" s="1"/>
  <c r="C1758" i="7" l="1"/>
  <c r="D1757" i="7"/>
  <c r="E1757" i="7" s="1"/>
  <c r="E1756" i="7"/>
  <c r="F1757" i="7" l="1"/>
  <c r="C1759" i="7"/>
  <c r="D1758" i="7"/>
  <c r="F1758" i="7" s="1"/>
  <c r="C1760" i="7" l="1"/>
  <c r="D1759" i="7"/>
  <c r="E1759" i="7" s="1"/>
  <c r="E1758" i="7"/>
  <c r="C1761" i="7" l="1"/>
  <c r="D1760" i="7"/>
  <c r="F1760" i="7" s="1"/>
  <c r="F1759" i="7"/>
  <c r="E1760" i="7" l="1"/>
  <c r="C1762" i="7"/>
  <c r="D1761" i="7"/>
  <c r="E1761" i="7" s="1"/>
  <c r="F1761" i="7" l="1"/>
  <c r="C1763" i="7"/>
  <c r="D1762" i="7"/>
  <c r="F1762" i="7" s="1"/>
  <c r="E1762" i="7" l="1"/>
  <c r="C1764" i="7"/>
  <c r="D1763" i="7"/>
  <c r="E1763" i="7" s="1"/>
  <c r="C1765" i="7" l="1"/>
  <c r="D1764" i="7"/>
  <c r="F1764" i="7" s="1"/>
  <c r="F1763" i="7"/>
  <c r="E1764" i="7" l="1"/>
  <c r="C1766" i="7"/>
  <c r="D1765" i="7"/>
  <c r="E1765" i="7" s="1"/>
  <c r="C1767" i="7" l="1"/>
  <c r="D1766" i="7"/>
  <c r="F1766" i="7" s="1"/>
  <c r="F1765" i="7"/>
  <c r="E1766" i="7" l="1"/>
  <c r="C1768" i="7"/>
  <c r="D1767" i="7"/>
  <c r="E1767" i="7" s="1"/>
  <c r="C1769" i="7" l="1"/>
  <c r="D1768" i="7"/>
  <c r="F1768" i="7" s="1"/>
  <c r="F1767" i="7"/>
  <c r="E1768" i="7" l="1"/>
  <c r="C1770" i="7"/>
  <c r="D1769" i="7"/>
  <c r="E1769" i="7" s="1"/>
  <c r="C1771" i="7" l="1"/>
  <c r="D1770" i="7"/>
  <c r="F1770" i="7" s="1"/>
  <c r="F1769" i="7"/>
  <c r="E1770" i="7" l="1"/>
  <c r="C1772" i="7"/>
  <c r="D1771" i="7"/>
  <c r="E1771" i="7" s="1"/>
  <c r="C1773" i="7" l="1"/>
  <c r="D1772" i="7"/>
  <c r="F1772" i="7" s="1"/>
  <c r="F1771" i="7"/>
  <c r="E1772" i="7" l="1"/>
  <c r="C1774" i="7"/>
  <c r="D1773" i="7"/>
  <c r="E1773" i="7" s="1"/>
  <c r="C1775" i="7" l="1"/>
  <c r="D1774" i="7"/>
  <c r="F1774" i="7" s="1"/>
  <c r="F1773" i="7"/>
  <c r="E1774" i="7" l="1"/>
  <c r="C1776" i="7"/>
  <c r="D1775" i="7"/>
  <c r="E1775" i="7" s="1"/>
  <c r="F1775" i="7" l="1"/>
  <c r="C1777" i="7"/>
  <c r="D1776" i="7"/>
  <c r="F1776" i="7" s="1"/>
  <c r="E1776" i="7" l="1"/>
  <c r="C1778" i="7"/>
  <c r="D1777" i="7"/>
  <c r="E1777" i="7" s="1"/>
  <c r="F1777" i="7" l="1"/>
  <c r="C1779" i="7"/>
  <c r="D1778" i="7"/>
  <c r="F1778" i="7" s="1"/>
  <c r="C1780" i="7" l="1"/>
  <c r="D1779" i="7"/>
  <c r="E1779" i="7" s="1"/>
  <c r="E1778" i="7"/>
  <c r="F1779" i="7" l="1"/>
  <c r="C1781" i="7"/>
  <c r="D1780" i="7"/>
  <c r="F1780" i="7" s="1"/>
  <c r="C1782" i="7" l="1"/>
  <c r="D1781" i="7"/>
  <c r="E1781" i="7" s="1"/>
  <c r="E1780" i="7"/>
  <c r="C1783" i="7" l="1"/>
  <c r="D1782" i="7"/>
  <c r="F1782" i="7" s="1"/>
  <c r="F1781" i="7"/>
  <c r="E1782" i="7" l="1"/>
  <c r="C1784" i="7"/>
  <c r="D1783" i="7"/>
  <c r="E1783" i="7" s="1"/>
  <c r="F1783" i="7" l="1"/>
  <c r="C1785" i="7"/>
  <c r="D1784" i="7"/>
  <c r="F1784" i="7" s="1"/>
  <c r="C1786" i="7" l="1"/>
  <c r="D1785" i="7"/>
  <c r="E1785" i="7" s="1"/>
  <c r="E1784" i="7"/>
  <c r="C1787" i="7" l="1"/>
  <c r="D1786" i="7"/>
  <c r="F1786" i="7" s="1"/>
  <c r="F1785" i="7"/>
  <c r="E1786" i="7" l="1"/>
  <c r="C1788" i="7"/>
  <c r="D1787" i="7"/>
  <c r="E1787" i="7" s="1"/>
  <c r="C1789" i="7" l="1"/>
  <c r="D1788" i="7"/>
  <c r="F1788" i="7" s="1"/>
  <c r="F1787" i="7"/>
  <c r="E1788" i="7" l="1"/>
  <c r="C1790" i="7"/>
  <c r="D1789" i="7"/>
  <c r="E1789" i="7" s="1"/>
  <c r="C1791" i="7" l="1"/>
  <c r="D1790" i="7"/>
  <c r="F1790" i="7" s="1"/>
  <c r="F1789" i="7"/>
  <c r="E1790" i="7" l="1"/>
  <c r="C1792" i="7"/>
  <c r="D1791" i="7"/>
  <c r="E1791" i="7" s="1"/>
  <c r="C1793" i="7" l="1"/>
  <c r="D1792" i="7"/>
  <c r="F1792" i="7" s="1"/>
  <c r="F1791" i="7"/>
  <c r="E1792" i="7" l="1"/>
  <c r="C1794" i="7"/>
  <c r="D1793" i="7"/>
  <c r="E1793" i="7" s="1"/>
  <c r="C1795" i="7" l="1"/>
  <c r="D1794" i="7"/>
  <c r="F1794" i="7" s="1"/>
  <c r="F1793" i="7"/>
  <c r="E1794" i="7" l="1"/>
  <c r="C1796" i="7"/>
  <c r="D1795" i="7"/>
  <c r="E1795" i="7" s="1"/>
  <c r="C1797" i="7" l="1"/>
  <c r="D1796" i="7"/>
  <c r="F1796" i="7" s="1"/>
  <c r="F1795" i="7"/>
  <c r="E1796" i="7" l="1"/>
  <c r="C1798" i="7"/>
  <c r="D1797" i="7"/>
  <c r="E1797" i="7" s="1"/>
  <c r="F1797" i="7" l="1"/>
  <c r="C1799" i="7"/>
  <c r="D1798" i="7"/>
  <c r="E1798" i="7" l="1"/>
  <c r="C1800" i="7"/>
  <c r="D1799" i="7"/>
  <c r="F1799" i="7" s="1"/>
  <c r="F1798" i="7"/>
  <c r="E1799" i="7" l="1"/>
  <c r="C1801" i="7"/>
  <c r="D1800" i="7"/>
  <c r="E1800" i="7" s="1"/>
  <c r="C1802" i="7" l="1"/>
  <c r="D1801" i="7"/>
  <c r="F1801" i="7" s="1"/>
  <c r="F1800" i="7"/>
  <c r="E1801" i="7" s="1"/>
  <c r="C1803" i="7" l="1"/>
  <c r="D1802" i="7"/>
  <c r="E1802" i="7" l="1"/>
  <c r="F1802" i="7"/>
  <c r="C1804" i="7"/>
  <c r="D1803" i="7"/>
  <c r="F1803" i="7" s="1"/>
  <c r="C1805" i="7" l="1"/>
  <c r="D1804" i="7"/>
  <c r="E1804" i="7" s="1"/>
  <c r="E1803" i="7"/>
  <c r="C1806" i="7" l="1"/>
  <c r="D1805" i="7"/>
  <c r="F1805" i="7" s="1"/>
  <c r="F1804" i="7"/>
  <c r="E1805" i="7" s="1"/>
  <c r="C1807" i="7" l="1"/>
  <c r="D1806" i="7"/>
  <c r="E1806" i="7" l="1"/>
  <c r="C1808" i="7"/>
  <c r="D1807" i="7"/>
  <c r="F1807" i="7" s="1"/>
  <c r="F1806" i="7"/>
  <c r="E1807" i="7" l="1"/>
  <c r="C1809" i="7"/>
  <c r="D1808" i="7"/>
  <c r="E1808" i="7" s="1"/>
  <c r="C1810" i="7" l="1"/>
  <c r="D1809" i="7"/>
  <c r="F1809" i="7" s="1"/>
  <c r="F1808" i="7"/>
  <c r="E1809" i="7" s="1"/>
  <c r="C1811" i="7" l="1"/>
  <c r="D1810" i="7"/>
  <c r="E1810" i="7" l="1"/>
  <c r="C1812" i="7"/>
  <c r="D1811" i="7"/>
  <c r="F1811" i="7" s="1"/>
  <c r="F1810" i="7"/>
  <c r="E1811" i="7" s="1"/>
  <c r="C1813" i="7" l="1"/>
  <c r="D1812" i="7"/>
  <c r="E1812" i="7" l="1"/>
  <c r="F1812" i="7"/>
  <c r="C1814" i="7"/>
  <c r="D1813" i="7"/>
  <c r="F1813" i="7" s="1"/>
  <c r="E1813" i="7" l="1"/>
  <c r="C1815" i="7"/>
  <c r="D1814" i="7"/>
  <c r="E1814" i="7" s="1"/>
  <c r="F1814" i="7" l="1"/>
  <c r="C1816" i="7"/>
  <c r="D1815" i="7"/>
  <c r="F1815" i="7" s="1"/>
  <c r="C1817" i="7" l="1"/>
  <c r="D1816" i="7"/>
  <c r="E1816" i="7" s="1"/>
  <c r="E1815" i="7"/>
  <c r="F1816" i="7" l="1"/>
  <c r="C1818" i="7"/>
  <c r="D1817" i="7"/>
  <c r="F1817" i="7" s="1"/>
  <c r="E1817" i="7" l="1"/>
  <c r="C1819" i="7"/>
  <c r="D1818" i="7"/>
  <c r="E1818" i="7" s="1"/>
  <c r="C1820" i="7" l="1"/>
  <c r="D1819" i="7"/>
  <c r="F1819" i="7" s="1"/>
  <c r="F1818" i="7"/>
  <c r="E1819" i="7" s="1"/>
  <c r="C1821" i="7" l="1"/>
  <c r="D1820" i="7"/>
  <c r="E1820" i="7" l="1"/>
  <c r="F1820" i="7"/>
  <c r="C1822" i="7"/>
  <c r="D1821" i="7"/>
  <c r="F1821" i="7" s="1"/>
  <c r="E1821" i="7" l="1"/>
  <c r="C1823" i="7"/>
  <c r="D1822" i="7"/>
  <c r="E1822" i="7" s="1"/>
  <c r="F1822" i="7" l="1"/>
  <c r="C1824" i="7"/>
  <c r="D1823" i="7"/>
  <c r="F1823" i="7" s="1"/>
  <c r="E1823" i="7" l="1"/>
  <c r="C1825" i="7"/>
  <c r="D1824" i="7"/>
  <c r="E1824" i="7" s="1"/>
  <c r="C1826" i="7" l="1"/>
  <c r="D1825" i="7"/>
  <c r="F1825" i="7" s="1"/>
  <c r="F1824" i="7"/>
  <c r="E1825" i="7" l="1"/>
  <c r="C1827" i="7"/>
  <c r="D1826" i="7"/>
  <c r="E1826" i="7" s="1"/>
  <c r="C1828" i="7" l="1"/>
  <c r="D1827" i="7"/>
  <c r="F1827" i="7" s="1"/>
  <c r="F1826" i="7"/>
  <c r="E1827" i="7" s="1"/>
  <c r="C1829" i="7" l="1"/>
  <c r="D1828" i="7"/>
  <c r="E1828" i="7" l="1"/>
  <c r="C1830" i="7"/>
  <c r="D1829" i="7"/>
  <c r="F1829" i="7" s="1"/>
  <c r="F1828" i="7"/>
  <c r="E1829" i="7" l="1"/>
  <c r="C1831" i="7"/>
  <c r="D1830" i="7"/>
  <c r="E1830" i="7" l="1"/>
  <c r="C1832" i="7"/>
  <c r="D1831" i="7"/>
  <c r="F1831" i="7" s="1"/>
  <c r="F1830" i="7"/>
  <c r="E1831" i="7" s="1"/>
  <c r="C1833" i="7" l="1"/>
  <c r="D1832" i="7"/>
  <c r="E1832" i="7" l="1"/>
  <c r="C1834" i="7"/>
  <c r="D1833" i="7"/>
  <c r="F1833" i="7" s="1"/>
  <c r="F1832" i="7"/>
  <c r="E1833" i="7" l="1"/>
  <c r="C1835" i="7"/>
  <c r="D1834" i="7"/>
  <c r="E1834" i="7" l="1"/>
  <c r="C1836" i="7"/>
  <c r="D1835" i="7"/>
  <c r="F1835" i="7" s="1"/>
  <c r="F1834" i="7"/>
  <c r="E1835" i="7" l="1"/>
  <c r="C1837" i="7"/>
  <c r="D1836" i="7"/>
  <c r="E1836" i="7" s="1"/>
  <c r="C1838" i="7" l="1"/>
  <c r="D1837" i="7"/>
  <c r="F1837" i="7" s="1"/>
  <c r="F1836" i="7"/>
  <c r="E1837" i="7" s="1"/>
  <c r="C1839" i="7" l="1"/>
  <c r="D1838" i="7"/>
  <c r="E1838" i="7" l="1"/>
  <c r="C1840" i="7"/>
  <c r="D1839" i="7"/>
  <c r="F1839" i="7" s="1"/>
  <c r="F1838" i="7"/>
  <c r="E1839" i="7" l="1"/>
  <c r="C1841" i="7"/>
  <c r="D1840" i="7"/>
  <c r="E1840" i="7" l="1"/>
  <c r="C1842" i="7"/>
  <c r="D1841" i="7"/>
  <c r="F1841" i="7" s="1"/>
  <c r="F1840" i="7"/>
  <c r="E1841" i="7" l="1"/>
  <c r="C1843" i="7"/>
  <c r="D1842" i="7"/>
  <c r="E1842" i="7" l="1"/>
  <c r="C1844" i="7"/>
  <c r="D1843" i="7"/>
  <c r="F1843" i="7" s="1"/>
  <c r="F1842" i="7"/>
  <c r="E1843" i="7" l="1"/>
  <c r="C1845" i="7"/>
  <c r="D1844" i="7"/>
  <c r="E1844" i="7" s="1"/>
  <c r="C1846" i="7" l="1"/>
  <c r="D1845" i="7"/>
  <c r="F1845" i="7" s="1"/>
  <c r="F1844" i="7"/>
  <c r="E1845" i="7" s="1"/>
  <c r="C1847" i="7" l="1"/>
  <c r="D1846" i="7"/>
  <c r="E1846" i="7" l="1"/>
  <c r="C1848" i="7"/>
  <c r="D1847" i="7"/>
  <c r="F1847" i="7" s="1"/>
  <c r="F1846" i="7"/>
  <c r="E1847" i="7" s="1"/>
  <c r="C1849" i="7" l="1"/>
  <c r="D1848" i="7"/>
  <c r="E1848" i="7" l="1"/>
  <c r="C1850" i="7"/>
  <c r="D1849" i="7"/>
  <c r="F1849" i="7" s="1"/>
  <c r="F1848" i="7"/>
  <c r="E1849" i="7" l="1"/>
  <c r="C1851" i="7"/>
  <c r="D1850" i="7"/>
  <c r="E1850" i="7" s="1"/>
  <c r="C1852" i="7" l="1"/>
  <c r="D1851" i="7"/>
  <c r="F1851" i="7" s="1"/>
  <c r="F1850" i="7"/>
  <c r="E1851" i="7" s="1"/>
  <c r="C1853" i="7" l="1"/>
  <c r="D1852" i="7"/>
  <c r="E1852" i="7" l="1"/>
  <c r="C1854" i="7"/>
  <c r="D1853" i="7"/>
  <c r="F1853" i="7" s="1"/>
  <c r="F1852" i="7"/>
  <c r="E1853" i="7" l="1"/>
  <c r="C1855" i="7"/>
  <c r="D1854" i="7"/>
  <c r="E1854" i="7" l="1"/>
  <c r="C1856" i="7"/>
  <c r="D1855" i="7"/>
  <c r="F1855" i="7" s="1"/>
  <c r="F1854" i="7"/>
  <c r="E1855" i="7" s="1"/>
  <c r="C1857" i="7" l="1"/>
  <c r="D1856" i="7"/>
  <c r="E1856" i="7" l="1"/>
  <c r="C1858" i="7"/>
  <c r="D1857" i="7"/>
  <c r="F1857" i="7" s="1"/>
  <c r="F1856" i="7"/>
  <c r="E1857" i="7" s="1"/>
  <c r="C1859" i="7" l="1"/>
  <c r="D1858" i="7"/>
  <c r="E1858" i="7" l="1"/>
  <c r="F1858" i="7"/>
  <c r="C1860" i="7"/>
  <c r="D1859" i="7"/>
  <c r="E1859" i="7" l="1"/>
  <c r="C1861" i="7"/>
  <c r="D1860" i="7"/>
  <c r="F1860" i="7" s="1"/>
  <c r="F1859" i="7"/>
  <c r="E1860" i="7" l="1"/>
  <c r="C1862" i="7"/>
  <c r="D1861" i="7"/>
  <c r="E1861" i="7" s="1"/>
  <c r="C1863" i="7" l="1"/>
  <c r="D1862" i="7"/>
  <c r="F1862" i="7" s="1"/>
  <c r="F1861" i="7"/>
  <c r="E1862" i="7" l="1"/>
  <c r="C1864" i="7"/>
  <c r="D1863" i="7"/>
  <c r="E1863" i="7" s="1"/>
  <c r="C1865" i="7" l="1"/>
  <c r="D1864" i="7"/>
  <c r="F1864" i="7" s="1"/>
  <c r="F1863" i="7"/>
  <c r="E1864" i="7" l="1"/>
  <c r="C1866" i="7"/>
  <c r="D1865" i="7"/>
  <c r="E1865" i="7" s="1"/>
  <c r="C1867" i="7" l="1"/>
  <c r="D1866" i="7"/>
  <c r="F1866" i="7" s="1"/>
  <c r="F1865" i="7"/>
  <c r="E1866" i="7" l="1"/>
  <c r="C1868" i="7"/>
  <c r="D1867" i="7"/>
  <c r="E1867" i="7" s="1"/>
  <c r="F1867" i="7" l="1"/>
  <c r="C1869" i="7"/>
  <c r="D1868" i="7"/>
  <c r="F1868" i="7" s="1"/>
  <c r="E1868" i="7" l="1"/>
  <c r="C1870" i="7"/>
  <c r="D1869" i="7"/>
  <c r="E1869" i="7" s="1"/>
  <c r="F1869" i="7" l="1"/>
  <c r="C1871" i="7"/>
  <c r="D1870" i="7"/>
  <c r="F1870" i="7" s="1"/>
  <c r="E1870" i="7" l="1"/>
  <c r="C1872" i="7"/>
  <c r="D1871" i="7"/>
  <c r="E1871" i="7" s="1"/>
  <c r="C1873" i="7" l="1"/>
  <c r="D1872" i="7"/>
  <c r="F1872" i="7" s="1"/>
  <c r="F1871" i="7"/>
  <c r="E1872" i="7" l="1"/>
  <c r="C1874" i="7"/>
  <c r="D1873" i="7"/>
  <c r="E1873" i="7" s="1"/>
  <c r="F1873" i="7" l="1"/>
  <c r="C1875" i="7"/>
  <c r="D1874" i="7"/>
  <c r="E1874" i="7" l="1"/>
  <c r="F1874" i="7"/>
  <c r="C1876" i="7"/>
  <c r="D1875" i="7"/>
  <c r="F1875" i="7" s="1"/>
  <c r="C1877" i="7" l="1"/>
  <c r="D1876" i="7"/>
  <c r="E1876" i="7" s="1"/>
  <c r="E1875" i="7"/>
  <c r="C1878" i="7" l="1"/>
  <c r="D1877" i="7"/>
  <c r="F1877" i="7" s="1"/>
  <c r="F1876" i="7"/>
  <c r="E1877" i="7" l="1"/>
  <c r="C1879" i="7"/>
  <c r="D1878" i="7"/>
  <c r="E1878" i="7" s="1"/>
  <c r="F1878" i="7" l="1"/>
  <c r="C1880" i="7"/>
  <c r="D1879" i="7"/>
  <c r="F1879" i="7" s="1"/>
  <c r="C1881" i="7" l="1"/>
  <c r="D1880" i="7"/>
  <c r="E1880" i="7" s="1"/>
  <c r="E1879" i="7"/>
  <c r="C1882" i="7" l="1"/>
  <c r="D1881" i="7"/>
  <c r="F1881" i="7" s="1"/>
  <c r="F1880" i="7"/>
  <c r="E1881" i="7" l="1"/>
  <c r="C1883" i="7"/>
  <c r="D1882" i="7"/>
  <c r="E1882" i="7" s="1"/>
  <c r="C1884" i="7" l="1"/>
  <c r="D1883" i="7"/>
  <c r="F1883" i="7" s="1"/>
  <c r="F1882" i="7"/>
  <c r="E1883" i="7" l="1"/>
  <c r="C1885" i="7"/>
  <c r="D1884" i="7"/>
  <c r="E1884" i="7" s="1"/>
  <c r="C1886" i="7" l="1"/>
  <c r="D1885" i="7"/>
  <c r="F1885" i="7" s="1"/>
  <c r="F1884" i="7"/>
  <c r="E1885" i="7" l="1"/>
  <c r="C1887" i="7"/>
  <c r="D1886" i="7"/>
  <c r="E1886" i="7" s="1"/>
  <c r="F1886" i="7" l="1"/>
  <c r="C1888" i="7"/>
  <c r="D1887" i="7"/>
  <c r="F1887" i="7" s="1"/>
  <c r="E1887" i="7" l="1"/>
  <c r="C1889" i="7"/>
  <c r="D1888" i="7"/>
  <c r="E1888" i="7" s="1"/>
  <c r="C1890" i="7" l="1"/>
  <c r="D1889" i="7"/>
  <c r="F1889" i="7" s="1"/>
  <c r="F1888" i="7"/>
  <c r="E1889" i="7" s="1"/>
  <c r="C1891" i="7" l="1"/>
  <c r="D1890" i="7"/>
  <c r="E1890" i="7" l="1"/>
  <c r="C1892" i="7"/>
  <c r="D1891" i="7"/>
  <c r="F1891" i="7" s="1"/>
  <c r="F1890" i="7"/>
  <c r="E1891" i="7" s="1"/>
  <c r="C1893" i="7" l="1"/>
  <c r="D1892" i="7"/>
  <c r="E1892" i="7" l="1"/>
  <c r="C1894" i="7"/>
  <c r="D1893" i="7"/>
  <c r="F1893" i="7" s="1"/>
  <c r="F1892" i="7"/>
  <c r="E1893" i="7" l="1"/>
  <c r="C1895" i="7"/>
  <c r="D1894" i="7"/>
  <c r="E1894" i="7" s="1"/>
  <c r="C1896" i="7" l="1"/>
  <c r="D1895" i="7"/>
  <c r="F1895" i="7" s="1"/>
  <c r="F1894" i="7"/>
  <c r="E1895" i="7" l="1"/>
  <c r="C1897" i="7"/>
  <c r="D1896" i="7"/>
  <c r="E1896" i="7" s="1"/>
  <c r="C1898" i="7" l="1"/>
  <c r="D1897" i="7"/>
  <c r="F1897" i="7" s="1"/>
  <c r="F1896" i="7"/>
  <c r="E1897" i="7" l="1"/>
  <c r="C1899" i="7"/>
  <c r="D1898" i="7"/>
  <c r="E1898" i="7" s="1"/>
  <c r="F1898" i="7" l="1"/>
  <c r="C1900" i="7"/>
  <c r="D1899" i="7"/>
  <c r="F1899" i="7" s="1"/>
  <c r="C1901" i="7" l="1"/>
  <c r="D1900" i="7"/>
  <c r="E1900" i="7" s="1"/>
  <c r="E1899" i="7"/>
  <c r="F1900" i="7" l="1"/>
  <c r="C1902" i="7"/>
  <c r="D1901" i="7"/>
  <c r="F1901" i="7" s="1"/>
  <c r="E1901" i="7" l="1"/>
  <c r="C1903" i="7"/>
  <c r="D1902" i="7"/>
  <c r="E1902" i="7" s="1"/>
  <c r="C1904" i="7" l="1"/>
  <c r="D1903" i="7"/>
  <c r="F1903" i="7" s="1"/>
  <c r="F1902" i="7"/>
  <c r="E1903" i="7" s="1"/>
  <c r="C1905" i="7" l="1"/>
  <c r="D1904" i="7"/>
  <c r="E1904" i="7" l="1"/>
  <c r="F1904" i="7"/>
  <c r="C1906" i="7"/>
  <c r="D1905" i="7"/>
  <c r="F1905" i="7" s="1"/>
  <c r="C1907" i="7" l="1"/>
  <c r="D1906" i="7"/>
  <c r="E1906" i="7" s="1"/>
  <c r="E1905" i="7"/>
  <c r="F1906" i="7" l="1"/>
  <c r="C1908" i="7"/>
  <c r="D1907" i="7"/>
  <c r="F1907" i="7" s="1"/>
  <c r="E1907" i="7" l="1"/>
  <c r="C1909" i="7"/>
  <c r="D1908" i="7"/>
  <c r="E1908" i="7" s="1"/>
  <c r="C1910" i="7" l="1"/>
  <c r="D1909" i="7"/>
  <c r="F1909" i="7" s="1"/>
  <c r="F1908" i="7"/>
  <c r="E1909" i="7" s="1"/>
  <c r="C1911" i="7" l="1"/>
  <c r="D1910" i="7"/>
  <c r="E1910" i="7" l="1"/>
  <c r="C1912" i="7"/>
  <c r="D1911" i="7"/>
  <c r="F1911" i="7" s="1"/>
  <c r="F1910" i="7"/>
  <c r="E1911" i="7" l="1"/>
  <c r="C1913" i="7"/>
  <c r="D1912" i="7"/>
  <c r="E1912" i="7" s="1"/>
  <c r="C1914" i="7" l="1"/>
  <c r="D1913" i="7"/>
  <c r="F1913" i="7" s="1"/>
  <c r="F1912" i="7"/>
  <c r="E1913" i="7" s="1"/>
  <c r="C1915" i="7" l="1"/>
  <c r="D1914" i="7"/>
  <c r="E1914" i="7" l="1"/>
  <c r="F1914" i="7"/>
  <c r="C1916" i="7"/>
  <c r="D1915" i="7"/>
  <c r="F1915" i="7" s="1"/>
  <c r="C1917" i="7" l="1"/>
  <c r="D1916" i="7"/>
  <c r="E1916" i="7" s="1"/>
  <c r="E1915" i="7"/>
  <c r="C1918" i="7" l="1"/>
  <c r="D1917" i="7"/>
  <c r="F1917" i="7" s="1"/>
  <c r="F1916" i="7"/>
  <c r="E1917" i="7" s="1"/>
  <c r="C1919" i="7" l="1"/>
  <c r="D1918" i="7"/>
  <c r="E1918" i="7" l="1"/>
  <c r="C1920" i="7"/>
  <c r="D1919" i="7"/>
  <c r="F1919" i="7" s="1"/>
  <c r="F1918" i="7"/>
  <c r="E1919" i="7" l="1"/>
  <c r="C1921" i="7"/>
  <c r="D1920" i="7"/>
  <c r="E1920" i="7" l="1"/>
  <c r="F1920" i="7"/>
  <c r="C1922" i="7"/>
  <c r="D1921" i="7"/>
  <c r="F1921" i="7" s="1"/>
  <c r="C1923" i="7" l="1"/>
  <c r="D1922" i="7"/>
  <c r="E1922" i="7" s="1"/>
  <c r="E1921" i="7"/>
  <c r="F1922" i="7" l="1"/>
  <c r="C1924" i="7"/>
  <c r="D1923" i="7"/>
  <c r="F1923" i="7" s="1"/>
  <c r="C1925" i="7" l="1"/>
  <c r="D1924" i="7"/>
  <c r="E1924" i="7" s="1"/>
  <c r="E1923" i="7"/>
  <c r="C1926" i="7" l="1"/>
  <c r="D1925" i="7"/>
  <c r="F1925" i="7" s="1"/>
  <c r="F1924" i="7"/>
  <c r="E1925" i="7" s="1"/>
  <c r="C1927" i="7" l="1"/>
  <c r="D1926" i="7"/>
  <c r="E1926" i="7" l="1"/>
  <c r="C1928" i="7"/>
  <c r="D1927" i="7"/>
  <c r="F1927" i="7" s="1"/>
  <c r="F1926" i="7"/>
  <c r="E1927" i="7" l="1"/>
  <c r="C1929" i="7"/>
  <c r="D1928" i="7"/>
  <c r="E1928" i="7" s="1"/>
  <c r="F1928" i="7" l="1"/>
  <c r="C1930" i="7"/>
  <c r="D1929" i="7"/>
  <c r="F1929" i="7" s="1"/>
  <c r="C1931" i="7" l="1"/>
  <c r="D1930" i="7"/>
  <c r="E1930" i="7" s="1"/>
  <c r="E1929" i="7"/>
  <c r="F1930" i="7" l="1"/>
  <c r="C1932" i="7"/>
  <c r="D1931" i="7"/>
  <c r="F1931" i="7" s="1"/>
  <c r="C1933" i="7" l="1"/>
  <c r="D1932" i="7"/>
  <c r="E1932" i="7" s="1"/>
  <c r="E1931" i="7"/>
  <c r="C1934" i="7" l="1"/>
  <c r="D1933" i="7"/>
  <c r="F1933" i="7" s="1"/>
  <c r="F1932" i="7"/>
  <c r="E1933" i="7" l="1"/>
  <c r="C1935" i="7"/>
  <c r="D1934" i="7"/>
  <c r="E1934" i="7" s="1"/>
  <c r="F1934" i="7" l="1"/>
  <c r="C1936" i="7"/>
  <c r="D1935" i="7"/>
  <c r="F1935" i="7" s="1"/>
  <c r="C1937" i="7" l="1"/>
  <c r="D1936" i="7"/>
  <c r="E1936" i="7" s="1"/>
  <c r="E1935" i="7"/>
  <c r="F1936" i="7" l="1"/>
  <c r="C1938" i="7"/>
  <c r="D1937" i="7"/>
  <c r="F1937" i="7" s="1"/>
  <c r="C1939" i="7" l="1"/>
  <c r="D1938" i="7"/>
  <c r="E1938" i="7" s="1"/>
  <c r="E1937" i="7"/>
  <c r="C1940" i="7" l="1"/>
  <c r="D1939" i="7"/>
  <c r="F1939" i="7" s="1"/>
  <c r="F1938" i="7"/>
  <c r="E1939" i="7" l="1"/>
  <c r="C1941" i="7"/>
  <c r="D1940" i="7"/>
  <c r="E1940" i="7" s="1"/>
  <c r="C1942" i="7" l="1"/>
  <c r="D1941" i="7"/>
  <c r="F1941" i="7" s="1"/>
  <c r="F1940" i="7"/>
  <c r="E1941" i="7" s="1"/>
  <c r="C1943" i="7" l="1"/>
  <c r="D1942" i="7"/>
  <c r="E1942" i="7" l="1"/>
  <c r="C1944" i="7"/>
  <c r="D1943" i="7"/>
  <c r="F1943" i="7" s="1"/>
  <c r="F1942" i="7"/>
  <c r="E1943" i="7" l="1"/>
  <c r="C1945" i="7"/>
  <c r="D1944" i="7"/>
  <c r="E1944" i="7" l="1"/>
  <c r="C1946" i="7"/>
  <c r="D1945" i="7"/>
  <c r="F1945" i="7" s="1"/>
  <c r="F1944" i="7"/>
  <c r="E1945" i="7" l="1"/>
  <c r="C1947" i="7"/>
  <c r="D1946" i="7"/>
  <c r="E1946" i="7" s="1"/>
  <c r="F1946" i="7" l="1"/>
  <c r="C1948" i="7"/>
  <c r="D1947" i="7"/>
  <c r="F1947" i="7" s="1"/>
  <c r="C1949" i="7" l="1"/>
  <c r="D1948" i="7"/>
  <c r="E1948" i="7" s="1"/>
  <c r="E1947" i="7"/>
  <c r="C1950" i="7" l="1"/>
  <c r="D1949" i="7"/>
  <c r="F1949" i="7" s="1"/>
  <c r="F1948" i="7"/>
  <c r="E1949" i="7" l="1"/>
  <c r="C1951" i="7"/>
  <c r="D1950" i="7"/>
  <c r="E1950" i="7" s="1"/>
  <c r="C1952" i="7" l="1"/>
  <c r="D1951" i="7"/>
  <c r="F1951" i="7" s="1"/>
  <c r="F1950" i="7"/>
  <c r="E1951" i="7" s="1"/>
  <c r="C1953" i="7" l="1"/>
  <c r="D1952" i="7"/>
  <c r="E1952" i="7" l="1"/>
  <c r="C1954" i="7"/>
  <c r="D1953" i="7"/>
  <c r="F1953" i="7" s="1"/>
  <c r="F1952" i="7"/>
  <c r="E1953" i="7" l="1"/>
  <c r="C1955" i="7"/>
  <c r="D1954" i="7"/>
  <c r="E1954" i="7" s="1"/>
  <c r="C1956" i="7" l="1"/>
  <c r="D1955" i="7"/>
  <c r="F1955" i="7" s="1"/>
  <c r="F1954" i="7"/>
  <c r="E1955" i="7" s="1"/>
  <c r="C1957" i="7" l="1"/>
  <c r="D1956" i="7"/>
  <c r="E1956" i="7" s="1"/>
  <c r="C1958" i="7" l="1"/>
  <c r="D1957" i="7"/>
  <c r="F1957" i="7" s="1"/>
  <c r="F1956" i="7"/>
  <c r="E1957" i="7" l="1"/>
  <c r="C1959" i="7"/>
  <c r="D1958" i="7"/>
  <c r="E1958" i="7" s="1"/>
  <c r="C1960" i="7" l="1"/>
  <c r="D1959" i="7"/>
  <c r="F1959" i="7" s="1"/>
  <c r="F1958" i="7"/>
  <c r="E1959" i="7" l="1"/>
  <c r="C1961" i="7"/>
  <c r="D1960" i="7"/>
  <c r="E1960" i="7" s="1"/>
  <c r="C1962" i="7" l="1"/>
  <c r="D1961" i="7"/>
  <c r="F1961" i="7" s="1"/>
  <c r="F1960" i="7"/>
  <c r="E1961" i="7" l="1"/>
  <c r="C1963" i="7"/>
  <c r="D1962" i="7"/>
  <c r="E1962" i="7" s="1"/>
  <c r="C1964" i="7" l="1"/>
  <c r="D1963" i="7"/>
  <c r="F1963" i="7" s="1"/>
  <c r="F1962" i="7"/>
  <c r="E1963" i="7" l="1"/>
  <c r="C1965" i="7"/>
  <c r="D1964" i="7"/>
  <c r="E1964" i="7" s="1"/>
  <c r="C1966" i="7" l="1"/>
  <c r="D1965" i="7"/>
  <c r="F1965" i="7" s="1"/>
  <c r="F1964" i="7"/>
  <c r="E1965" i="7" l="1"/>
  <c r="C1967" i="7"/>
  <c r="D1966" i="7"/>
  <c r="E1966" i="7" s="1"/>
  <c r="C1968" i="7" l="1"/>
  <c r="D1967" i="7"/>
  <c r="F1967" i="7" s="1"/>
  <c r="F1966" i="7"/>
  <c r="E1967" i="7" l="1"/>
  <c r="C1969" i="7"/>
  <c r="D1968" i="7"/>
  <c r="E1968" i="7" s="1"/>
  <c r="C1970" i="7" l="1"/>
  <c r="D1969" i="7"/>
  <c r="F1969" i="7" s="1"/>
  <c r="F1968" i="7"/>
  <c r="E1969" i="7" l="1"/>
  <c r="C1971" i="7"/>
  <c r="D1970" i="7"/>
  <c r="E1970" i="7" s="1"/>
  <c r="F1970" i="7" l="1"/>
  <c r="C1972" i="7"/>
  <c r="D1971" i="7"/>
  <c r="F1971" i="7" s="1"/>
  <c r="E1971" i="7" l="1"/>
  <c r="C1973" i="7"/>
  <c r="D1972" i="7"/>
  <c r="E1972" i="7" s="1"/>
  <c r="C1974" i="7" l="1"/>
  <c r="D1973" i="7"/>
  <c r="F1973" i="7" s="1"/>
  <c r="F1972" i="7"/>
  <c r="E1973" i="7" l="1"/>
  <c r="C1975" i="7"/>
  <c r="D1974" i="7"/>
  <c r="E1974" i="7" s="1"/>
  <c r="F1974" i="7" l="1"/>
  <c r="C1976" i="7"/>
  <c r="D1975" i="7"/>
  <c r="F1975" i="7" s="1"/>
  <c r="E1975" i="7" l="1"/>
  <c r="C1977" i="7"/>
  <c r="D1976" i="7"/>
  <c r="E1976" i="7" s="1"/>
  <c r="C1978" i="7" l="1"/>
  <c r="D1977" i="7"/>
  <c r="F1977" i="7" s="1"/>
  <c r="F1976" i="7"/>
  <c r="E1977" i="7" l="1"/>
  <c r="C1979" i="7"/>
  <c r="D1978" i="7"/>
  <c r="E1978" i="7" s="1"/>
  <c r="C1980" i="7" l="1"/>
  <c r="D1979" i="7"/>
  <c r="F1979" i="7" s="1"/>
  <c r="F1978" i="7"/>
  <c r="E1979" i="7" l="1"/>
  <c r="C1981" i="7"/>
  <c r="D1980" i="7"/>
  <c r="E1980" i="7" s="1"/>
  <c r="F1980" i="7" l="1"/>
  <c r="C1982" i="7"/>
  <c r="D1981" i="7"/>
  <c r="F1981" i="7" s="1"/>
  <c r="C1983" i="7" l="1"/>
  <c r="D1982" i="7"/>
  <c r="E1982" i="7" s="1"/>
  <c r="E1981" i="7"/>
  <c r="F1982" i="7" l="1"/>
  <c r="C1984" i="7"/>
  <c r="D1983" i="7"/>
  <c r="F1983" i="7" s="1"/>
  <c r="C1985" i="7" l="1"/>
  <c r="D1984" i="7"/>
  <c r="E1984" i="7" s="1"/>
  <c r="E1983" i="7"/>
  <c r="F1984" i="7" l="1"/>
  <c r="C1986" i="7"/>
  <c r="D1985" i="7"/>
  <c r="F1985" i="7" s="1"/>
  <c r="C1987" i="7" l="1"/>
  <c r="D1986" i="7"/>
  <c r="E1986" i="7" s="1"/>
  <c r="E1985" i="7"/>
  <c r="F1986" i="7" l="1"/>
  <c r="C1988" i="7"/>
  <c r="D1987" i="7"/>
  <c r="F1987" i="7" s="1"/>
  <c r="C1989" i="7" l="1"/>
  <c r="D1988" i="7"/>
  <c r="E1988" i="7" s="1"/>
  <c r="E1987" i="7"/>
  <c r="F1988" i="7" l="1"/>
  <c r="C1990" i="7"/>
  <c r="D1989" i="7"/>
  <c r="F1989" i="7" s="1"/>
  <c r="C1991" i="7" l="1"/>
  <c r="D1990" i="7"/>
  <c r="E1990" i="7" s="1"/>
  <c r="E1989" i="7"/>
  <c r="F1990" i="7" l="1"/>
  <c r="C1992" i="7"/>
  <c r="D1991" i="7"/>
  <c r="F1991" i="7" s="1"/>
  <c r="C1993" i="7" l="1"/>
  <c r="D1992" i="7"/>
  <c r="E1992" i="7" s="1"/>
  <c r="E1991" i="7"/>
  <c r="F1992" i="7" l="1"/>
  <c r="C1994" i="7"/>
  <c r="D1993" i="7"/>
  <c r="F1993" i="7" s="1"/>
  <c r="C1995" i="7" l="1"/>
  <c r="D1994" i="7"/>
  <c r="E1994" i="7" s="1"/>
  <c r="E1993" i="7"/>
  <c r="F1994" i="7" l="1"/>
  <c r="C1996" i="7"/>
  <c r="D1995" i="7"/>
  <c r="F1995" i="7" s="1"/>
  <c r="C1997" i="7" l="1"/>
  <c r="D1996" i="7"/>
  <c r="E1996" i="7" s="1"/>
  <c r="E1995" i="7"/>
  <c r="F1996" i="7" l="1"/>
  <c r="C1998" i="7"/>
  <c r="D1997" i="7"/>
  <c r="F1997" i="7" s="1"/>
  <c r="C1999" i="7" l="1"/>
  <c r="D1998" i="7"/>
  <c r="E1998" i="7" s="1"/>
  <c r="E1997" i="7"/>
  <c r="F1998" i="7" l="1"/>
  <c r="C2000" i="7"/>
  <c r="D1999" i="7"/>
  <c r="F1999" i="7" s="1"/>
  <c r="E1999" i="7" l="1"/>
  <c r="C2001" i="7"/>
  <c r="D2000" i="7"/>
  <c r="E2000" i="7" s="1"/>
  <c r="F2000" i="7" l="1"/>
  <c r="C2002" i="7"/>
  <c r="D2001" i="7"/>
  <c r="F2001" i="7" s="1"/>
  <c r="C2003" i="7" l="1"/>
  <c r="D2002" i="7"/>
  <c r="E2002" i="7" s="1"/>
  <c r="E2001" i="7"/>
  <c r="F2002" i="7" l="1"/>
  <c r="C2004" i="7"/>
  <c r="D2003" i="7"/>
  <c r="F2003" i="7" s="1"/>
  <c r="C2005" i="7" l="1"/>
  <c r="D2004" i="7"/>
  <c r="E2004" i="7" s="1"/>
  <c r="E2003" i="7"/>
  <c r="F2004" i="7" l="1"/>
  <c r="C2006" i="7"/>
  <c r="D2005" i="7"/>
  <c r="F2005" i="7" s="1"/>
  <c r="E2005" i="7" l="1"/>
  <c r="C2007" i="7"/>
  <c r="D2006" i="7"/>
  <c r="E2006" i="7" s="1"/>
  <c r="F2006" i="7" l="1"/>
  <c r="C2008" i="7"/>
  <c r="D2007" i="7"/>
  <c r="F2007" i="7" s="1"/>
  <c r="E2007" i="7" l="1"/>
  <c r="C2009" i="7"/>
  <c r="D2008" i="7"/>
  <c r="E2008" i="7" s="1"/>
  <c r="C2010" i="7" l="1"/>
  <c r="D2009" i="7"/>
  <c r="F2009" i="7" s="1"/>
  <c r="F2008" i="7"/>
  <c r="E2009" i="7" l="1"/>
  <c r="C2011" i="7"/>
  <c r="D2010" i="7"/>
  <c r="E2010" i="7" s="1"/>
  <c r="F2010" i="7" l="1"/>
  <c r="C2012" i="7"/>
  <c r="D2011" i="7"/>
  <c r="F2011" i="7" s="1"/>
  <c r="E2011" i="7" l="1"/>
  <c r="C2013" i="7"/>
  <c r="D2012" i="7"/>
  <c r="E2012" i="7" s="1"/>
  <c r="F2012" i="7" l="1"/>
  <c r="C2014" i="7"/>
  <c r="D2013" i="7"/>
  <c r="F2013" i="7" s="1"/>
  <c r="C2015" i="7" l="1"/>
  <c r="D2014" i="7"/>
  <c r="E2014" i="7" s="1"/>
  <c r="E2013" i="7"/>
  <c r="C2016" i="7" l="1"/>
  <c r="D2015" i="7"/>
  <c r="F2015" i="7" s="1"/>
  <c r="F2014" i="7"/>
  <c r="E2015" i="7" l="1"/>
  <c r="C2017" i="7"/>
  <c r="D2016" i="7"/>
  <c r="E2016" i="7" s="1"/>
  <c r="F2016" i="7" l="1"/>
  <c r="C2018" i="7"/>
  <c r="D2017" i="7"/>
  <c r="F2017" i="7" s="1"/>
  <c r="C2019" i="7" l="1"/>
  <c r="D2018" i="7"/>
  <c r="E2018" i="7" s="1"/>
  <c r="E2017" i="7"/>
  <c r="C2020" i="7" l="1"/>
  <c r="D2019" i="7"/>
  <c r="F2019" i="7" s="1"/>
  <c r="F2018" i="7"/>
  <c r="E2019" i="7" l="1"/>
  <c r="C2021" i="7"/>
  <c r="D2020" i="7"/>
  <c r="E2020" i="7" s="1"/>
  <c r="C2022" i="7" l="1"/>
  <c r="D2021" i="7"/>
  <c r="F2021" i="7" s="1"/>
  <c r="F2020" i="7"/>
  <c r="E2021" i="7" l="1"/>
  <c r="C2023" i="7"/>
  <c r="D2022" i="7"/>
  <c r="E2022" i="7" s="1"/>
  <c r="F2022" i="7" l="1"/>
  <c r="C2024" i="7"/>
  <c r="D2023" i="7"/>
  <c r="F2023" i="7" s="1"/>
  <c r="C2025" i="7" l="1"/>
  <c r="D2024" i="7"/>
  <c r="E2024" i="7" s="1"/>
  <c r="E2023" i="7"/>
  <c r="F2024" i="7" l="1"/>
  <c r="C2026" i="7"/>
  <c r="D2025" i="7"/>
  <c r="F2025" i="7" s="1"/>
  <c r="E2025" i="7" l="1"/>
  <c r="C2027" i="7"/>
  <c r="D2026" i="7"/>
  <c r="E2026" i="7" s="1"/>
  <c r="F2026" i="7" l="1"/>
  <c r="C2028" i="7"/>
  <c r="D2027" i="7"/>
  <c r="F2027" i="7" s="1"/>
  <c r="E2027" i="7" l="1"/>
  <c r="C2029" i="7"/>
  <c r="D2028" i="7"/>
  <c r="E2028" i="7" s="1"/>
  <c r="F2028" i="7" l="1"/>
  <c r="C2030" i="7"/>
  <c r="D2029" i="7"/>
  <c r="F2029" i="7" s="1"/>
  <c r="C2031" i="7" l="1"/>
  <c r="D2030" i="7"/>
  <c r="E2030" i="7" s="1"/>
  <c r="E2029" i="7"/>
  <c r="F2030" i="7" l="1"/>
  <c r="C2032" i="7"/>
  <c r="D2031" i="7"/>
  <c r="F2031" i="7" s="1"/>
  <c r="E2031" i="7" l="1"/>
  <c r="C2033" i="7"/>
  <c r="D2032" i="7"/>
  <c r="E2032" i="7" s="1"/>
  <c r="C2034" i="7" l="1"/>
  <c r="D2033" i="7"/>
  <c r="F2033" i="7" s="1"/>
  <c r="F2032" i="7"/>
  <c r="E2033" i="7" l="1"/>
  <c r="C2035" i="7"/>
  <c r="D2034" i="7"/>
  <c r="E2034" i="7" s="1"/>
  <c r="C2036" i="7" l="1"/>
  <c r="D2035" i="7"/>
  <c r="F2035" i="7" s="1"/>
  <c r="F2034" i="7"/>
  <c r="E2035" i="7" l="1"/>
  <c r="C2037" i="7"/>
  <c r="D2036" i="7"/>
  <c r="E2036" i="7" s="1"/>
  <c r="C2038" i="7" l="1"/>
  <c r="D2037" i="7"/>
  <c r="F2037" i="7" s="1"/>
  <c r="F2036" i="7"/>
  <c r="E2037" i="7" l="1"/>
  <c r="C2039" i="7"/>
  <c r="D2038" i="7"/>
  <c r="E2038" i="7" s="1"/>
  <c r="F2038" i="7" l="1"/>
  <c r="C2040" i="7"/>
  <c r="D2039" i="7"/>
  <c r="F2039" i="7" s="1"/>
  <c r="C2041" i="7" l="1"/>
  <c r="D2040" i="7"/>
  <c r="E2040" i="7" s="1"/>
  <c r="E2039" i="7"/>
  <c r="C2042" i="7" l="1"/>
  <c r="D2041" i="7"/>
  <c r="F2041" i="7" s="1"/>
  <c r="F2040" i="7"/>
  <c r="E2041" i="7" l="1"/>
  <c r="C2043" i="7"/>
  <c r="D2042" i="7"/>
  <c r="E2042" i="7" s="1"/>
  <c r="F2042" i="7" l="1"/>
  <c r="C2044" i="7"/>
  <c r="D2043" i="7"/>
  <c r="F2043" i="7" s="1"/>
  <c r="C2045" i="7" l="1"/>
  <c r="D2044" i="7"/>
  <c r="E2044" i="7" s="1"/>
  <c r="E2043" i="7"/>
  <c r="F2044" i="7" l="1"/>
  <c r="C2046" i="7"/>
  <c r="D2045" i="7"/>
  <c r="F2045" i="7" s="1"/>
  <c r="E2045" i="7" l="1"/>
  <c r="C2047" i="7"/>
  <c r="D2046" i="7"/>
  <c r="E2046" i="7" s="1"/>
  <c r="F2046" i="7" l="1"/>
  <c r="C2048" i="7"/>
  <c r="D2047" i="7"/>
  <c r="F2047" i="7" s="1"/>
  <c r="E2047" i="7" l="1"/>
  <c r="C2049" i="7"/>
  <c r="D2048" i="7"/>
  <c r="E2048" i="7" s="1"/>
  <c r="C2050" i="7" l="1"/>
  <c r="D2049" i="7"/>
  <c r="F2049" i="7" s="1"/>
  <c r="F2048" i="7"/>
  <c r="E2049" i="7" l="1"/>
  <c r="C2051" i="7"/>
  <c r="D2050" i="7"/>
  <c r="E2050" i="7" s="1"/>
  <c r="F2050" i="7" l="1"/>
  <c r="C2052" i="7"/>
  <c r="D2051" i="7"/>
  <c r="F2051" i="7" s="1"/>
  <c r="C2053" i="7" l="1"/>
  <c r="D2052" i="7"/>
  <c r="E2052" i="7" s="1"/>
  <c r="E2051" i="7"/>
  <c r="F2052" i="7" l="1"/>
  <c r="C2054" i="7"/>
  <c r="D2053" i="7"/>
  <c r="F2053" i="7" s="1"/>
  <c r="C2055" i="7" l="1"/>
  <c r="D2054" i="7"/>
  <c r="E2054" i="7" s="1"/>
  <c r="E2053" i="7"/>
  <c r="C2056" i="7" l="1"/>
  <c r="D2055" i="7"/>
  <c r="F2055" i="7" s="1"/>
  <c r="F2054" i="7"/>
  <c r="E2055" i="7" l="1"/>
  <c r="C2057" i="7"/>
  <c r="D2056" i="7"/>
  <c r="E2056" i="7" s="1"/>
  <c r="F2056" i="7" l="1"/>
  <c r="C2058" i="7"/>
  <c r="D2057" i="7"/>
  <c r="F2057" i="7" s="1"/>
  <c r="C2059" i="7" l="1"/>
  <c r="D2058" i="7"/>
  <c r="E2058" i="7" s="1"/>
  <c r="E2057" i="7"/>
  <c r="C2060" i="7" l="1"/>
  <c r="D2059" i="7"/>
  <c r="F2059" i="7" s="1"/>
  <c r="F2058" i="7"/>
  <c r="E2059" i="7" l="1"/>
  <c r="C2061" i="7"/>
  <c r="D2060" i="7"/>
  <c r="E2060" i="7" s="1"/>
  <c r="C2062" i="7" l="1"/>
  <c r="D2061" i="7"/>
  <c r="F2061" i="7" s="1"/>
  <c r="F2060" i="7"/>
  <c r="E2061" i="7" l="1"/>
  <c r="C2063" i="7"/>
  <c r="D2062" i="7"/>
  <c r="E2062" i="7" s="1"/>
  <c r="C2064" i="7" l="1"/>
  <c r="D2063" i="7"/>
  <c r="F2063" i="7" s="1"/>
  <c r="F2062" i="7"/>
  <c r="E2063" i="7" l="1"/>
  <c r="C2065" i="7"/>
  <c r="D2064" i="7"/>
  <c r="E2064" i="7" s="1"/>
  <c r="C2066" i="7" l="1"/>
  <c r="D2065" i="7"/>
  <c r="F2065" i="7" s="1"/>
  <c r="F2064" i="7"/>
  <c r="E2065" i="7" l="1"/>
  <c r="C2067" i="7"/>
  <c r="D2066" i="7"/>
  <c r="E2066" i="7" s="1"/>
  <c r="C2068" i="7" l="1"/>
  <c r="D2067" i="7"/>
  <c r="F2067" i="7" s="1"/>
  <c r="F2066" i="7"/>
  <c r="E2067" i="7" s="1"/>
  <c r="C2069" i="7" l="1"/>
  <c r="D2068" i="7"/>
  <c r="E2068" i="7" l="1"/>
  <c r="F2068" i="7"/>
  <c r="C2070" i="7"/>
  <c r="D2069" i="7"/>
  <c r="F2069" i="7" s="1"/>
  <c r="E2069" i="7" l="1"/>
  <c r="C2071" i="7"/>
  <c r="D2070" i="7"/>
  <c r="E2070" i="7" s="1"/>
  <c r="F2070" i="7" l="1"/>
  <c r="C2072" i="7"/>
  <c r="D2071" i="7"/>
  <c r="F2071" i="7" s="1"/>
  <c r="C2073" i="7" l="1"/>
  <c r="D2072" i="7"/>
  <c r="E2072" i="7" s="1"/>
  <c r="E2071" i="7"/>
  <c r="C2074" i="7" l="1"/>
  <c r="D2073" i="7"/>
  <c r="F2073" i="7" s="1"/>
  <c r="F2072" i="7"/>
  <c r="E2073" i="7" s="1"/>
  <c r="C2075" i="7" l="1"/>
  <c r="D2074" i="7"/>
  <c r="E2074" i="7" l="1"/>
  <c r="F2074" i="7"/>
  <c r="C2076" i="7"/>
  <c r="D2075" i="7"/>
  <c r="E2075" i="7" l="1"/>
  <c r="C2077" i="7"/>
  <c r="D2076" i="7"/>
  <c r="F2076" i="7" s="1"/>
  <c r="F2075" i="7"/>
  <c r="E2076" i="7" s="1"/>
  <c r="C2078" i="7" l="1"/>
  <c r="D2077" i="7"/>
  <c r="E2077" i="7" s="1"/>
  <c r="C2079" i="7" l="1"/>
  <c r="D2078" i="7"/>
  <c r="F2078" i="7" s="1"/>
  <c r="F2077" i="7"/>
  <c r="E2078" i="7" l="1"/>
  <c r="C2080" i="7"/>
  <c r="D2079" i="7"/>
  <c r="E2079" i="7" s="1"/>
  <c r="C2081" i="7" l="1"/>
  <c r="D2080" i="7"/>
  <c r="F2080" i="7" s="1"/>
  <c r="F2079" i="7"/>
  <c r="E2080" i="7" l="1"/>
  <c r="C2082" i="7"/>
  <c r="D2081" i="7"/>
  <c r="E2081" i="7" s="1"/>
  <c r="C2083" i="7" l="1"/>
  <c r="D2082" i="7"/>
  <c r="F2082" i="7" s="1"/>
  <c r="F2081" i="7"/>
  <c r="E2082" i="7" l="1"/>
  <c r="C2084" i="7"/>
  <c r="D2083" i="7"/>
  <c r="E2083" i="7" s="1"/>
  <c r="C2085" i="7" l="1"/>
  <c r="D2084" i="7"/>
  <c r="F2084" i="7" s="1"/>
  <c r="F2083" i="7"/>
  <c r="E2084" i="7" l="1"/>
  <c r="C2086" i="7"/>
  <c r="D2085" i="7"/>
  <c r="E2085" i="7" s="1"/>
  <c r="F2085" i="7" l="1"/>
  <c r="C2087" i="7"/>
  <c r="D2086" i="7"/>
  <c r="F2086" i="7" s="1"/>
  <c r="C2088" i="7" l="1"/>
  <c r="D2087" i="7"/>
  <c r="E2087" i="7" s="1"/>
  <c r="E2086" i="7"/>
  <c r="C2089" i="7" l="1"/>
  <c r="D2088" i="7"/>
  <c r="F2088" i="7" s="1"/>
  <c r="F2087" i="7"/>
  <c r="E2088" i="7" l="1"/>
  <c r="C2090" i="7"/>
  <c r="D2089" i="7"/>
  <c r="E2089" i="7" s="1"/>
  <c r="C2091" i="7" l="1"/>
  <c r="D2090" i="7"/>
  <c r="F2090" i="7" s="1"/>
  <c r="F2089" i="7"/>
  <c r="E2090" i="7" l="1"/>
  <c r="C2092" i="7"/>
  <c r="D2091" i="7"/>
  <c r="E2091" i="7" s="1"/>
  <c r="C2093" i="7" l="1"/>
  <c r="D2092" i="7"/>
  <c r="F2092" i="7" s="1"/>
  <c r="F2091" i="7"/>
  <c r="E2092" i="7" l="1"/>
  <c r="C2094" i="7"/>
  <c r="D2093" i="7"/>
  <c r="E2093" i="7" s="1"/>
  <c r="F2093" i="7" l="1"/>
  <c r="C2095" i="7"/>
  <c r="D2094" i="7"/>
  <c r="F2094" i="7" s="1"/>
  <c r="E2094" i="7" l="1"/>
  <c r="C2096" i="7"/>
  <c r="D2095" i="7"/>
  <c r="E2095" i="7" s="1"/>
  <c r="F2095" i="7" l="1"/>
  <c r="C2097" i="7"/>
  <c r="D2096" i="7"/>
  <c r="F2096" i="7" s="1"/>
  <c r="C2098" i="7" l="1"/>
  <c r="D2097" i="7"/>
  <c r="E2097" i="7" s="1"/>
  <c r="E2096" i="7"/>
  <c r="C2099" i="7" l="1"/>
  <c r="D2098" i="7"/>
  <c r="F2098" i="7" s="1"/>
  <c r="F2097" i="7"/>
  <c r="E2098" i="7" s="1"/>
  <c r="C2100" i="7" l="1"/>
  <c r="D2099" i="7"/>
  <c r="E2099" i="7" l="1"/>
  <c r="F2099" i="7"/>
  <c r="C2101" i="7"/>
  <c r="D2100" i="7"/>
  <c r="E2100" i="7" l="1"/>
  <c r="F2100" i="7"/>
  <c r="C2102" i="7"/>
  <c r="D2101" i="7"/>
  <c r="F2101" i="7" s="1"/>
  <c r="E2101" i="7" l="1"/>
  <c r="C2103" i="7"/>
  <c r="D2102" i="7"/>
  <c r="E2102" i="7" s="1"/>
  <c r="F2102" i="7" l="1"/>
  <c r="C2104" i="7"/>
  <c r="D2103" i="7"/>
  <c r="F2103" i="7" s="1"/>
  <c r="C2105" i="7" l="1"/>
  <c r="D2104" i="7"/>
  <c r="E2104" i="7" s="1"/>
  <c r="E2103" i="7"/>
  <c r="C2106" i="7" l="1"/>
  <c r="D2105" i="7"/>
  <c r="F2105" i="7" s="1"/>
  <c r="F2104" i="7"/>
  <c r="E2105" i="7" l="1"/>
  <c r="C2107" i="7"/>
  <c r="D2106" i="7"/>
  <c r="E2106" i="7" s="1"/>
  <c r="C2108" i="7" l="1"/>
  <c r="D2107" i="7"/>
  <c r="F2107" i="7" s="1"/>
  <c r="F2106" i="7"/>
  <c r="E2107" i="7" s="1"/>
  <c r="C2109" i="7" l="1"/>
  <c r="D2108" i="7"/>
  <c r="E2108" i="7" l="1"/>
  <c r="F2108" i="7"/>
  <c r="C2110" i="7"/>
  <c r="D2109" i="7"/>
  <c r="F2109" i="7" s="1"/>
  <c r="C2111" i="7" l="1"/>
  <c r="D2110" i="7"/>
  <c r="E2110" i="7" s="1"/>
  <c r="E2109" i="7"/>
  <c r="C2112" i="7" l="1"/>
  <c r="D2111" i="7"/>
  <c r="F2111" i="7" s="1"/>
  <c r="F2110" i="7"/>
  <c r="E2111" i="7" s="1"/>
  <c r="C2113" i="7" l="1"/>
  <c r="D2112" i="7"/>
  <c r="E2112" i="7" l="1"/>
  <c r="C2114" i="7"/>
  <c r="D2113" i="7"/>
  <c r="F2113" i="7" s="1"/>
  <c r="F2112" i="7"/>
  <c r="E2113" i="7" l="1"/>
  <c r="C2115" i="7"/>
  <c r="D2114" i="7"/>
  <c r="E2114" i="7" s="1"/>
  <c r="F2114" i="7" l="1"/>
  <c r="C2116" i="7"/>
  <c r="D2115" i="7"/>
  <c r="F2115" i="7" s="1"/>
  <c r="C2117" i="7" l="1"/>
  <c r="D2116" i="7"/>
  <c r="E2116" i="7" s="1"/>
  <c r="E2115" i="7"/>
  <c r="C2118" i="7" l="1"/>
  <c r="D2117" i="7"/>
  <c r="F2117" i="7" s="1"/>
  <c r="F2116" i="7"/>
  <c r="E2117" i="7" s="1"/>
  <c r="C2119" i="7" l="1"/>
  <c r="D2118" i="7"/>
  <c r="E2118" i="7" l="1"/>
  <c r="C2120" i="7"/>
  <c r="D2119" i="7"/>
  <c r="F2119" i="7" s="1"/>
  <c r="F2118" i="7"/>
  <c r="E2119" i="7" s="1"/>
  <c r="C2121" i="7" l="1"/>
  <c r="D2120" i="7"/>
  <c r="E2120" i="7" l="1"/>
  <c r="F2120" i="7"/>
  <c r="C2122" i="7"/>
  <c r="D2121" i="7"/>
  <c r="F2121" i="7" s="1"/>
  <c r="C2123" i="7" l="1"/>
  <c r="D2122" i="7"/>
  <c r="E2122" i="7" s="1"/>
  <c r="E2121" i="7"/>
  <c r="C2124" i="7" l="1"/>
  <c r="D2123" i="7"/>
  <c r="F2123" i="7" s="1"/>
  <c r="F2122" i="7"/>
  <c r="E2123" i="7" s="1"/>
  <c r="C2125" i="7" l="1"/>
  <c r="D2124" i="7"/>
  <c r="E2124" i="7" l="1"/>
  <c r="C2126" i="7"/>
  <c r="D2125" i="7"/>
  <c r="F2125" i="7" s="1"/>
  <c r="F2124" i="7"/>
  <c r="E2125" i="7" s="1"/>
  <c r="C2127" i="7" l="1"/>
  <c r="D2126" i="7"/>
  <c r="E2126" i="7" l="1"/>
  <c r="C2128" i="7"/>
  <c r="D2127" i="7"/>
  <c r="F2127" i="7" s="1"/>
  <c r="F2126" i="7"/>
  <c r="E2127" i="7" s="1"/>
  <c r="C2129" i="7" l="1"/>
  <c r="D2128" i="7"/>
  <c r="E2128" i="7" s="1"/>
  <c r="C2130" i="7" l="1"/>
  <c r="D2129" i="7"/>
  <c r="F2129" i="7" s="1"/>
  <c r="F2128" i="7"/>
  <c r="E2129" i="7" l="1"/>
  <c r="C2131" i="7"/>
  <c r="D2130" i="7"/>
  <c r="E2130" i="7" s="1"/>
  <c r="F2130" i="7" l="1"/>
  <c r="C2132" i="7"/>
  <c r="D2131" i="7"/>
  <c r="F2131" i="7" s="1"/>
  <c r="E2131" i="7" l="1"/>
  <c r="C2133" i="7"/>
  <c r="D2132" i="7"/>
  <c r="E2132" i="7" s="1"/>
  <c r="C2134" i="7" l="1"/>
  <c r="D2133" i="7"/>
  <c r="F2133" i="7" s="1"/>
  <c r="F2132" i="7"/>
  <c r="E2133" i="7" l="1"/>
  <c r="C2135" i="7"/>
  <c r="D2134" i="7"/>
  <c r="E2134" i="7" s="1"/>
  <c r="C2136" i="7" l="1"/>
  <c r="D2135" i="7"/>
  <c r="F2135" i="7" s="1"/>
  <c r="F2134" i="7"/>
  <c r="E2135" i="7" l="1"/>
  <c r="C2137" i="7"/>
  <c r="D2136" i="7"/>
  <c r="E2136" i="7" s="1"/>
  <c r="C2138" i="7" l="1"/>
  <c r="D2137" i="7"/>
  <c r="F2137" i="7" s="1"/>
  <c r="F2136" i="7"/>
  <c r="E2137" i="7" l="1"/>
  <c r="C2139" i="7"/>
  <c r="D2138" i="7"/>
  <c r="E2138" i="7" s="1"/>
  <c r="C2140" i="7" l="1"/>
  <c r="D2139" i="7"/>
  <c r="F2139" i="7" s="1"/>
  <c r="F2138" i="7"/>
  <c r="E2139" i="7" l="1"/>
  <c r="C2141" i="7"/>
  <c r="D2140" i="7"/>
  <c r="E2140" i="7" s="1"/>
  <c r="C2142" i="7" l="1"/>
  <c r="D2141" i="7"/>
  <c r="F2141" i="7" s="1"/>
  <c r="F2140" i="7"/>
  <c r="E2141" i="7" l="1"/>
  <c r="C2143" i="7"/>
  <c r="D2142" i="7"/>
  <c r="E2142" i="7" s="1"/>
  <c r="C2144" i="7" l="1"/>
  <c r="D2143" i="7"/>
  <c r="F2143" i="7" s="1"/>
  <c r="F2142" i="7"/>
  <c r="E2143" i="7" l="1"/>
  <c r="C2145" i="7"/>
  <c r="D2144" i="7"/>
  <c r="E2144" i="7" s="1"/>
  <c r="C2146" i="7" l="1"/>
  <c r="D2145" i="7"/>
  <c r="F2145" i="7" s="1"/>
  <c r="F2144" i="7"/>
  <c r="E2145" i="7" l="1"/>
  <c r="C2147" i="7"/>
  <c r="D2146" i="7"/>
  <c r="E2146" i="7" s="1"/>
  <c r="C2148" i="7" l="1"/>
  <c r="D2147" i="7"/>
  <c r="F2147" i="7" s="1"/>
  <c r="F2146" i="7"/>
  <c r="E2147" i="7" l="1"/>
  <c r="C2149" i="7"/>
  <c r="D2148" i="7"/>
  <c r="E2148" i="7" s="1"/>
  <c r="F2148" i="7" l="1"/>
  <c r="C2150" i="7"/>
  <c r="D2149" i="7"/>
  <c r="F2149" i="7" s="1"/>
  <c r="C2151" i="7" l="1"/>
  <c r="D2150" i="7"/>
  <c r="E2150" i="7" s="1"/>
  <c r="E2149" i="7"/>
  <c r="C2152" i="7" l="1"/>
  <c r="D2151" i="7"/>
  <c r="F2151" i="7" s="1"/>
  <c r="F2150" i="7"/>
  <c r="E2151" i="7" l="1"/>
  <c r="C2153" i="7"/>
  <c r="D2152" i="7"/>
  <c r="E2152" i="7" s="1"/>
  <c r="C2154" i="7" l="1"/>
  <c r="D2153" i="7"/>
  <c r="F2153" i="7" s="1"/>
  <c r="F2152" i="7"/>
  <c r="E2153" i="7" l="1"/>
  <c r="C2155" i="7"/>
  <c r="D2154" i="7"/>
  <c r="E2154" i="7" s="1"/>
  <c r="C2156" i="7" l="1"/>
  <c r="D2155" i="7"/>
  <c r="F2155" i="7" s="1"/>
  <c r="F2154" i="7"/>
  <c r="E2155" i="7" l="1"/>
  <c r="C2157" i="7"/>
  <c r="D2156" i="7"/>
  <c r="E2156" i="7" s="1"/>
  <c r="F2156" i="7" l="1"/>
  <c r="C2158" i="7"/>
  <c r="D2157" i="7"/>
  <c r="F2157" i="7" s="1"/>
  <c r="C2159" i="7" l="1"/>
  <c r="D2158" i="7"/>
  <c r="E2158" i="7" s="1"/>
  <c r="E2157" i="7"/>
  <c r="F2158" i="7" l="1"/>
  <c r="C2160" i="7"/>
  <c r="D2159" i="7"/>
  <c r="F2159" i="7" s="1"/>
  <c r="C2161" i="7" l="1"/>
  <c r="D2160" i="7"/>
  <c r="E2160" i="7" s="1"/>
  <c r="E2159" i="7"/>
  <c r="C2162" i="7" l="1"/>
  <c r="D2161" i="7"/>
  <c r="F2161" i="7" s="1"/>
  <c r="F2160" i="7"/>
  <c r="E2161" i="7" l="1"/>
  <c r="C2163" i="7"/>
  <c r="D2162" i="7"/>
  <c r="E2162" i="7" s="1"/>
  <c r="C2164" i="7" l="1"/>
  <c r="D2163" i="7"/>
  <c r="F2163" i="7" s="1"/>
  <c r="F2162" i="7"/>
  <c r="E2163" i="7" s="1"/>
  <c r="C2165" i="7" l="1"/>
  <c r="D2164" i="7"/>
  <c r="E2164" i="7" l="1"/>
  <c r="C2166" i="7"/>
  <c r="D2165" i="7"/>
  <c r="F2165" i="7" s="1"/>
  <c r="F2164" i="7"/>
  <c r="E2165" i="7" l="1"/>
  <c r="C2167" i="7"/>
  <c r="D2166" i="7"/>
  <c r="E2166" i="7" s="1"/>
  <c r="F2166" i="7" l="1"/>
  <c r="C2168" i="7"/>
  <c r="D2167" i="7"/>
  <c r="F2167" i="7" s="1"/>
  <c r="C2169" i="7" l="1"/>
  <c r="D2168" i="7"/>
  <c r="E2168" i="7" s="1"/>
  <c r="E2167" i="7"/>
  <c r="C2170" i="7" l="1"/>
  <c r="D2169" i="7"/>
  <c r="F2169" i="7" s="1"/>
  <c r="F2168" i="7"/>
  <c r="E2169" i="7" s="1"/>
  <c r="C2171" i="7" l="1"/>
  <c r="D2170" i="7"/>
  <c r="E2170" i="7" l="1"/>
  <c r="C2172" i="7"/>
  <c r="D2171" i="7"/>
  <c r="F2171" i="7" s="1"/>
  <c r="F2170" i="7"/>
  <c r="E2171" i="7" s="1"/>
  <c r="C2173" i="7" l="1"/>
  <c r="D2172" i="7"/>
  <c r="E2172" i="7" l="1"/>
  <c r="C2174" i="7"/>
  <c r="D2173" i="7"/>
  <c r="F2173" i="7" s="1"/>
  <c r="F2172" i="7"/>
  <c r="E2173" i="7" l="1"/>
  <c r="C2175" i="7"/>
  <c r="D2174" i="7"/>
  <c r="E2174" i="7" s="1"/>
  <c r="F2174" i="7" l="1"/>
  <c r="C2176" i="7"/>
  <c r="D2175" i="7"/>
  <c r="F2175" i="7" s="1"/>
  <c r="C2177" i="7" l="1"/>
  <c r="D2176" i="7"/>
  <c r="E2176" i="7" s="1"/>
  <c r="E2175" i="7"/>
  <c r="F2176" i="7" l="1"/>
  <c r="C2178" i="7"/>
  <c r="D2177" i="7"/>
  <c r="F2177" i="7" s="1"/>
  <c r="C2179" i="7" l="1"/>
  <c r="D2178" i="7"/>
  <c r="E2178" i="7" s="1"/>
  <c r="E2177" i="7"/>
  <c r="F2178" i="7" l="1"/>
  <c r="C2180" i="7"/>
  <c r="D2179" i="7"/>
  <c r="F2179" i="7" s="1"/>
  <c r="C2181" i="7" l="1"/>
  <c r="D2180" i="7"/>
  <c r="E2180" i="7" s="1"/>
  <c r="E2179" i="7"/>
  <c r="C2182" i="7" l="1"/>
  <c r="D2181" i="7"/>
  <c r="F2181" i="7" s="1"/>
  <c r="F2180" i="7"/>
  <c r="E2181" i="7" s="1"/>
  <c r="C2183" i="7" l="1"/>
  <c r="D2182" i="7"/>
  <c r="E2182" i="7" l="1"/>
  <c r="C2184" i="7"/>
  <c r="D2183" i="7"/>
  <c r="F2183" i="7" s="1"/>
  <c r="F2182" i="7"/>
  <c r="E2183" i="7" s="1"/>
  <c r="C2185" i="7" l="1"/>
  <c r="D2184" i="7"/>
  <c r="E2184" i="7" l="1"/>
  <c r="C2186" i="7"/>
  <c r="D2185" i="7"/>
  <c r="F2185" i="7" s="1"/>
  <c r="F2184" i="7"/>
  <c r="E2185" i="7" l="1"/>
  <c r="C2187" i="7"/>
  <c r="D2186" i="7"/>
  <c r="E2186" i="7" s="1"/>
  <c r="F2186" i="7" l="1"/>
  <c r="C2188" i="7"/>
  <c r="D2187" i="7"/>
  <c r="F2187" i="7" s="1"/>
  <c r="C2189" i="7" l="1"/>
  <c r="D2188" i="7"/>
  <c r="E2188" i="7" s="1"/>
  <c r="E2187" i="7"/>
  <c r="C2190" i="7" l="1"/>
  <c r="D2189" i="7"/>
  <c r="F2189" i="7" s="1"/>
  <c r="F2188" i="7"/>
  <c r="E2189" i="7" s="1"/>
  <c r="C2191" i="7" l="1"/>
  <c r="D2190" i="7"/>
  <c r="E2190" i="7" l="1"/>
  <c r="F2190" i="7"/>
  <c r="C2192" i="7"/>
  <c r="D2191" i="7"/>
  <c r="F2191" i="7" s="1"/>
  <c r="E2191" i="7" l="1"/>
  <c r="C2193" i="7"/>
  <c r="D2192" i="7"/>
  <c r="E2192" i="7" s="1"/>
  <c r="F2192" i="7" l="1"/>
  <c r="C2194" i="7"/>
  <c r="D2193" i="7"/>
  <c r="F2193" i="7" s="1"/>
  <c r="C2195" i="7" l="1"/>
  <c r="D2194" i="7"/>
  <c r="E2194" i="7" s="1"/>
  <c r="E2193" i="7"/>
  <c r="C2196" i="7" l="1"/>
  <c r="D2195" i="7"/>
  <c r="F2195" i="7" s="1"/>
  <c r="F2194" i="7"/>
  <c r="E2195" i="7" s="1"/>
  <c r="C2197" i="7" l="1"/>
  <c r="D2196" i="7"/>
  <c r="E2196" i="7" l="1"/>
  <c r="C2198" i="7"/>
  <c r="D2197" i="7"/>
  <c r="F2197" i="7" s="1"/>
  <c r="F2196" i="7"/>
  <c r="E2197" i="7" s="1"/>
  <c r="C2199" i="7" l="1"/>
  <c r="D2198" i="7"/>
  <c r="E2198" i="7" l="1"/>
  <c r="F2198" i="7"/>
  <c r="C2200" i="7"/>
  <c r="D2199" i="7"/>
  <c r="F2199" i="7" s="1"/>
  <c r="E2199" i="7" l="1"/>
  <c r="C2201" i="7"/>
  <c r="D2200" i="7"/>
  <c r="E2200" i="7" s="1"/>
  <c r="F2200" i="7" l="1"/>
  <c r="C2202" i="7"/>
  <c r="D2201" i="7"/>
  <c r="F2201" i="7" s="1"/>
  <c r="C2203" i="7" l="1"/>
  <c r="D2202" i="7"/>
  <c r="E2202" i="7" s="1"/>
  <c r="E2201" i="7"/>
  <c r="C2204" i="7" l="1"/>
  <c r="D2203" i="7"/>
  <c r="F2203" i="7" s="1"/>
  <c r="F2202" i="7"/>
  <c r="E2203" i="7" l="1"/>
  <c r="C2205" i="7"/>
  <c r="D2204" i="7"/>
  <c r="E2204" i="7" s="1"/>
  <c r="C2206" i="7" l="1"/>
  <c r="D2205" i="7"/>
  <c r="F2205" i="7" s="1"/>
  <c r="F2204" i="7"/>
  <c r="E2205" i="7" s="1"/>
  <c r="C2207" i="7" l="1"/>
  <c r="D2206" i="7"/>
  <c r="E2206" i="7" l="1"/>
  <c r="F2206" i="7"/>
  <c r="C2208" i="7"/>
  <c r="D2207" i="7"/>
  <c r="F2207" i="7" s="1"/>
  <c r="E2207" i="7" l="1"/>
  <c r="C2209" i="7"/>
  <c r="D2208" i="7"/>
  <c r="E2208" i="7" s="1"/>
  <c r="F2208" i="7" l="1"/>
  <c r="C2210" i="7"/>
  <c r="D2209" i="7"/>
  <c r="E2209" i="7" l="1"/>
  <c r="F2209" i="7"/>
  <c r="C2211" i="7"/>
  <c r="D2210" i="7"/>
  <c r="F2210" i="7" s="1"/>
  <c r="C2212" i="7" l="1"/>
  <c r="D2211" i="7"/>
  <c r="E2211" i="7" s="1"/>
  <c r="E2210" i="7"/>
  <c r="C2213" i="7" l="1"/>
  <c r="D2212" i="7"/>
  <c r="F2212" i="7" s="1"/>
  <c r="F2211" i="7"/>
  <c r="E2212" i="7" l="1"/>
  <c r="C2214" i="7"/>
  <c r="D2213" i="7"/>
  <c r="E2213" i="7" s="1"/>
  <c r="C2215" i="7" l="1"/>
  <c r="D2214" i="7"/>
  <c r="F2214" i="7" s="1"/>
  <c r="F2213" i="7"/>
  <c r="E2214" i="7" l="1"/>
  <c r="C2216" i="7"/>
  <c r="D2215" i="7"/>
  <c r="E2215" i="7" s="1"/>
  <c r="C2217" i="7" l="1"/>
  <c r="D2216" i="7"/>
  <c r="F2216" i="7" s="1"/>
  <c r="F2215" i="7"/>
  <c r="E2216" i="7" l="1"/>
  <c r="C2218" i="7"/>
  <c r="D2217" i="7"/>
  <c r="E2217" i="7" s="1"/>
  <c r="F2217" i="7" l="1"/>
  <c r="C2219" i="7"/>
  <c r="D2218" i="7"/>
  <c r="F2218" i="7" s="1"/>
  <c r="C2220" i="7" l="1"/>
  <c r="D2219" i="7"/>
  <c r="E2219" i="7" s="1"/>
  <c r="E2218" i="7"/>
  <c r="C2221" i="7" l="1"/>
  <c r="D2220" i="7"/>
  <c r="F2220" i="7" s="1"/>
  <c r="F2219" i="7"/>
  <c r="E2220" i="7" l="1"/>
  <c r="C2222" i="7"/>
  <c r="D2221" i="7"/>
  <c r="E2221" i="7" s="1"/>
  <c r="C2223" i="7" l="1"/>
  <c r="D2222" i="7"/>
  <c r="F2222" i="7" s="1"/>
  <c r="F2221" i="7"/>
  <c r="E2222" i="7" l="1"/>
  <c r="C2224" i="7"/>
  <c r="D2223" i="7"/>
  <c r="E2223" i="7" s="1"/>
  <c r="C2225" i="7" l="1"/>
  <c r="D2224" i="7"/>
  <c r="F2224" i="7" s="1"/>
  <c r="F2223" i="7"/>
  <c r="E2224" i="7" l="1"/>
  <c r="C2226" i="7"/>
  <c r="D2225" i="7"/>
  <c r="E2225" i="7" s="1"/>
  <c r="C2227" i="7" l="1"/>
  <c r="D2226" i="7"/>
  <c r="F2226" i="7" s="1"/>
  <c r="F2225" i="7"/>
  <c r="E2226" i="7" l="1"/>
  <c r="C2228" i="7"/>
  <c r="D2227" i="7"/>
  <c r="E2227" i="7" s="1"/>
  <c r="C2229" i="7" l="1"/>
  <c r="D2228" i="7"/>
  <c r="F2228" i="7" s="1"/>
  <c r="F2227" i="7"/>
  <c r="E2228" i="7" l="1"/>
  <c r="C2230" i="7"/>
  <c r="D2229" i="7"/>
  <c r="E2229" i="7" s="1"/>
  <c r="F2229" i="7" l="1"/>
  <c r="C2231" i="7"/>
  <c r="D2230" i="7"/>
  <c r="F2230" i="7" s="1"/>
  <c r="C2232" i="7" l="1"/>
  <c r="D2231" i="7"/>
  <c r="E2231" i="7" s="1"/>
  <c r="E2230" i="7"/>
  <c r="C2233" i="7" l="1"/>
  <c r="D2232" i="7"/>
  <c r="F2232" i="7" s="1"/>
  <c r="F2231" i="7"/>
  <c r="E2232" i="7" l="1"/>
  <c r="C2234" i="7"/>
  <c r="D2233" i="7"/>
  <c r="E2233" i="7" s="1"/>
  <c r="C2235" i="7" l="1"/>
  <c r="D2234" i="7"/>
  <c r="F2234" i="7" s="1"/>
  <c r="F2233" i="7"/>
  <c r="E2234" i="7" l="1"/>
  <c r="C2236" i="7"/>
  <c r="D2235" i="7"/>
  <c r="E2235" i="7" s="1"/>
  <c r="C2237" i="7" l="1"/>
  <c r="D2236" i="7"/>
  <c r="F2236" i="7" s="1"/>
  <c r="F2235" i="7"/>
  <c r="E2236" i="7" l="1"/>
  <c r="C2238" i="7"/>
  <c r="D2237" i="7"/>
  <c r="E2237" i="7" s="1"/>
  <c r="F2237" i="7" l="1"/>
  <c r="C2239" i="7"/>
  <c r="D2238" i="7"/>
  <c r="F2238" i="7" s="1"/>
  <c r="C2240" i="7" l="1"/>
  <c r="D2239" i="7"/>
  <c r="E2239" i="7" s="1"/>
  <c r="E2238" i="7"/>
  <c r="C2241" i="7" l="1"/>
  <c r="D2240" i="7"/>
  <c r="F2240" i="7" s="1"/>
  <c r="F2239" i="7"/>
  <c r="E2240" i="7" l="1"/>
  <c r="C2242" i="7"/>
  <c r="D2241" i="7"/>
  <c r="E2241" i="7" s="1"/>
  <c r="F2241" i="7" l="1"/>
  <c r="C2243" i="7"/>
  <c r="D2242" i="7"/>
  <c r="E2242" i="7" l="1"/>
  <c r="C2244" i="7"/>
  <c r="D2243" i="7"/>
  <c r="F2243" i="7" s="1"/>
  <c r="F2242" i="7"/>
  <c r="E2243" i="7" l="1"/>
  <c r="C2245" i="7"/>
  <c r="D2244" i="7"/>
  <c r="E2244" i="7" l="1"/>
  <c r="C2246" i="7"/>
  <c r="D2245" i="7"/>
  <c r="F2245" i="7" s="1"/>
  <c r="F2244" i="7"/>
  <c r="E2245" i="7" l="1"/>
  <c r="C2247" i="7"/>
  <c r="D2246" i="7"/>
  <c r="F2246" i="7" s="1"/>
  <c r="E2246" i="7" l="1"/>
  <c r="C2248" i="7"/>
  <c r="D2247" i="7"/>
  <c r="F2247" i="7" s="1"/>
  <c r="C2249" i="7" l="1"/>
  <c r="D2248" i="7"/>
  <c r="E2248" i="7" s="1"/>
  <c r="E2247" i="7"/>
  <c r="F2248" i="7" l="1"/>
  <c r="C2250" i="7"/>
  <c r="D2249" i="7"/>
  <c r="F2249" i="7" s="1"/>
  <c r="C2251" i="7" l="1"/>
  <c r="D2250" i="7"/>
  <c r="E2250" i="7" s="1"/>
  <c r="E2249" i="7"/>
  <c r="F2250" i="7" l="1"/>
  <c r="C2252" i="7"/>
  <c r="D2251" i="7"/>
  <c r="F2251" i="7" s="1"/>
  <c r="C2253" i="7" l="1"/>
  <c r="D2252" i="7"/>
  <c r="E2252" i="7" s="1"/>
  <c r="E2251" i="7"/>
  <c r="C2254" i="7" l="1"/>
  <c r="D2253" i="7"/>
  <c r="F2253" i="7" s="1"/>
  <c r="F2252" i="7"/>
  <c r="E2253" i="7" s="1"/>
  <c r="C2255" i="7" l="1"/>
  <c r="D2254" i="7"/>
  <c r="E2254" i="7" l="1"/>
  <c r="C2256" i="7"/>
  <c r="D2255" i="7"/>
  <c r="F2255" i="7" s="1"/>
  <c r="F2254" i="7"/>
  <c r="E2255" i="7" s="1"/>
  <c r="C2257" i="7" l="1"/>
  <c r="D2256" i="7"/>
  <c r="E2256" i="7" l="1"/>
  <c r="C2258" i="7"/>
  <c r="D2257" i="7"/>
  <c r="F2257" i="7" s="1"/>
  <c r="F2256" i="7"/>
  <c r="E2257" i="7" l="1"/>
  <c r="C2259" i="7"/>
  <c r="D2258" i="7"/>
  <c r="E2258" i="7" l="1"/>
  <c r="F2258" i="7"/>
  <c r="C2260" i="7"/>
  <c r="D2259" i="7"/>
  <c r="F2259" i="7" s="1"/>
  <c r="C2261" i="7" l="1"/>
  <c r="D2260" i="7"/>
  <c r="E2260" i="7" s="1"/>
  <c r="E2259" i="7"/>
  <c r="F2260" i="7" l="1"/>
  <c r="C2262" i="7"/>
  <c r="D2261" i="7"/>
  <c r="F2261" i="7" s="1"/>
  <c r="C2263" i="7" l="1"/>
  <c r="D2262" i="7"/>
  <c r="E2262" i="7" s="1"/>
  <c r="E2261" i="7"/>
  <c r="C2264" i="7" l="1"/>
  <c r="D2263" i="7"/>
  <c r="F2263" i="7" s="1"/>
  <c r="F2262" i="7"/>
  <c r="E2263" i="7" s="1"/>
  <c r="C2265" i="7" l="1"/>
  <c r="D2264" i="7"/>
  <c r="E2264" i="7" l="1"/>
  <c r="C2266" i="7"/>
  <c r="D2265" i="7"/>
  <c r="F2265" i="7" s="1"/>
  <c r="F2264" i="7"/>
  <c r="E2265" i="7" s="1"/>
  <c r="C2267" i="7" l="1"/>
  <c r="D2266" i="7"/>
  <c r="E2266" i="7" l="1"/>
  <c r="C2268" i="7"/>
  <c r="D2267" i="7"/>
  <c r="F2267" i="7" s="1"/>
  <c r="F2266" i="7"/>
  <c r="E2267" i="7" l="1"/>
  <c r="C2269" i="7"/>
  <c r="D2268" i="7"/>
  <c r="E2268" i="7" s="1"/>
  <c r="C2270" i="7" l="1"/>
  <c r="D2269" i="7"/>
  <c r="F2269" i="7" s="1"/>
  <c r="F2268" i="7"/>
  <c r="E2269" i="7" l="1"/>
  <c r="C2271" i="7"/>
  <c r="D2270" i="7"/>
  <c r="E2270" i="7" s="1"/>
  <c r="C2272" i="7" l="1"/>
  <c r="D2271" i="7"/>
  <c r="F2271" i="7" s="1"/>
  <c r="F2270" i="7"/>
  <c r="E2271" i="7" l="1"/>
  <c r="C2273" i="7"/>
  <c r="D2272" i="7"/>
  <c r="E2272" i="7" s="1"/>
  <c r="F2272" i="7" l="1"/>
  <c r="C2274" i="7"/>
  <c r="D2273" i="7"/>
  <c r="F2273" i="7" s="1"/>
  <c r="E2273" i="7" l="1"/>
  <c r="C2275" i="7"/>
  <c r="D2274" i="7"/>
  <c r="E2274" i="7" s="1"/>
  <c r="C2276" i="7" l="1"/>
  <c r="D2275" i="7"/>
  <c r="F2275" i="7" s="1"/>
  <c r="F2274" i="7"/>
  <c r="E2275" i="7" s="1"/>
  <c r="C2277" i="7" l="1"/>
  <c r="D2276" i="7"/>
  <c r="E2276" i="7" l="1"/>
  <c r="C2278" i="7"/>
  <c r="D2277" i="7"/>
  <c r="F2277" i="7" s="1"/>
  <c r="F2276" i="7"/>
  <c r="E2277" i="7" s="1"/>
  <c r="C2279" i="7" l="1"/>
  <c r="D2278" i="7"/>
  <c r="E2278" i="7" l="1"/>
  <c r="C2280" i="7"/>
  <c r="D2279" i="7"/>
  <c r="F2279" i="7" s="1"/>
  <c r="F2278" i="7"/>
  <c r="E2279" i="7" s="1"/>
  <c r="C2281" i="7" l="1"/>
  <c r="D2280" i="7"/>
  <c r="E2280" i="7" l="1"/>
  <c r="C2282" i="7"/>
  <c r="D2281" i="7"/>
  <c r="F2281" i="7" s="1"/>
  <c r="F2280" i="7"/>
  <c r="E2281" i="7" s="1"/>
  <c r="C2283" i="7" l="1"/>
  <c r="D2282" i="7"/>
  <c r="E2282" i="7" l="1"/>
  <c r="C2284" i="7"/>
  <c r="D2283" i="7"/>
  <c r="F2283" i="7" s="1"/>
  <c r="F2282" i="7"/>
  <c r="E2283" i="7" l="1"/>
  <c r="C2285" i="7"/>
  <c r="D2284" i="7"/>
  <c r="E2284" i="7" s="1"/>
  <c r="C2286" i="7" l="1"/>
  <c r="D2285" i="7"/>
  <c r="F2285" i="7" s="1"/>
  <c r="F2284" i="7"/>
  <c r="E2285" i="7" s="1"/>
  <c r="C2287" i="7" l="1"/>
  <c r="D2286" i="7"/>
  <c r="E2286" i="7" l="1"/>
  <c r="C2288" i="7"/>
  <c r="D2287" i="7"/>
  <c r="F2287" i="7" s="1"/>
  <c r="F2286" i="7"/>
  <c r="E2287" i="7" s="1"/>
  <c r="C2289" i="7" l="1"/>
  <c r="D2288" i="7"/>
  <c r="E2288" i="7" l="1"/>
  <c r="C2290" i="7"/>
  <c r="D2289" i="7"/>
  <c r="F2289" i="7" s="1"/>
  <c r="F2288" i="7"/>
  <c r="E2289" i="7" l="1"/>
  <c r="C2291" i="7"/>
  <c r="D2290" i="7"/>
  <c r="E2290" i="7" s="1"/>
  <c r="C2292" i="7" l="1"/>
  <c r="D2291" i="7"/>
  <c r="F2291" i="7" s="1"/>
  <c r="F2290" i="7"/>
  <c r="E2291" i="7" s="1"/>
  <c r="C2293" i="7" l="1"/>
  <c r="D2292" i="7"/>
  <c r="E2292" i="7" l="1"/>
  <c r="C2294" i="7"/>
  <c r="D2293" i="7"/>
  <c r="F2293" i="7" s="1"/>
  <c r="F2292" i="7"/>
  <c r="E2293" i="7" l="1"/>
  <c r="C2295" i="7"/>
  <c r="D2294" i="7"/>
  <c r="E2294" i="7" s="1"/>
  <c r="F2294" i="7" l="1"/>
  <c r="C2296" i="7"/>
  <c r="D2295" i="7"/>
  <c r="F2295" i="7" s="1"/>
  <c r="C2297" i="7" l="1"/>
  <c r="D2296" i="7"/>
  <c r="E2296" i="7" s="1"/>
  <c r="E2295" i="7"/>
  <c r="C2298" i="7" l="1"/>
  <c r="D2297" i="7"/>
  <c r="F2297" i="7" s="1"/>
  <c r="F2296" i="7"/>
  <c r="E2297" i="7" s="1"/>
  <c r="C2299" i="7" l="1"/>
  <c r="D2298" i="7"/>
  <c r="E2298" i="7" l="1"/>
  <c r="F2298" i="7"/>
  <c r="C2300" i="7"/>
  <c r="D2299" i="7"/>
  <c r="F2299" i="7" s="1"/>
  <c r="C2301" i="7" l="1"/>
  <c r="D2300" i="7"/>
  <c r="E2300" i="7" s="1"/>
  <c r="E2299" i="7"/>
  <c r="F2300" i="7" l="1"/>
  <c r="C2302" i="7"/>
  <c r="D2301" i="7"/>
  <c r="F2301" i="7" s="1"/>
  <c r="E2301" i="7" l="1"/>
  <c r="C2303" i="7"/>
  <c r="D2302" i="7"/>
  <c r="E2302" i="7" s="1"/>
  <c r="C2304" i="7" l="1"/>
  <c r="D2303" i="7"/>
  <c r="F2303" i="7" s="1"/>
  <c r="F2302" i="7"/>
  <c r="E2303" i="7" s="1"/>
  <c r="C2305" i="7" l="1"/>
  <c r="D2304" i="7"/>
  <c r="E2304" i="7" l="1"/>
  <c r="C2306" i="7"/>
  <c r="D2305" i="7"/>
  <c r="F2305" i="7" s="1"/>
  <c r="F2304" i="7"/>
  <c r="E2305" i="7" l="1"/>
  <c r="C2307" i="7"/>
  <c r="D2306" i="7"/>
  <c r="E2306" i="7" s="1"/>
  <c r="F2306" i="7" l="1"/>
  <c r="C2308" i="7"/>
  <c r="D2307" i="7"/>
  <c r="F2307" i="7" s="1"/>
  <c r="E2307" i="7" l="1"/>
  <c r="C2309" i="7"/>
  <c r="D2308" i="7"/>
  <c r="E2308" i="7" s="1"/>
  <c r="C2310" i="7" l="1"/>
  <c r="D2309" i="7"/>
  <c r="F2309" i="7" s="1"/>
  <c r="F2308" i="7"/>
  <c r="E2309" i="7" l="1"/>
  <c r="C2311" i="7"/>
  <c r="D2310" i="7"/>
  <c r="E2310" i="7" s="1"/>
  <c r="F2310" i="7" l="1"/>
  <c r="C2312" i="7"/>
  <c r="D2311" i="7"/>
  <c r="F2311" i="7" s="1"/>
  <c r="E2311" i="7" l="1"/>
  <c r="C2313" i="7"/>
  <c r="D2312" i="7"/>
  <c r="E2312" i="7" s="1"/>
  <c r="F2312" i="7" l="1"/>
  <c r="C2314" i="7"/>
  <c r="D2313" i="7"/>
  <c r="F2313" i="7" s="1"/>
  <c r="C2315" i="7" l="1"/>
  <c r="D2314" i="7"/>
  <c r="E2314" i="7" s="1"/>
  <c r="E2313" i="7"/>
  <c r="F2314" i="7" l="1"/>
  <c r="C2316" i="7"/>
  <c r="D2315" i="7"/>
  <c r="F2315" i="7" s="1"/>
  <c r="C2317" i="7" l="1"/>
  <c r="D2316" i="7"/>
  <c r="E2316" i="7" s="1"/>
  <c r="E2315" i="7"/>
  <c r="C2318" i="7" l="1"/>
  <c r="D2317" i="7"/>
  <c r="F2317" i="7" s="1"/>
  <c r="F2316" i="7"/>
  <c r="E2317" i="7" s="1"/>
  <c r="C2319" i="7" l="1"/>
  <c r="D2318" i="7"/>
  <c r="E2318" i="7" l="1"/>
  <c r="F2318" i="7"/>
  <c r="C2320" i="7"/>
  <c r="D2319" i="7"/>
  <c r="F2319" i="7" s="1"/>
  <c r="E2319" i="7" l="1"/>
  <c r="C2321" i="7"/>
  <c r="D2320" i="7"/>
  <c r="E2320" i="7" s="1"/>
  <c r="C2322" i="7" l="1"/>
  <c r="D2321" i="7"/>
  <c r="F2321" i="7" s="1"/>
  <c r="F2320" i="7"/>
  <c r="E2321" i="7" s="1"/>
  <c r="C2323" i="7" l="1"/>
  <c r="D2322" i="7"/>
  <c r="E2322" i="7" l="1"/>
  <c r="C2324" i="7"/>
  <c r="D2323" i="7"/>
  <c r="F2323" i="7" s="1"/>
  <c r="F2322" i="7"/>
  <c r="E2323" i="7" l="1"/>
  <c r="C2325" i="7"/>
  <c r="D2324" i="7"/>
  <c r="E2324" i="7" s="1"/>
  <c r="F2324" i="7" l="1"/>
  <c r="C2326" i="7"/>
  <c r="D2325" i="7"/>
  <c r="F2325" i="7" s="1"/>
  <c r="C2327" i="7" l="1"/>
  <c r="D2326" i="7"/>
  <c r="E2326" i="7" s="1"/>
  <c r="E2325" i="7"/>
  <c r="F2326" i="7" l="1"/>
  <c r="C2328" i="7"/>
  <c r="D2327" i="7"/>
  <c r="F2327" i="7" s="1"/>
  <c r="C2329" i="7" l="1"/>
  <c r="D2328" i="7"/>
  <c r="E2328" i="7" s="1"/>
  <c r="E2327" i="7"/>
  <c r="F2328" i="7" l="1"/>
  <c r="C2330" i="7"/>
  <c r="D2329" i="7"/>
  <c r="F2329" i="7" s="1"/>
  <c r="C2331" i="7" l="1"/>
  <c r="D2330" i="7"/>
  <c r="E2330" i="7" s="1"/>
  <c r="E2329" i="7"/>
  <c r="F2330" i="7" l="1"/>
  <c r="C2332" i="7"/>
  <c r="D2331" i="7"/>
  <c r="E2331" i="7" l="1"/>
  <c r="F2331" i="7"/>
  <c r="C2333" i="7"/>
  <c r="D2332" i="7"/>
  <c r="F2332" i="7" s="1"/>
  <c r="C2334" i="7" l="1"/>
  <c r="D2333" i="7"/>
  <c r="E2333" i="7" s="1"/>
  <c r="E2332" i="7"/>
  <c r="C2335" i="7" l="1"/>
  <c r="D2334" i="7"/>
  <c r="F2334" i="7" s="1"/>
  <c r="F2333" i="7"/>
  <c r="E2334" i="7" l="1"/>
  <c r="C2336" i="7"/>
  <c r="D2335" i="7"/>
  <c r="E2335" i="7" s="1"/>
  <c r="C2337" i="7" l="1"/>
  <c r="D2336" i="7"/>
  <c r="F2336" i="7" s="1"/>
  <c r="F2335" i="7"/>
  <c r="E2336" i="7" l="1"/>
  <c r="C2338" i="7"/>
  <c r="D2337" i="7"/>
  <c r="E2337" i="7" s="1"/>
  <c r="F2337" i="7" l="1"/>
  <c r="C2339" i="7"/>
  <c r="D2338" i="7"/>
  <c r="E2338" i="7" l="1"/>
  <c r="F2338" i="7"/>
  <c r="C2340" i="7"/>
  <c r="D2339" i="7"/>
  <c r="E2339" i="7" l="1"/>
  <c r="F2339" i="7"/>
  <c r="C2341" i="7"/>
  <c r="D2340" i="7"/>
  <c r="F2340" i="7" s="1"/>
  <c r="C2342" i="7" l="1"/>
  <c r="D2341" i="7"/>
  <c r="E2341" i="7" s="1"/>
  <c r="E2340" i="7"/>
  <c r="C2343" i="7" l="1"/>
  <c r="D2342" i="7"/>
  <c r="F2342" i="7" s="1"/>
  <c r="F2341" i="7"/>
  <c r="E2342" i="7" l="1"/>
  <c r="C2344" i="7"/>
  <c r="D2343" i="7"/>
  <c r="E2343" i="7" s="1"/>
  <c r="C2345" i="7" l="1"/>
  <c r="D2344" i="7"/>
  <c r="F2344" i="7" s="1"/>
  <c r="F2343" i="7"/>
  <c r="E2344" i="7" l="1"/>
  <c r="C2346" i="7"/>
  <c r="D2345" i="7"/>
  <c r="E2345" i="7" s="1"/>
  <c r="C2347" i="7" l="1"/>
  <c r="D2346" i="7"/>
  <c r="F2346" i="7" s="1"/>
  <c r="F2345" i="7"/>
  <c r="E2346" i="7" l="1"/>
  <c r="C2348" i="7"/>
  <c r="D2347" i="7"/>
  <c r="E2347" i="7" s="1"/>
  <c r="C2349" i="7" l="1"/>
  <c r="D2348" i="7"/>
  <c r="F2348" i="7" s="1"/>
  <c r="F2347" i="7"/>
  <c r="E2348" i="7" l="1"/>
  <c r="C2350" i="7"/>
  <c r="D2349" i="7"/>
  <c r="E2349" i="7" s="1"/>
  <c r="C2351" i="7" l="1"/>
  <c r="D2350" i="7"/>
  <c r="F2350" i="7" s="1"/>
  <c r="F2349" i="7"/>
  <c r="E2350" i="7" l="1"/>
  <c r="C2352" i="7"/>
  <c r="D2351" i="7"/>
  <c r="E2351" i="7" s="1"/>
  <c r="F2351" i="7" l="1"/>
  <c r="C2353" i="7"/>
  <c r="D2352" i="7"/>
  <c r="F2352" i="7" s="1"/>
  <c r="C2354" i="7" l="1"/>
  <c r="D2353" i="7"/>
  <c r="E2353" i="7" s="1"/>
  <c r="E2352" i="7"/>
  <c r="C2355" i="7" l="1"/>
  <c r="D2354" i="7"/>
  <c r="F2354" i="7" s="1"/>
  <c r="F2353" i="7"/>
  <c r="E2354" i="7" l="1"/>
  <c r="C2356" i="7"/>
  <c r="D2355" i="7"/>
  <c r="E2355" i="7" s="1"/>
  <c r="F2355" i="7" l="1"/>
  <c r="C2357" i="7"/>
  <c r="D2356" i="7"/>
  <c r="F2356" i="7" s="1"/>
  <c r="C2358" i="7" l="1"/>
  <c r="D2357" i="7"/>
  <c r="E2357" i="7" s="1"/>
  <c r="E2356" i="7"/>
  <c r="C2359" i="7" l="1"/>
  <c r="D2358" i="7"/>
  <c r="F2358" i="7" s="1"/>
  <c r="F2357" i="7"/>
  <c r="E2358" i="7" l="1"/>
  <c r="C2360" i="7"/>
  <c r="D2359" i="7"/>
  <c r="E2359" i="7" s="1"/>
  <c r="C2361" i="7" l="1"/>
  <c r="D2360" i="7"/>
  <c r="F2360" i="7" s="1"/>
  <c r="F2359" i="7"/>
  <c r="E2360" i="7" l="1"/>
  <c r="C2362" i="7"/>
  <c r="D2361" i="7"/>
  <c r="E2361" i="7" s="1"/>
  <c r="C2363" i="7" l="1"/>
  <c r="D2362" i="7"/>
  <c r="F2362" i="7" s="1"/>
  <c r="F2361" i="7"/>
  <c r="E2362" i="7" l="1"/>
  <c r="C2364" i="7"/>
  <c r="D2363" i="7"/>
  <c r="E2363" i="7" s="1"/>
  <c r="C2365" i="7" l="1"/>
  <c r="D2364" i="7"/>
  <c r="F2364" i="7" s="1"/>
  <c r="F2363" i="7"/>
  <c r="E2364" i="7" l="1"/>
  <c r="C2366" i="7"/>
  <c r="D2365" i="7"/>
  <c r="E2365" i="7" s="1"/>
  <c r="C2367" i="7" l="1"/>
  <c r="D2366" i="7"/>
  <c r="F2366" i="7" s="1"/>
  <c r="F2365" i="7"/>
  <c r="E2366" i="7" l="1"/>
  <c r="C2368" i="7"/>
  <c r="D2367" i="7"/>
  <c r="E2367" i="7" s="1"/>
  <c r="C2369" i="7" l="1"/>
  <c r="D2368" i="7"/>
  <c r="F2368" i="7" s="1"/>
  <c r="F2367" i="7"/>
  <c r="E2368" i="7" l="1"/>
  <c r="C2370" i="7"/>
  <c r="D2369" i="7"/>
  <c r="E2369" i="7" s="1"/>
  <c r="F2369" i="7" l="1"/>
  <c r="C2371" i="7"/>
  <c r="D2370" i="7"/>
  <c r="E2370" i="7" l="1"/>
  <c r="C2372" i="7"/>
  <c r="D2371" i="7"/>
  <c r="F2371" i="7" s="1"/>
  <c r="F2370" i="7"/>
  <c r="E2371" i="7" s="1"/>
  <c r="C2373" i="7" l="1"/>
  <c r="D2372" i="7"/>
  <c r="E2372" i="7" l="1"/>
  <c r="F2372" i="7"/>
  <c r="C2374" i="7"/>
  <c r="D2373" i="7"/>
  <c r="F2373" i="7" s="1"/>
  <c r="C2375" i="7" l="1"/>
  <c r="D2374" i="7"/>
  <c r="E2374" i="7" s="1"/>
  <c r="E2373" i="7"/>
  <c r="C2376" i="7" l="1"/>
  <c r="D2375" i="7"/>
  <c r="F2375" i="7" s="1"/>
  <c r="F2374" i="7"/>
  <c r="E2375" i="7" s="1"/>
  <c r="C2377" i="7" l="1"/>
  <c r="D2376" i="7"/>
  <c r="E2376" i="7" l="1"/>
  <c r="C2378" i="7"/>
  <c r="D2377" i="7"/>
  <c r="F2377" i="7" s="1"/>
  <c r="F2376" i="7"/>
  <c r="E2377" i="7" l="1"/>
  <c r="C2379" i="7"/>
  <c r="D2378" i="7"/>
  <c r="E2378" i="7" s="1"/>
  <c r="C2380" i="7" l="1"/>
  <c r="D2379" i="7"/>
  <c r="F2379" i="7" s="1"/>
  <c r="F2378" i="7"/>
  <c r="E2379" i="7" l="1"/>
  <c r="C2381" i="7"/>
  <c r="D2380" i="7"/>
  <c r="E2380" i="7" s="1"/>
  <c r="C2382" i="7" l="1"/>
  <c r="D2381" i="7"/>
  <c r="F2381" i="7" s="1"/>
  <c r="F2380" i="7"/>
  <c r="E2381" i="7" s="1"/>
  <c r="C2383" i="7" l="1"/>
  <c r="D2382" i="7"/>
  <c r="E2382" i="7" l="1"/>
  <c r="C2384" i="7"/>
  <c r="D2383" i="7"/>
  <c r="F2383" i="7" s="1"/>
  <c r="F2382" i="7"/>
  <c r="E2383" i="7" l="1"/>
  <c r="C2385" i="7"/>
  <c r="D2384" i="7"/>
  <c r="E2384" i="7" l="1"/>
  <c r="F2384" i="7"/>
  <c r="C2386" i="7"/>
  <c r="D2385" i="7"/>
  <c r="F2385" i="7" s="1"/>
  <c r="C2387" i="7" l="1"/>
  <c r="D2386" i="7"/>
  <c r="E2386" i="7" s="1"/>
  <c r="E2385" i="7"/>
  <c r="C2388" i="7" l="1"/>
  <c r="D2387" i="7"/>
  <c r="F2387" i="7" s="1"/>
  <c r="F2386" i="7"/>
  <c r="E2387" i="7" s="1"/>
  <c r="C2389" i="7" l="1"/>
  <c r="D2388" i="7"/>
  <c r="E2388" i="7" l="1"/>
  <c r="F2388" i="7"/>
  <c r="C2390" i="7"/>
  <c r="D2389" i="7"/>
  <c r="F2389" i="7" s="1"/>
  <c r="C2391" i="7" l="1"/>
  <c r="D2390" i="7"/>
  <c r="E2390" i="7" s="1"/>
  <c r="E2389" i="7"/>
  <c r="C2392" i="7" l="1"/>
  <c r="D2391" i="7"/>
  <c r="F2391" i="7" s="1"/>
  <c r="F2390" i="7"/>
  <c r="E2391" i="7" l="1"/>
  <c r="C2393" i="7"/>
  <c r="D2392" i="7"/>
  <c r="E2392" i="7" s="1"/>
  <c r="C2394" i="7" l="1"/>
  <c r="D2393" i="7"/>
  <c r="F2393" i="7" s="1"/>
  <c r="F2392" i="7"/>
  <c r="E2393" i="7" s="1"/>
  <c r="C2395" i="7" l="1"/>
  <c r="D2394" i="7"/>
  <c r="E2394" i="7" l="1"/>
  <c r="F2394" i="7"/>
  <c r="C2396" i="7"/>
  <c r="D2395" i="7"/>
  <c r="F2395" i="7" s="1"/>
  <c r="E2395" i="7" l="1"/>
  <c r="C2397" i="7"/>
  <c r="D2396" i="7"/>
  <c r="E2396" i="7" s="1"/>
  <c r="F2396" i="7" l="1"/>
  <c r="C2398" i="7"/>
  <c r="D2397" i="7"/>
  <c r="F2397" i="7" s="1"/>
  <c r="C2399" i="7" l="1"/>
  <c r="D2398" i="7"/>
  <c r="E2398" i="7" s="1"/>
  <c r="E2397" i="7"/>
  <c r="C2400" i="7" l="1"/>
  <c r="D2399" i="7"/>
  <c r="F2399" i="7" s="1"/>
  <c r="F2398" i="7"/>
  <c r="E2399" i="7" s="1"/>
  <c r="C2401" i="7" l="1"/>
  <c r="D2400" i="7"/>
  <c r="E2400" i="7" l="1"/>
  <c r="C2402" i="7"/>
  <c r="D2401" i="7"/>
  <c r="F2401" i="7" s="1"/>
  <c r="F2400" i="7"/>
  <c r="E2401" i="7" s="1"/>
  <c r="C2403" i="7" l="1"/>
  <c r="D2402" i="7"/>
  <c r="E2402" i="7" l="1"/>
  <c r="C2404" i="7"/>
  <c r="D2403" i="7"/>
  <c r="F2403" i="7" s="1"/>
  <c r="F2402" i="7"/>
  <c r="E2403" i="7" l="1"/>
  <c r="C2405" i="7"/>
  <c r="D2404" i="7"/>
  <c r="E2404" i="7" s="1"/>
  <c r="C2406" i="7" l="1"/>
  <c r="D2405" i="7"/>
  <c r="F2405" i="7" s="1"/>
  <c r="F2404" i="7"/>
  <c r="E2405" i="7" s="1"/>
  <c r="C2407" i="7" l="1"/>
  <c r="D2406" i="7"/>
  <c r="E2406" i="7" l="1"/>
  <c r="C2408" i="7"/>
  <c r="D2407" i="7"/>
  <c r="F2407" i="7" s="1"/>
  <c r="F2406" i="7"/>
  <c r="E2407" i="7" s="1"/>
  <c r="C2409" i="7" l="1"/>
  <c r="D2408" i="7"/>
  <c r="E2408" i="7" l="1"/>
  <c r="C2410" i="7"/>
  <c r="D2409" i="7"/>
  <c r="F2409" i="7" s="1"/>
  <c r="F2408" i="7"/>
  <c r="E2409" i="7" l="1"/>
  <c r="C2411" i="7"/>
  <c r="D2410" i="7"/>
  <c r="E2410" i="7" l="1"/>
  <c r="F2410" i="7"/>
  <c r="C2412" i="7"/>
  <c r="D2411" i="7"/>
  <c r="E2411" i="7" l="1"/>
  <c r="C2413" i="7"/>
  <c r="D2412" i="7"/>
  <c r="F2412" i="7" s="1"/>
  <c r="F2411" i="7"/>
  <c r="E2412" i="7" s="1"/>
  <c r="C2414" i="7" l="1"/>
  <c r="D2413" i="7"/>
  <c r="E2413" i="7" s="1"/>
  <c r="C2415" i="7" l="1"/>
  <c r="D2414" i="7"/>
  <c r="F2414" i="7" s="1"/>
  <c r="F2413" i="7"/>
  <c r="E2414" i="7" l="1"/>
  <c r="C2416" i="7"/>
  <c r="D2415" i="7"/>
  <c r="E2415" i="7" s="1"/>
  <c r="C2417" i="7" l="1"/>
  <c r="D2416" i="7"/>
  <c r="F2416" i="7" s="1"/>
  <c r="F2415" i="7"/>
  <c r="E2416" i="7" l="1"/>
  <c r="C2418" i="7"/>
  <c r="D2417" i="7"/>
  <c r="E2417" i="7" s="1"/>
  <c r="F2417" i="7" l="1"/>
  <c r="C2419" i="7"/>
  <c r="D2418" i="7"/>
  <c r="F2418" i="7" s="1"/>
  <c r="C2420" i="7" l="1"/>
  <c r="D2419" i="7"/>
  <c r="E2419" i="7" s="1"/>
  <c r="E2418" i="7"/>
  <c r="C2421" i="7" l="1"/>
  <c r="D2420" i="7"/>
  <c r="F2420" i="7" s="1"/>
  <c r="F2419" i="7"/>
  <c r="E2420" i="7" l="1"/>
  <c r="C2422" i="7"/>
  <c r="D2421" i="7"/>
  <c r="E2421" i="7" s="1"/>
  <c r="F2421" i="7" l="1"/>
  <c r="C2423" i="7"/>
  <c r="D2422" i="7"/>
  <c r="F2422" i="7" s="1"/>
  <c r="C2424" i="7" l="1"/>
  <c r="D2423" i="7"/>
  <c r="E2423" i="7" s="1"/>
  <c r="E2422" i="7"/>
  <c r="F2423" i="7" l="1"/>
  <c r="C2425" i="7"/>
  <c r="D2424" i="7"/>
  <c r="F2424" i="7" s="1"/>
  <c r="E2424" i="7" l="1"/>
  <c r="C2426" i="7"/>
  <c r="D2425" i="7"/>
  <c r="E2425" i="7" s="1"/>
  <c r="C2427" i="7" l="1"/>
  <c r="D2426" i="7"/>
  <c r="F2426" i="7" s="1"/>
  <c r="F2425" i="7"/>
  <c r="E2426" i="7" l="1"/>
  <c r="C2428" i="7"/>
  <c r="D2427" i="7"/>
  <c r="E2427" i="7" s="1"/>
  <c r="C2429" i="7" l="1"/>
  <c r="D2428" i="7"/>
  <c r="F2428" i="7" s="1"/>
  <c r="F2427" i="7"/>
  <c r="E2428" i="7" l="1"/>
  <c r="C2430" i="7"/>
  <c r="D2429" i="7"/>
  <c r="E2429" i="7" s="1"/>
  <c r="F2429" i="7" l="1"/>
  <c r="C2431" i="7"/>
  <c r="D2430" i="7"/>
  <c r="F2430" i="7" s="1"/>
  <c r="C2432" i="7" l="1"/>
  <c r="D2431" i="7"/>
  <c r="E2431" i="7" s="1"/>
  <c r="E2430" i="7"/>
  <c r="C2433" i="7" l="1"/>
  <c r="D2432" i="7"/>
  <c r="F2432" i="7" s="1"/>
  <c r="F2431" i="7"/>
  <c r="E2432" i="7" l="1"/>
  <c r="C2434" i="7"/>
  <c r="D2433" i="7"/>
  <c r="E2433" i="7" s="1"/>
  <c r="F2433" i="7" l="1"/>
  <c r="C2435" i="7"/>
  <c r="D2434" i="7"/>
  <c r="F2434" i="7" s="1"/>
  <c r="C2436" i="7" l="1"/>
  <c r="D2435" i="7"/>
  <c r="E2435" i="7" s="1"/>
  <c r="E2434" i="7"/>
  <c r="F2435" i="7" l="1"/>
  <c r="C2437" i="7"/>
  <c r="D2436" i="7"/>
  <c r="F2436" i="7" s="1"/>
  <c r="C2438" i="7" l="1"/>
  <c r="D2437" i="7"/>
  <c r="E2437" i="7" s="1"/>
  <c r="E2436" i="7"/>
  <c r="C2439" i="7" l="1"/>
  <c r="D2438" i="7"/>
  <c r="F2438" i="7" s="1"/>
  <c r="F2437" i="7"/>
  <c r="E2438" i="7" l="1"/>
  <c r="C2440" i="7"/>
  <c r="D2439" i="7"/>
  <c r="E2439" i="7" s="1"/>
  <c r="F2439" i="7" l="1"/>
  <c r="C2441" i="7"/>
  <c r="D2440" i="7"/>
  <c r="F2440" i="7" s="1"/>
  <c r="E2440" i="7" l="1"/>
  <c r="C2442" i="7"/>
  <c r="D2441" i="7"/>
  <c r="E2441" i="7" s="1"/>
  <c r="C2443" i="7" l="1"/>
  <c r="D2442" i="7"/>
  <c r="F2442" i="7" s="1"/>
  <c r="F2441" i="7"/>
  <c r="E2442" i="7" l="1"/>
  <c r="C2444" i="7"/>
  <c r="D2443" i="7"/>
  <c r="E2443" i="7" s="1"/>
  <c r="C2445" i="7" l="1"/>
  <c r="D2444" i="7"/>
  <c r="F2444" i="7" s="1"/>
  <c r="F2443" i="7"/>
  <c r="E2444" i="7" l="1"/>
  <c r="C2446" i="7"/>
  <c r="D2445" i="7"/>
  <c r="E2445" i="7" s="1"/>
  <c r="C2447" i="7" l="1"/>
  <c r="D2446" i="7"/>
  <c r="F2446" i="7" s="1"/>
  <c r="F2445" i="7"/>
  <c r="E2446" i="7" l="1"/>
  <c r="C2448" i="7"/>
  <c r="D2447" i="7"/>
  <c r="E2447" i="7" s="1"/>
  <c r="F2447" i="7" l="1"/>
  <c r="C2449" i="7"/>
  <c r="D2448" i="7"/>
  <c r="F2448" i="7" s="1"/>
  <c r="E2448" i="7" l="1"/>
  <c r="C2450" i="7"/>
  <c r="D2449" i="7"/>
  <c r="E2449" i="7" s="1"/>
  <c r="C2451" i="7" l="1"/>
  <c r="D2450" i="7"/>
  <c r="F2450" i="7" s="1"/>
  <c r="F2449" i="7"/>
  <c r="E2450" i="7" l="1"/>
  <c r="C2452" i="7"/>
  <c r="D2451" i="7"/>
  <c r="E2451" i="7" s="1"/>
  <c r="C2453" i="7" l="1"/>
  <c r="D2452" i="7"/>
  <c r="F2452" i="7" s="1"/>
  <c r="F2451" i="7"/>
  <c r="E2452" i="7" l="1"/>
  <c r="C2454" i="7"/>
  <c r="D2453" i="7"/>
  <c r="E2453" i="7" s="1"/>
  <c r="C2455" i="7" l="1"/>
  <c r="D2454" i="7"/>
  <c r="F2454" i="7" s="1"/>
  <c r="F2453" i="7"/>
  <c r="E2454" i="7" l="1"/>
  <c r="C2456" i="7"/>
  <c r="D2455" i="7"/>
  <c r="E2455" i="7" s="1"/>
  <c r="C2457" i="7" l="1"/>
  <c r="D2456" i="7"/>
  <c r="F2456" i="7" s="1"/>
  <c r="F2455" i="7"/>
  <c r="E2456" i="7" l="1"/>
  <c r="C2458" i="7"/>
  <c r="D2457" i="7"/>
  <c r="E2457" i="7" s="1"/>
  <c r="C2459" i="7" l="1"/>
  <c r="D2458" i="7"/>
  <c r="F2458" i="7" s="1"/>
  <c r="F2457" i="7"/>
  <c r="E2458" i="7" l="1"/>
  <c r="C2460" i="7"/>
  <c r="D2459" i="7"/>
  <c r="E2459" i="7" s="1"/>
  <c r="C2461" i="7" l="1"/>
  <c r="D2460" i="7"/>
  <c r="F2460" i="7" s="1"/>
  <c r="F2459" i="7"/>
  <c r="E2460" i="7" l="1"/>
  <c r="C2462" i="7"/>
  <c r="D2461" i="7"/>
  <c r="E2461" i="7" s="1"/>
  <c r="F2461" i="7" l="1"/>
  <c r="C2463" i="7"/>
  <c r="D2462" i="7"/>
  <c r="F2462" i="7" s="1"/>
  <c r="C2464" i="7" l="1"/>
  <c r="D2463" i="7"/>
  <c r="E2463" i="7" s="1"/>
  <c r="E2462" i="7"/>
  <c r="F2463" i="7" l="1"/>
  <c r="C2465" i="7"/>
  <c r="D2464" i="7"/>
  <c r="E2464" i="7" l="1"/>
  <c r="C2466" i="7"/>
  <c r="D2465" i="7"/>
  <c r="F2465" i="7" s="1"/>
  <c r="F2464" i="7"/>
  <c r="E2465" i="7" l="1"/>
  <c r="C2467" i="7"/>
  <c r="D2466" i="7"/>
  <c r="E2466" i="7" l="1"/>
  <c r="C2468" i="7"/>
  <c r="D2467" i="7"/>
  <c r="F2467" i="7" s="1"/>
  <c r="F2466" i="7"/>
  <c r="E2467" i="7" l="1"/>
  <c r="C2469" i="7"/>
  <c r="D2468" i="7"/>
  <c r="E2468" i="7" l="1"/>
  <c r="C2470" i="7"/>
  <c r="D2469" i="7"/>
  <c r="F2469" i="7" s="1"/>
  <c r="F2468" i="7"/>
  <c r="E2469" i="7" l="1"/>
  <c r="C2471" i="7"/>
  <c r="D2470" i="7"/>
  <c r="E2470" i="7" s="1"/>
  <c r="C2472" i="7" l="1"/>
  <c r="D2471" i="7"/>
  <c r="F2471" i="7" s="1"/>
  <c r="F2470" i="7"/>
  <c r="E2471" i="7" l="1"/>
  <c r="C2473" i="7"/>
  <c r="D2472" i="7"/>
  <c r="E2472" i="7" s="1"/>
  <c r="C2474" i="7" l="1"/>
  <c r="D2473" i="7"/>
  <c r="F2473" i="7" s="1"/>
  <c r="F2472" i="7"/>
  <c r="E2473" i="7" s="1"/>
  <c r="C2475" i="7" l="1"/>
  <c r="D2474" i="7"/>
  <c r="E2474" i="7" l="1"/>
  <c r="C2476" i="7"/>
  <c r="D2475" i="7"/>
  <c r="F2475" i="7" s="1"/>
  <c r="F2474" i="7"/>
  <c r="E2475" i="7" l="1"/>
  <c r="C2477" i="7"/>
  <c r="D2476" i="7"/>
  <c r="E2476" i="7" l="1"/>
  <c r="C2478" i="7"/>
  <c r="D2477" i="7"/>
  <c r="F2477" i="7" s="1"/>
  <c r="F2476" i="7"/>
  <c r="E2477" i="7" s="1"/>
  <c r="C2479" i="7" l="1"/>
  <c r="D2478" i="7"/>
  <c r="E2478" i="7" l="1"/>
  <c r="C2480" i="7"/>
  <c r="D2479" i="7"/>
  <c r="F2479" i="7" s="1"/>
  <c r="F2478" i="7"/>
  <c r="E2479" i="7" s="1"/>
  <c r="C2481" i="7" l="1"/>
  <c r="D2480" i="7"/>
  <c r="E2480" i="7" l="1"/>
  <c r="C2482" i="7"/>
  <c r="D2481" i="7"/>
  <c r="F2481" i="7" s="1"/>
  <c r="F2480" i="7"/>
  <c r="E2481" i="7" s="1"/>
  <c r="C2483" i="7" l="1"/>
  <c r="D2482" i="7"/>
  <c r="E2482" i="7" l="1"/>
  <c r="C2484" i="7"/>
  <c r="D2483" i="7"/>
  <c r="F2483" i="7" s="1"/>
  <c r="F2482" i="7"/>
  <c r="E2483" i="7" s="1"/>
  <c r="C2485" i="7" l="1"/>
  <c r="D2484" i="7"/>
  <c r="E2484" i="7" l="1"/>
  <c r="C2486" i="7"/>
  <c r="D2485" i="7"/>
  <c r="F2485" i="7" s="1"/>
  <c r="F2484" i="7"/>
  <c r="E2485" i="7" s="1"/>
  <c r="C2487" i="7" l="1"/>
  <c r="D2486" i="7"/>
  <c r="E2486" i="7" l="1"/>
  <c r="C2488" i="7"/>
  <c r="D2487" i="7"/>
  <c r="F2487" i="7" s="1"/>
  <c r="F2486" i="7"/>
  <c r="E2487" i="7" l="1"/>
  <c r="C2489" i="7"/>
  <c r="D2488" i="7"/>
  <c r="E2488" i="7" s="1"/>
  <c r="C2490" i="7" l="1"/>
  <c r="D2489" i="7"/>
  <c r="F2489" i="7" s="1"/>
  <c r="F2488" i="7"/>
  <c r="E2489" i="7" s="1"/>
  <c r="C2491" i="7" l="1"/>
  <c r="D2490" i="7"/>
  <c r="E2490" i="7" l="1"/>
  <c r="C2492" i="7"/>
  <c r="D2491" i="7"/>
  <c r="F2491" i="7" s="1"/>
  <c r="F2490" i="7"/>
  <c r="E2491" i="7" l="1"/>
  <c r="C2493" i="7"/>
  <c r="D2492" i="7"/>
  <c r="E2492" i="7" l="1"/>
  <c r="C2494" i="7"/>
  <c r="D2493" i="7"/>
  <c r="F2493" i="7" s="1"/>
  <c r="F2492" i="7"/>
  <c r="E2493" i="7" s="1"/>
  <c r="C2495" i="7" l="1"/>
  <c r="D2494" i="7"/>
  <c r="E2494" i="7" l="1"/>
  <c r="C2496" i="7"/>
  <c r="D2495" i="7"/>
  <c r="F2495" i="7" s="1"/>
  <c r="F2494" i="7"/>
  <c r="E2495" i="7" s="1"/>
  <c r="C2497" i="7" l="1"/>
  <c r="D2496" i="7"/>
  <c r="E2496" i="7" l="1"/>
  <c r="C2498" i="7"/>
  <c r="D2497" i="7"/>
  <c r="F2497" i="7" s="1"/>
  <c r="F2496" i="7"/>
  <c r="E2497" i="7" l="1"/>
  <c r="C2499" i="7"/>
  <c r="D2498" i="7"/>
  <c r="E2498" i="7" l="1"/>
  <c r="C2500" i="7"/>
  <c r="D2499" i="7"/>
  <c r="F2499" i="7" s="1"/>
  <c r="F2498" i="7"/>
  <c r="E2499" i="7" l="1"/>
  <c r="C2501" i="7"/>
  <c r="D2500" i="7"/>
  <c r="E2500" i="7" l="1"/>
  <c r="C2502" i="7"/>
  <c r="D2501" i="7"/>
  <c r="F2501" i="7" s="1"/>
  <c r="F2500" i="7"/>
  <c r="E2501" i="7" s="1"/>
  <c r="C2503" i="7" l="1"/>
  <c r="D2502" i="7"/>
  <c r="E2502" i="7" l="1"/>
  <c r="C2504" i="7"/>
  <c r="D2503" i="7"/>
  <c r="F2503" i="7" s="1"/>
  <c r="F2502" i="7"/>
  <c r="E2503" i="7" l="1"/>
  <c r="C2505" i="7"/>
  <c r="D2504" i="7"/>
  <c r="E2504" i="7" l="1"/>
  <c r="C2506" i="7"/>
  <c r="D2505" i="7"/>
  <c r="F2505" i="7" s="1"/>
  <c r="F2504" i="7"/>
  <c r="E2505" i="7" l="1"/>
  <c r="C2507" i="7"/>
  <c r="D2506" i="7"/>
  <c r="E2506" i="7" l="1"/>
  <c r="F2506" i="7"/>
  <c r="C2508" i="7"/>
  <c r="D2507" i="7"/>
  <c r="F2507" i="7" s="1"/>
  <c r="E2507" i="7" l="1"/>
  <c r="C2509" i="7"/>
  <c r="D2508" i="7"/>
  <c r="E2508" i="7" s="1"/>
  <c r="C2510" i="7" l="1"/>
  <c r="D2509" i="7"/>
  <c r="F2509" i="7" s="1"/>
  <c r="F2508" i="7"/>
  <c r="E2509" i="7" s="1"/>
  <c r="C2511" i="7" l="1"/>
  <c r="D2510" i="7"/>
  <c r="E2510" i="7" l="1"/>
  <c r="C2512" i="7"/>
  <c r="D2511" i="7"/>
  <c r="F2511" i="7" s="1"/>
  <c r="F2510" i="7"/>
  <c r="E2511" i="7" l="1"/>
  <c r="C2513" i="7"/>
  <c r="D2512" i="7"/>
  <c r="E2512" i="7" l="1"/>
  <c r="F2512" i="7"/>
  <c r="C2514" i="7"/>
  <c r="D2513" i="7"/>
  <c r="F2513" i="7" s="1"/>
  <c r="E2513" i="7" l="1"/>
  <c r="C2515" i="7"/>
  <c r="D2514" i="7"/>
  <c r="E2514" i="7" s="1"/>
  <c r="C2516" i="7" l="1"/>
  <c r="D2515" i="7"/>
  <c r="F2515" i="7" s="1"/>
  <c r="F2514" i="7"/>
  <c r="E2515" i="7" s="1"/>
  <c r="C2517" i="7" l="1"/>
  <c r="D2516" i="7"/>
  <c r="E2516" i="7" l="1"/>
  <c r="C2518" i="7"/>
  <c r="D2517" i="7"/>
  <c r="F2517" i="7" s="1"/>
  <c r="F2516" i="7"/>
  <c r="E2517" i="7" l="1"/>
  <c r="C2519" i="7"/>
  <c r="D2518" i="7"/>
  <c r="E2518" i="7" s="1"/>
  <c r="C2520" i="7" l="1"/>
  <c r="D2519" i="7"/>
  <c r="F2519" i="7" s="1"/>
  <c r="F2518" i="7"/>
  <c r="E2519" i="7" s="1"/>
  <c r="C2521" i="7" l="1"/>
  <c r="D2520" i="7"/>
  <c r="E2520" i="7" l="1"/>
  <c r="C2522" i="7"/>
  <c r="D2521" i="7"/>
  <c r="F2521" i="7" s="1"/>
  <c r="F2520" i="7"/>
  <c r="E2521" i="7" l="1"/>
  <c r="C2523" i="7"/>
  <c r="D2522" i="7"/>
  <c r="E2522" i="7" l="1"/>
  <c r="C2524" i="7"/>
  <c r="D2523" i="7"/>
  <c r="F2523" i="7" s="1"/>
  <c r="F2522" i="7"/>
  <c r="E2523" i="7" s="1"/>
  <c r="C2525" i="7" l="1"/>
  <c r="D2524" i="7"/>
  <c r="E2524" i="7" l="1"/>
  <c r="C2526" i="7"/>
  <c r="D2525" i="7"/>
  <c r="F2525" i="7" s="1"/>
  <c r="F2524" i="7"/>
  <c r="E2525" i="7" s="1"/>
  <c r="C2527" i="7" l="1"/>
  <c r="D2526" i="7"/>
  <c r="E2526" i="7" l="1"/>
  <c r="F2526" i="7"/>
  <c r="C2528" i="7"/>
  <c r="D2527" i="7"/>
  <c r="F2527" i="7" s="1"/>
  <c r="C2529" i="7" l="1"/>
  <c r="D2528" i="7"/>
  <c r="E2528" i="7" s="1"/>
  <c r="E2527" i="7"/>
  <c r="F2528" i="7" l="1"/>
  <c r="C2530" i="7"/>
  <c r="D2529" i="7"/>
  <c r="F2529" i="7" s="1"/>
  <c r="C2531" i="7" l="1"/>
  <c r="D2530" i="7"/>
  <c r="E2530" i="7" s="1"/>
  <c r="E2529" i="7"/>
  <c r="F2530" i="7" l="1"/>
  <c r="C2532" i="7"/>
  <c r="D2531" i="7"/>
  <c r="F2531" i="7" s="1"/>
  <c r="C2533" i="7" l="1"/>
  <c r="D2532" i="7"/>
  <c r="E2532" i="7" s="1"/>
  <c r="E2531" i="7"/>
  <c r="F2532" i="7" l="1"/>
  <c r="C2534" i="7"/>
  <c r="D2533" i="7"/>
  <c r="F2533" i="7" s="1"/>
  <c r="C2535" i="7" l="1"/>
  <c r="D2534" i="7"/>
  <c r="E2534" i="7" s="1"/>
  <c r="E2533" i="7"/>
  <c r="F2534" i="7" l="1"/>
  <c r="C2536" i="7"/>
  <c r="D2535" i="7"/>
  <c r="F2535" i="7" s="1"/>
  <c r="C2537" i="7" l="1"/>
  <c r="D2536" i="7"/>
  <c r="E2536" i="7" s="1"/>
  <c r="E2535" i="7"/>
  <c r="F2536" i="7" l="1"/>
  <c r="C2538" i="7"/>
  <c r="D2537" i="7"/>
  <c r="F2537" i="7" s="1"/>
  <c r="C2539" i="7" l="1"/>
  <c r="D2538" i="7"/>
  <c r="E2538" i="7" s="1"/>
  <c r="E2537" i="7"/>
  <c r="F2538" i="7" l="1"/>
  <c r="C2540" i="7"/>
  <c r="D2539" i="7"/>
  <c r="F2539" i="7" s="1"/>
  <c r="C2541" i="7" l="1"/>
  <c r="D2540" i="7"/>
  <c r="E2540" i="7" s="1"/>
  <c r="E2539" i="7"/>
  <c r="C2542" i="7" l="1"/>
  <c r="D2541" i="7"/>
  <c r="F2541" i="7" s="1"/>
  <c r="F2540" i="7"/>
  <c r="E2541" i="7" s="1"/>
  <c r="C2543" i="7" l="1"/>
  <c r="D2542" i="7"/>
  <c r="E2542" i="7" l="1"/>
  <c r="C2544" i="7"/>
  <c r="D2543" i="7"/>
  <c r="F2543" i="7" s="1"/>
  <c r="F2542" i="7"/>
  <c r="E2543" i="7" l="1"/>
  <c r="C2545" i="7"/>
  <c r="D2544" i="7"/>
  <c r="E2544" i="7" s="1"/>
  <c r="F2544" i="7" l="1"/>
  <c r="C2546" i="7"/>
  <c r="D2545" i="7"/>
  <c r="F2545" i="7" s="1"/>
  <c r="C2547" i="7" l="1"/>
  <c r="D2546" i="7"/>
  <c r="E2546" i="7" s="1"/>
  <c r="E2545" i="7"/>
  <c r="F2546" i="7" l="1"/>
  <c r="C2548" i="7"/>
  <c r="D2547" i="7"/>
  <c r="F2547" i="7" s="1"/>
  <c r="C2549" i="7" l="1"/>
  <c r="D2548" i="7"/>
  <c r="E2548" i="7" s="1"/>
  <c r="E2547" i="7"/>
  <c r="F2548" i="7" l="1"/>
  <c r="C2550" i="7"/>
  <c r="D2549" i="7"/>
  <c r="F2549" i="7" s="1"/>
  <c r="C2551" i="7" l="1"/>
  <c r="D2550" i="7"/>
  <c r="E2550" i="7" s="1"/>
  <c r="E2549" i="7"/>
  <c r="C2552" i="7" l="1"/>
  <c r="D2551" i="7"/>
  <c r="F2551" i="7" s="1"/>
  <c r="F2550" i="7"/>
  <c r="E2551" i="7" s="1"/>
  <c r="C2553" i="7" l="1"/>
  <c r="D2552" i="7"/>
  <c r="E2552" i="7" l="1"/>
  <c r="F2552" i="7"/>
  <c r="C2554" i="7"/>
  <c r="D2553" i="7"/>
  <c r="F2553" i="7" s="1"/>
  <c r="C2555" i="7" l="1"/>
  <c r="D2554" i="7"/>
  <c r="E2554" i="7" s="1"/>
  <c r="E2553" i="7"/>
  <c r="F2554" i="7" l="1"/>
  <c r="C2556" i="7"/>
  <c r="D2555" i="7"/>
  <c r="F2555" i="7" s="1"/>
  <c r="E2555" i="7" l="1"/>
  <c r="C2557" i="7"/>
  <c r="D2556" i="7"/>
  <c r="E2556" i="7" s="1"/>
  <c r="F2556" i="7" l="1"/>
  <c r="C2558" i="7"/>
  <c r="D2557" i="7"/>
  <c r="F2557" i="7" s="1"/>
  <c r="E2557" i="7" l="1"/>
  <c r="C2559" i="7"/>
  <c r="D2558" i="7"/>
  <c r="E2558" i="7" s="1"/>
  <c r="C2560" i="7" l="1"/>
  <c r="D2559" i="7"/>
  <c r="F2559" i="7" s="1"/>
  <c r="F2558" i="7"/>
  <c r="E2559" i="7" l="1"/>
  <c r="C2561" i="7"/>
  <c r="D2560" i="7"/>
  <c r="E2560" i="7" l="1"/>
  <c r="C2562" i="7"/>
  <c r="D2561" i="7"/>
  <c r="F2561" i="7" s="1"/>
  <c r="F2560" i="7"/>
  <c r="E2561" i="7" s="1"/>
  <c r="C2563" i="7" l="1"/>
  <c r="D2562" i="7"/>
  <c r="E2562" i="7" l="1"/>
  <c r="C2564" i="7"/>
  <c r="D2563" i="7"/>
  <c r="F2563" i="7" s="1"/>
  <c r="F2562" i="7"/>
  <c r="E2563" i="7" s="1"/>
  <c r="C2565" i="7" l="1"/>
  <c r="D2564" i="7"/>
  <c r="E2564" i="7" l="1"/>
  <c r="F2564" i="7"/>
  <c r="C2566" i="7"/>
  <c r="D2565" i="7"/>
  <c r="F2565" i="7" s="1"/>
  <c r="C2567" i="7" l="1"/>
  <c r="D2566" i="7"/>
  <c r="E2566" i="7" s="1"/>
  <c r="E2565" i="7"/>
  <c r="C2568" i="7" l="1"/>
  <c r="D2567" i="7"/>
  <c r="F2567" i="7" s="1"/>
  <c r="F2566" i="7"/>
  <c r="E2567" i="7" s="1"/>
  <c r="C2569" i="7" l="1"/>
  <c r="D2568" i="7"/>
  <c r="E2568" i="7" l="1"/>
  <c r="C2570" i="7"/>
  <c r="D2569" i="7"/>
  <c r="F2569" i="7" s="1"/>
  <c r="F2568" i="7"/>
  <c r="E2569" i="7" s="1"/>
  <c r="C2571" i="7" l="1"/>
  <c r="D2570" i="7"/>
  <c r="E2570" i="7" l="1"/>
  <c r="F2570" i="7"/>
  <c r="C2572" i="7"/>
  <c r="D2571" i="7"/>
  <c r="E2571" i="7" l="1"/>
  <c r="C2573" i="7"/>
  <c r="D2572" i="7"/>
  <c r="F2572" i="7" s="1"/>
  <c r="F2571" i="7"/>
  <c r="E2572" i="7" l="1"/>
  <c r="C2574" i="7"/>
  <c r="D2573" i="7"/>
  <c r="E2573" i="7" s="1"/>
  <c r="C2575" i="7" l="1"/>
  <c r="D2574" i="7"/>
  <c r="F2574" i="7" s="1"/>
  <c r="F2573" i="7"/>
  <c r="E2574" i="7" l="1"/>
  <c r="C2576" i="7"/>
  <c r="D2575" i="7"/>
  <c r="E2575" i="7" s="1"/>
  <c r="C2577" i="7" l="1"/>
  <c r="D2576" i="7"/>
  <c r="F2576" i="7" s="1"/>
  <c r="F2575" i="7"/>
  <c r="E2576" i="7" l="1"/>
  <c r="C2578" i="7"/>
  <c r="D2577" i="7"/>
  <c r="E2577" i="7" s="1"/>
  <c r="C2579" i="7" l="1"/>
  <c r="D2578" i="7"/>
  <c r="F2578" i="7" s="1"/>
  <c r="F2577" i="7"/>
  <c r="E2578" i="7" l="1"/>
  <c r="C2580" i="7"/>
  <c r="D2579" i="7"/>
  <c r="E2579" i="7" s="1"/>
  <c r="F2579" i="7" l="1"/>
  <c r="C2581" i="7"/>
  <c r="D2580" i="7"/>
  <c r="F2580" i="7" s="1"/>
  <c r="C2582" i="7" l="1"/>
  <c r="D2581" i="7"/>
  <c r="E2581" i="7" s="1"/>
  <c r="E2580" i="7"/>
  <c r="F2581" i="7" l="1"/>
  <c r="C2583" i="7"/>
  <c r="D2582" i="7"/>
  <c r="F2582" i="7" s="1"/>
  <c r="C2584" i="7" l="1"/>
  <c r="D2583" i="7"/>
  <c r="E2583" i="7" s="1"/>
  <c r="E2582" i="7"/>
  <c r="C2585" i="7" l="1"/>
  <c r="D2584" i="7"/>
  <c r="F2584" i="7" s="1"/>
  <c r="F2583" i="7"/>
  <c r="E2584" i="7" l="1"/>
  <c r="C2586" i="7"/>
  <c r="D2585" i="7"/>
  <c r="E2585" i="7" s="1"/>
  <c r="F2585" i="7" l="1"/>
  <c r="C2587" i="7"/>
  <c r="D2586" i="7"/>
  <c r="F2586" i="7" s="1"/>
  <c r="C2588" i="7" l="1"/>
  <c r="D2587" i="7"/>
  <c r="E2587" i="7" s="1"/>
  <c r="E2586" i="7"/>
  <c r="C2589" i="7" l="1"/>
  <c r="D2588" i="7"/>
  <c r="F2588" i="7" s="1"/>
  <c r="F2587" i="7"/>
  <c r="E2588" i="7" l="1"/>
  <c r="C2590" i="7"/>
  <c r="D2589" i="7"/>
  <c r="E2589" i="7" s="1"/>
  <c r="C2591" i="7" l="1"/>
  <c r="D2590" i="7"/>
  <c r="F2590" i="7" s="1"/>
  <c r="F2589" i="7"/>
  <c r="E2590" i="7" l="1"/>
  <c r="C2592" i="7"/>
  <c r="D2591" i="7"/>
  <c r="E2591" i="7" s="1"/>
  <c r="F2591" i="7" l="1"/>
  <c r="C2593" i="7"/>
  <c r="D2592" i="7"/>
  <c r="F2592" i="7" s="1"/>
  <c r="C2594" i="7" l="1"/>
  <c r="D2593" i="7"/>
  <c r="E2593" i="7" s="1"/>
  <c r="E2592" i="7"/>
  <c r="C2595" i="7" l="1"/>
  <c r="D2594" i="7"/>
  <c r="F2594" i="7" s="1"/>
  <c r="F2593" i="7"/>
  <c r="E2594" i="7" l="1"/>
  <c r="C2596" i="7"/>
  <c r="D2595" i="7"/>
  <c r="E2595" i="7" s="1"/>
  <c r="C2597" i="7" l="1"/>
  <c r="D2596" i="7"/>
  <c r="F2596" i="7" s="1"/>
  <c r="F2595" i="7"/>
  <c r="E2596" i="7" l="1"/>
  <c r="C2598" i="7"/>
  <c r="D2597" i="7"/>
  <c r="E2597" i="7" s="1"/>
  <c r="C2599" i="7" l="1"/>
  <c r="D2598" i="7"/>
  <c r="F2598" i="7" s="1"/>
  <c r="F2597" i="7"/>
  <c r="E2598" i="7" l="1"/>
  <c r="C2600" i="7"/>
  <c r="D2599" i="7"/>
  <c r="E2599" i="7" s="1"/>
  <c r="C2601" i="7" l="1"/>
  <c r="D2600" i="7"/>
  <c r="F2600" i="7" s="1"/>
  <c r="F2599" i="7"/>
  <c r="E2600" i="7" l="1"/>
  <c r="C2602" i="7"/>
  <c r="D2601" i="7"/>
  <c r="E2601" i="7" s="1"/>
  <c r="C2603" i="7" l="1"/>
  <c r="D2602" i="7"/>
  <c r="F2602" i="7" s="1"/>
  <c r="F2601" i="7"/>
  <c r="E2602" i="7" l="1"/>
  <c r="C2604" i="7"/>
  <c r="D2603" i="7"/>
  <c r="E2603" i="7" s="1"/>
  <c r="C2605" i="7" l="1"/>
  <c r="D2604" i="7"/>
  <c r="F2604" i="7" s="1"/>
  <c r="F2603" i="7"/>
  <c r="E2604" i="7" l="1"/>
  <c r="C2606" i="7"/>
  <c r="D2605" i="7"/>
  <c r="E2605" i="7" s="1"/>
  <c r="C2607" i="7" l="1"/>
  <c r="D2606" i="7"/>
  <c r="F2606" i="7" s="1"/>
  <c r="F2605" i="7"/>
  <c r="E2606" i="7" l="1"/>
  <c r="C2608" i="7"/>
  <c r="D2607" i="7"/>
  <c r="E2607" i="7" s="1"/>
  <c r="C2609" i="7" l="1"/>
  <c r="D2608" i="7"/>
  <c r="F2608" i="7" s="1"/>
  <c r="F2607" i="7"/>
  <c r="E2608" i="7" l="1"/>
  <c r="C2610" i="7"/>
  <c r="D2609" i="7"/>
  <c r="E2609" i="7" s="1"/>
  <c r="C2611" i="7" l="1"/>
  <c r="D2610" i="7"/>
  <c r="F2610" i="7" s="1"/>
  <c r="F2609" i="7"/>
  <c r="E2610" i="7" l="1"/>
  <c r="C2612" i="7"/>
  <c r="D2611" i="7"/>
  <c r="E2611" i="7" s="1"/>
  <c r="F2611" i="7" l="1"/>
  <c r="C2613" i="7"/>
  <c r="D2612" i="7"/>
  <c r="F2612" i="7" s="1"/>
  <c r="E2612" i="7" l="1"/>
  <c r="C2614" i="7"/>
  <c r="D2613" i="7"/>
  <c r="E2613" i="7" s="1"/>
  <c r="F2613" i="7" l="1"/>
  <c r="C2615" i="7"/>
  <c r="D2614" i="7"/>
  <c r="F2614" i="7" s="1"/>
  <c r="C2616" i="7" l="1"/>
  <c r="D2615" i="7"/>
  <c r="E2615" i="7" s="1"/>
  <c r="E2614" i="7"/>
  <c r="C2617" i="7" l="1"/>
  <c r="D2616" i="7"/>
  <c r="F2616" i="7" s="1"/>
  <c r="F2615" i="7"/>
  <c r="E2616" i="7" l="1"/>
  <c r="C2618" i="7"/>
  <c r="D2617" i="7"/>
  <c r="E2617" i="7" s="1"/>
  <c r="C2619" i="7" l="1"/>
  <c r="D2618" i="7"/>
  <c r="F2618" i="7" s="1"/>
  <c r="F2617" i="7"/>
  <c r="E2618" i="7" l="1"/>
  <c r="C2620" i="7"/>
  <c r="D2619" i="7"/>
  <c r="E2619" i="7" s="1"/>
  <c r="C2621" i="7" l="1"/>
  <c r="D2620" i="7"/>
  <c r="F2620" i="7" s="1"/>
  <c r="F2619" i="7"/>
  <c r="E2620" i="7" l="1"/>
  <c r="C2622" i="7"/>
  <c r="D2621" i="7"/>
  <c r="E2621" i="7" s="1"/>
  <c r="C2623" i="7" l="1"/>
  <c r="D2622" i="7"/>
  <c r="F2622" i="7" s="1"/>
  <c r="F2621" i="7"/>
  <c r="E2622" i="7" l="1"/>
  <c r="C2624" i="7"/>
  <c r="D2623" i="7"/>
  <c r="E2623" i="7" s="1"/>
  <c r="F2623" i="7" l="1"/>
  <c r="C2625" i="7"/>
  <c r="D2624" i="7"/>
  <c r="F2624" i="7" s="1"/>
  <c r="C2626" i="7" l="1"/>
  <c r="D2625" i="7"/>
  <c r="E2625" i="7" s="1"/>
  <c r="E2624" i="7"/>
  <c r="C2627" i="7" l="1"/>
  <c r="D2626" i="7"/>
  <c r="F2626" i="7" s="1"/>
  <c r="F2625" i="7"/>
  <c r="E2626" i="7" l="1"/>
  <c r="C2628" i="7"/>
  <c r="D2627" i="7"/>
  <c r="E2627" i="7" s="1"/>
  <c r="C2629" i="7" l="1"/>
  <c r="D2628" i="7"/>
  <c r="F2628" i="7" s="1"/>
  <c r="F2627" i="7"/>
  <c r="E2628" i="7" l="1"/>
  <c r="C2630" i="7"/>
  <c r="D2629" i="7"/>
  <c r="E2629" i="7" s="1"/>
  <c r="C2631" i="7" l="1"/>
  <c r="D2630" i="7"/>
  <c r="F2630" i="7" s="1"/>
  <c r="F2629" i="7"/>
  <c r="E2630" i="7" l="1"/>
  <c r="C2632" i="7"/>
  <c r="D2631" i="7"/>
  <c r="E2631" i="7" s="1"/>
  <c r="F2631" i="7" l="1"/>
  <c r="C2633" i="7"/>
  <c r="D2632" i="7"/>
  <c r="E2632" i="7" l="1"/>
  <c r="C2634" i="7"/>
  <c r="D2633" i="7"/>
  <c r="F2633" i="7" s="1"/>
  <c r="F2632" i="7"/>
  <c r="E2633" i="7" s="1"/>
  <c r="C2635" i="7" l="1"/>
  <c r="D2634" i="7"/>
  <c r="E2634" i="7" l="1"/>
  <c r="C2636" i="7"/>
  <c r="D2635" i="7"/>
  <c r="F2635" i="7" s="1"/>
  <c r="F2634" i="7"/>
  <c r="E2635" i="7" l="1"/>
  <c r="C2637" i="7"/>
  <c r="D2636" i="7"/>
  <c r="E2636" i="7" l="1"/>
  <c r="C2638" i="7"/>
  <c r="D2637" i="7"/>
  <c r="F2637" i="7" s="1"/>
  <c r="F2636" i="7"/>
  <c r="E2637" i="7" l="1"/>
  <c r="C2639" i="7"/>
  <c r="D2638" i="7"/>
  <c r="E2638" i="7" l="1"/>
  <c r="C2640" i="7"/>
  <c r="D2639" i="7"/>
  <c r="F2639" i="7" s="1"/>
  <c r="F2638" i="7"/>
  <c r="E2639" i="7" s="1"/>
  <c r="C2641" i="7" l="1"/>
  <c r="D2640" i="7"/>
  <c r="E2640" i="7" l="1"/>
  <c r="C2642" i="7"/>
  <c r="D2641" i="7"/>
  <c r="F2641" i="7" s="1"/>
  <c r="F2640" i="7"/>
  <c r="E2641" i="7" s="1"/>
  <c r="C2643" i="7" l="1"/>
  <c r="D2642" i="7"/>
  <c r="E2642" i="7" l="1"/>
  <c r="C2644" i="7"/>
  <c r="D2643" i="7"/>
  <c r="F2643" i="7" s="1"/>
  <c r="F2642" i="7"/>
  <c r="E2643" i="7" s="1"/>
  <c r="C2645" i="7" l="1"/>
  <c r="D2644" i="7"/>
  <c r="E2644" i="7" l="1"/>
  <c r="C2646" i="7"/>
  <c r="D2645" i="7"/>
  <c r="F2645" i="7" s="1"/>
  <c r="F2644" i="7"/>
  <c r="E2645" i="7" l="1"/>
  <c r="C2647" i="7"/>
  <c r="D2646" i="7"/>
  <c r="E2646" i="7" l="1"/>
  <c r="C2648" i="7"/>
  <c r="D2647" i="7"/>
  <c r="F2647" i="7" s="1"/>
  <c r="F2646" i="7"/>
  <c r="E2647" i="7" s="1"/>
  <c r="C2649" i="7" l="1"/>
  <c r="D2648" i="7"/>
  <c r="E2648" i="7" l="1"/>
  <c r="C2650" i="7"/>
  <c r="D2649" i="7"/>
  <c r="F2649" i="7" s="1"/>
  <c r="F2648" i="7"/>
  <c r="E2649" i="7" l="1"/>
  <c r="C2651" i="7"/>
  <c r="D2650" i="7"/>
  <c r="E2650" i="7" l="1"/>
  <c r="C2652" i="7"/>
  <c r="D2651" i="7"/>
  <c r="F2651" i="7" s="1"/>
  <c r="F2650" i="7"/>
  <c r="E2651" i="7" s="1"/>
  <c r="C2653" i="7" l="1"/>
  <c r="D2652" i="7"/>
  <c r="E2652" i="7" l="1"/>
  <c r="F2652" i="7"/>
  <c r="C2654" i="7"/>
  <c r="D2653" i="7"/>
  <c r="F2653" i="7" s="1"/>
  <c r="E2653" i="7" l="1"/>
  <c r="C2655" i="7"/>
  <c r="D2654" i="7"/>
  <c r="E2654" i="7" s="1"/>
  <c r="F2654" i="7" l="1"/>
  <c r="C2656" i="7"/>
  <c r="D2655" i="7"/>
  <c r="F2655" i="7" s="1"/>
  <c r="C2657" i="7" l="1"/>
  <c r="D2656" i="7"/>
  <c r="E2656" i="7" s="1"/>
  <c r="E2655" i="7"/>
  <c r="C2658" i="7" l="1"/>
  <c r="D2657" i="7"/>
  <c r="F2657" i="7" s="1"/>
  <c r="F2656" i="7"/>
  <c r="E2657" i="7" s="1"/>
  <c r="C2659" i="7" l="1"/>
  <c r="D2658" i="7"/>
  <c r="E2658" i="7" l="1"/>
  <c r="C2660" i="7"/>
  <c r="D2659" i="7"/>
  <c r="F2659" i="7" s="1"/>
  <c r="F2658" i="7"/>
  <c r="E2659" i="7" s="1"/>
  <c r="C2661" i="7" l="1"/>
  <c r="D2660" i="7"/>
  <c r="E2660" i="7" l="1"/>
  <c r="C2662" i="7"/>
  <c r="D2661" i="7"/>
  <c r="F2661" i="7" s="1"/>
  <c r="F2660" i="7"/>
  <c r="E2661" i="7" s="1"/>
  <c r="C2663" i="7" l="1"/>
  <c r="D2662" i="7"/>
  <c r="E2662" i="7" l="1"/>
  <c r="C2664" i="7"/>
  <c r="D2663" i="7"/>
  <c r="F2663" i="7" s="1"/>
  <c r="F2662" i="7"/>
  <c r="E2663" i="7" s="1"/>
  <c r="C2665" i="7" l="1"/>
  <c r="D2664" i="7"/>
  <c r="E2664" i="7" l="1"/>
  <c r="C2666" i="7"/>
  <c r="D2665" i="7"/>
  <c r="F2665" i="7" s="1"/>
  <c r="F2664" i="7"/>
  <c r="E2665" i="7" l="1"/>
  <c r="C2667" i="7"/>
  <c r="D2666" i="7"/>
  <c r="E2666" i="7" l="1"/>
  <c r="C2668" i="7"/>
  <c r="D2667" i="7"/>
  <c r="F2667" i="7" s="1"/>
  <c r="F2666" i="7"/>
  <c r="E2667" i="7" l="1"/>
  <c r="C2669" i="7"/>
  <c r="D2668" i="7"/>
  <c r="E2668" i="7" s="1"/>
  <c r="C2670" i="7" l="1"/>
  <c r="D2669" i="7"/>
  <c r="F2669" i="7" s="1"/>
  <c r="F2668" i="7"/>
  <c r="E2669" i="7" s="1"/>
  <c r="C2671" i="7" l="1"/>
  <c r="D2670" i="7"/>
  <c r="E2670" i="7" l="1"/>
  <c r="C2672" i="7"/>
  <c r="D2671" i="7"/>
  <c r="F2671" i="7" s="1"/>
  <c r="F2670" i="7"/>
  <c r="E2671" i="7" l="1"/>
  <c r="C2673" i="7"/>
  <c r="D2672" i="7"/>
  <c r="E2672" i="7" s="1"/>
  <c r="C2674" i="7" l="1"/>
  <c r="D2673" i="7"/>
  <c r="F2673" i="7" s="1"/>
  <c r="F2672" i="7"/>
  <c r="E2673" i="7" s="1"/>
  <c r="C2675" i="7" l="1"/>
  <c r="D2674" i="7"/>
  <c r="E2674" i="7" l="1"/>
  <c r="C2676" i="7"/>
  <c r="D2675" i="7"/>
  <c r="F2675" i="7" s="1"/>
  <c r="F2674" i="7"/>
  <c r="E2675" i="7" l="1"/>
  <c r="C2677" i="7"/>
  <c r="D2676" i="7"/>
  <c r="E2676" i="7" l="1"/>
  <c r="F2676" i="7"/>
  <c r="C2678" i="7"/>
  <c r="D2677" i="7"/>
  <c r="F2677" i="7" s="1"/>
  <c r="C2679" i="7" l="1"/>
  <c r="D2678" i="7"/>
  <c r="E2678" i="7" s="1"/>
  <c r="E2677" i="7"/>
  <c r="C2680" i="7" l="1"/>
  <c r="D2679" i="7"/>
  <c r="F2679" i="7" s="1"/>
  <c r="F2678" i="7"/>
  <c r="E2679" i="7" s="1"/>
  <c r="C2681" i="7" l="1"/>
  <c r="D2680" i="7"/>
  <c r="E2680" i="7" l="1"/>
  <c r="C2682" i="7"/>
  <c r="D2681" i="7"/>
  <c r="F2681" i="7" s="1"/>
  <c r="F2680" i="7"/>
  <c r="E2681" i="7" s="1"/>
  <c r="C2683" i="7" l="1"/>
  <c r="D2682" i="7"/>
  <c r="E2682" i="7" l="1"/>
  <c r="F2682" i="7"/>
  <c r="C2684" i="7"/>
  <c r="D2683" i="7"/>
  <c r="E2683" i="7" l="1"/>
  <c r="F2683" i="7"/>
  <c r="C2685" i="7"/>
  <c r="D2684" i="7"/>
  <c r="F2684" i="7" s="1"/>
  <c r="C2686" i="7" l="1"/>
  <c r="D2685" i="7"/>
  <c r="E2685" i="7" s="1"/>
  <c r="E2684" i="7"/>
  <c r="C2687" i="7" l="1"/>
  <c r="D2686" i="7"/>
  <c r="F2686" i="7" s="1"/>
  <c r="F2685" i="7"/>
  <c r="E2686" i="7" l="1"/>
  <c r="C2688" i="7"/>
  <c r="D2687" i="7"/>
  <c r="E2687" i="7" s="1"/>
  <c r="C2689" i="7" l="1"/>
  <c r="D2688" i="7"/>
  <c r="F2688" i="7" s="1"/>
  <c r="F2687" i="7"/>
  <c r="E2688" i="7" l="1"/>
  <c r="C2690" i="7"/>
  <c r="D2689" i="7"/>
  <c r="E2689" i="7" s="1"/>
  <c r="F2689" i="7" l="1"/>
  <c r="C2691" i="7"/>
  <c r="D2690" i="7"/>
  <c r="F2690" i="7" s="1"/>
  <c r="E2690" i="7" l="1"/>
  <c r="C2692" i="7"/>
  <c r="D2691" i="7"/>
  <c r="E2691" i="7" s="1"/>
  <c r="C2693" i="7" l="1"/>
  <c r="D2692" i="7"/>
  <c r="F2692" i="7" s="1"/>
  <c r="F2691" i="7"/>
  <c r="E2692" i="7" l="1"/>
  <c r="C2694" i="7"/>
  <c r="D2693" i="7"/>
  <c r="E2693" i="7" s="1"/>
  <c r="F2693" i="7" l="1"/>
  <c r="C2695" i="7"/>
  <c r="D2694" i="7"/>
  <c r="F2694" i="7" s="1"/>
  <c r="C2696" i="7" l="1"/>
  <c r="D2695" i="7"/>
  <c r="E2695" i="7" s="1"/>
  <c r="E2694" i="7"/>
  <c r="C2697" i="7" l="1"/>
  <c r="D2696" i="7"/>
  <c r="F2696" i="7" s="1"/>
  <c r="F2695" i="7"/>
  <c r="E2696" i="7" l="1"/>
  <c r="C2698" i="7"/>
  <c r="D2697" i="7"/>
  <c r="E2697" i="7" s="1"/>
  <c r="C2699" i="7" l="1"/>
  <c r="D2698" i="7"/>
  <c r="F2698" i="7" s="1"/>
  <c r="F2697" i="7"/>
  <c r="E2698" i="7" l="1"/>
  <c r="C2700" i="7"/>
  <c r="D2699" i="7"/>
  <c r="E2699" i="7" s="1"/>
  <c r="F2699" i="7" l="1"/>
  <c r="C2701" i="7"/>
  <c r="D2700" i="7"/>
  <c r="F2700" i="7" s="1"/>
  <c r="C2702" i="7" l="1"/>
  <c r="D2701" i="7"/>
  <c r="E2701" i="7" s="1"/>
  <c r="E2700" i="7"/>
  <c r="F2701" i="7" l="1"/>
  <c r="C2703" i="7"/>
  <c r="D2702" i="7"/>
  <c r="F2702" i="7" s="1"/>
  <c r="C2704" i="7" l="1"/>
  <c r="D2703" i="7"/>
  <c r="E2703" i="7" s="1"/>
  <c r="E2702" i="7"/>
  <c r="C2705" i="7" l="1"/>
  <c r="D2704" i="7"/>
  <c r="F2704" i="7" s="1"/>
  <c r="F2703" i="7"/>
  <c r="E2704" i="7" l="1"/>
  <c r="C2706" i="7"/>
  <c r="D2705" i="7"/>
  <c r="E2705" i="7" s="1"/>
  <c r="F2705" i="7" l="1"/>
  <c r="C2707" i="7"/>
  <c r="D2706" i="7"/>
  <c r="F2706" i="7" s="1"/>
  <c r="C2708" i="7" l="1"/>
  <c r="D2707" i="7"/>
  <c r="E2707" i="7" s="1"/>
  <c r="E2706" i="7"/>
  <c r="C2709" i="7" l="1"/>
  <c r="D2708" i="7"/>
  <c r="F2708" i="7" s="1"/>
  <c r="F2707" i="7"/>
  <c r="E2708" i="7" l="1"/>
  <c r="C2710" i="7"/>
  <c r="D2709" i="7"/>
  <c r="E2709" i="7" s="1"/>
  <c r="F2709" i="7" l="1"/>
  <c r="C2711" i="7"/>
  <c r="D2710" i="7"/>
  <c r="F2710" i="7" s="1"/>
  <c r="E2710" i="7" l="1"/>
  <c r="C2712" i="7"/>
  <c r="D2711" i="7"/>
  <c r="E2711" i="7" s="1"/>
  <c r="C2713" i="7" l="1"/>
  <c r="D2712" i="7"/>
  <c r="F2712" i="7" s="1"/>
  <c r="F2711" i="7"/>
  <c r="E2712" i="7" l="1"/>
  <c r="C2714" i="7"/>
  <c r="D2713" i="7"/>
  <c r="E2713" i="7" s="1"/>
  <c r="C2715" i="7" l="1"/>
  <c r="D2714" i="7"/>
  <c r="F2714" i="7" s="1"/>
  <c r="F2713" i="7"/>
  <c r="E2714" i="7" l="1"/>
  <c r="C2716" i="7"/>
  <c r="D2715" i="7"/>
  <c r="E2715" i="7" s="1"/>
  <c r="C2717" i="7" l="1"/>
  <c r="D2716" i="7"/>
  <c r="F2716" i="7" s="1"/>
  <c r="F2715" i="7"/>
  <c r="E2716" i="7" l="1"/>
  <c r="C2718" i="7"/>
  <c r="D2717" i="7"/>
  <c r="E2717" i="7" s="1"/>
  <c r="C2719" i="7" l="1"/>
  <c r="D2718" i="7"/>
  <c r="F2718" i="7" s="1"/>
  <c r="F2717" i="7"/>
  <c r="E2718" i="7" l="1"/>
  <c r="C2720" i="7"/>
  <c r="D2719" i="7"/>
  <c r="E2719" i="7" s="1"/>
  <c r="C2721" i="7" l="1"/>
  <c r="D2720" i="7"/>
  <c r="F2720" i="7" s="1"/>
  <c r="F2719" i="7"/>
  <c r="E2720" i="7" l="1"/>
  <c r="C2722" i="7"/>
  <c r="D2721" i="7"/>
  <c r="E2721" i="7" s="1"/>
  <c r="C2723" i="7" l="1"/>
  <c r="D2722" i="7"/>
  <c r="F2722" i="7" s="1"/>
  <c r="F2721" i="7"/>
  <c r="E2722" i="7" l="1"/>
  <c r="C2724" i="7"/>
  <c r="D2723" i="7"/>
  <c r="E2723" i="7" s="1"/>
  <c r="F2723" i="7" l="1"/>
  <c r="C2725" i="7"/>
  <c r="D2724" i="7"/>
  <c r="F2724" i="7" s="1"/>
  <c r="C2726" i="7" l="1"/>
  <c r="D2725" i="7"/>
  <c r="E2725" i="7" s="1"/>
  <c r="E2724" i="7"/>
  <c r="C2727" i="7" l="1"/>
  <c r="D2726" i="7"/>
  <c r="F2726" i="7" s="1"/>
  <c r="F2725" i="7"/>
  <c r="E2726" i="7" l="1"/>
  <c r="C2728" i="7"/>
  <c r="D2727" i="7"/>
  <c r="E2727" i="7" s="1"/>
  <c r="C2729" i="7" l="1"/>
  <c r="D2728" i="7"/>
  <c r="F2728" i="7" s="1"/>
  <c r="F2727" i="7"/>
  <c r="E2728" i="7" l="1"/>
  <c r="C2730" i="7"/>
  <c r="D2729" i="7"/>
  <c r="E2729" i="7" s="1"/>
  <c r="F2729" i="7" l="1"/>
  <c r="C2731" i="7"/>
  <c r="D2730" i="7"/>
  <c r="F2730" i="7" s="1"/>
  <c r="E2730" i="7" l="1"/>
  <c r="C2732" i="7"/>
  <c r="D2731" i="7"/>
  <c r="E2731" i="7" s="1"/>
  <c r="C2733" i="7" l="1"/>
  <c r="D2732" i="7"/>
  <c r="F2732" i="7" s="1"/>
  <c r="F2731" i="7"/>
  <c r="E2732" i="7" l="1"/>
  <c r="C2734" i="7"/>
  <c r="D2733" i="7"/>
  <c r="E2733" i="7" s="1"/>
  <c r="F2733" i="7" l="1"/>
  <c r="C2735" i="7"/>
  <c r="D2734" i="7"/>
  <c r="F2734" i="7" s="1"/>
  <c r="E2734" i="7" l="1"/>
  <c r="C2736" i="7"/>
  <c r="D2735" i="7"/>
  <c r="E2735" i="7" s="1"/>
  <c r="F2735" i="7" l="1"/>
  <c r="C2737" i="7"/>
  <c r="D2736" i="7"/>
  <c r="F2736" i="7" s="1"/>
  <c r="C2738" i="7" l="1"/>
  <c r="D2737" i="7"/>
  <c r="E2737" i="7" s="1"/>
  <c r="E2736" i="7"/>
  <c r="C2739" i="7" l="1"/>
  <c r="D2738" i="7"/>
  <c r="F2738" i="7" s="1"/>
  <c r="F2737" i="7"/>
  <c r="E2738" i="7" l="1"/>
  <c r="C2740" i="7"/>
  <c r="D2739" i="7"/>
  <c r="E2739" i="7" s="1"/>
  <c r="F2739" i="7" l="1"/>
  <c r="C2741" i="7"/>
  <c r="D2740" i="7"/>
  <c r="F2740" i="7" s="1"/>
  <c r="C2742" i="7" l="1"/>
  <c r="D2741" i="7"/>
  <c r="E2741" i="7" s="1"/>
  <c r="E2740" i="7"/>
  <c r="C2743" i="7" l="1"/>
  <c r="D2742" i="7"/>
  <c r="F2742" i="7" s="1"/>
  <c r="F2741" i="7"/>
  <c r="E2742" i="7" l="1"/>
  <c r="C2744" i="7"/>
  <c r="D2743" i="7"/>
  <c r="E2743" i="7" s="1"/>
  <c r="C2745" i="7" l="1"/>
  <c r="D2744" i="7"/>
  <c r="F2744" i="7" s="1"/>
  <c r="F2743" i="7"/>
  <c r="E2744" i="7" l="1"/>
  <c r="C2746" i="7"/>
  <c r="D2745" i="7"/>
  <c r="E2745" i="7" s="1"/>
  <c r="C2747" i="7" l="1"/>
  <c r="D2746" i="7"/>
  <c r="F2746" i="7" s="1"/>
  <c r="F2745" i="7"/>
  <c r="E2746" i="7" l="1"/>
  <c r="C2748" i="7"/>
  <c r="D2747" i="7"/>
  <c r="E2747" i="7" s="1"/>
  <c r="C2749" i="7" l="1"/>
  <c r="D2748" i="7"/>
  <c r="F2748" i="7" s="1"/>
  <c r="F2747" i="7"/>
  <c r="E2748" i="7" l="1"/>
  <c r="C2750" i="7"/>
  <c r="D2749" i="7"/>
  <c r="E2749" i="7" s="1"/>
  <c r="C2751" i="7" l="1"/>
  <c r="D2750" i="7"/>
  <c r="F2750" i="7" s="1"/>
  <c r="F2749" i="7"/>
  <c r="E2750" i="7" l="1"/>
  <c r="C2752" i="7"/>
  <c r="D2751" i="7"/>
  <c r="E2751" i="7" s="1"/>
  <c r="C2753" i="7" l="1"/>
  <c r="D2752" i="7"/>
  <c r="F2752" i="7" s="1"/>
  <c r="F2751" i="7"/>
  <c r="E2752" i="7" l="1"/>
  <c r="C2754" i="7"/>
  <c r="D2753" i="7"/>
  <c r="E2753" i="7" s="1"/>
  <c r="F2753" i="7" l="1"/>
  <c r="C2755" i="7"/>
  <c r="D2754" i="7"/>
  <c r="F2754" i="7" s="1"/>
  <c r="C2756" i="7" l="1"/>
  <c r="D2755" i="7"/>
  <c r="E2755" i="7" s="1"/>
  <c r="E2754" i="7"/>
  <c r="F2755" i="7" l="1"/>
  <c r="C2757" i="7"/>
  <c r="D2756" i="7"/>
  <c r="F2756" i="7" s="1"/>
  <c r="C2758" i="7" l="1"/>
  <c r="D2757" i="7"/>
  <c r="E2757" i="7" s="1"/>
  <c r="E2756" i="7"/>
  <c r="F2757" i="7" l="1"/>
  <c r="C2759" i="7"/>
  <c r="D2758" i="7"/>
  <c r="F2758" i="7" s="1"/>
  <c r="C2760" i="7" l="1"/>
  <c r="D2759" i="7"/>
  <c r="E2759" i="7" s="1"/>
  <c r="E2758" i="7"/>
  <c r="F2759" i="7" l="1"/>
  <c r="C2761" i="7"/>
  <c r="D2760" i="7"/>
  <c r="F2760" i="7" s="1"/>
  <c r="C2762" i="7" l="1"/>
  <c r="D2761" i="7"/>
  <c r="E2761" i="7" s="1"/>
  <c r="E2760" i="7"/>
  <c r="C2763" i="7" l="1"/>
  <c r="D2762" i="7"/>
  <c r="F2762" i="7" s="1"/>
  <c r="F2761" i="7"/>
  <c r="E2762" i="7" l="1"/>
  <c r="C2764" i="7"/>
  <c r="D2763" i="7"/>
  <c r="E2763" i="7" s="1"/>
  <c r="C2765" i="7" l="1"/>
  <c r="D2764" i="7"/>
  <c r="F2764" i="7" s="1"/>
  <c r="F2763" i="7"/>
  <c r="E2764" i="7" l="1"/>
  <c r="C2766" i="7"/>
  <c r="D2765" i="7"/>
  <c r="E2765" i="7" s="1"/>
  <c r="C2767" i="7" l="1"/>
  <c r="D2766" i="7"/>
  <c r="F2766" i="7" s="1"/>
  <c r="F2765" i="7"/>
  <c r="E2766" i="7" l="1"/>
  <c r="C2768" i="7"/>
  <c r="D2767" i="7"/>
  <c r="E2767" i="7" s="1"/>
  <c r="F2767" i="7" l="1"/>
  <c r="C2769" i="7"/>
  <c r="D2768" i="7"/>
  <c r="F2768" i="7" s="1"/>
  <c r="C2770" i="7" l="1"/>
  <c r="D2769" i="7"/>
  <c r="F2769" i="7" s="1"/>
  <c r="E2768" i="7"/>
  <c r="E2769" i="7" l="1"/>
  <c r="C2771" i="7"/>
  <c r="D2770" i="7"/>
  <c r="F2770" i="7" s="1"/>
  <c r="E2770" i="7" l="1"/>
  <c r="C2772" i="7"/>
  <c r="D2771" i="7"/>
  <c r="F2771" i="7" s="1"/>
  <c r="E2771" i="7" l="1"/>
  <c r="C2773" i="7"/>
  <c r="D2772" i="7"/>
  <c r="F2772" i="7" s="1"/>
  <c r="E2772" i="7" l="1"/>
  <c r="C2774" i="7"/>
  <c r="D2773" i="7"/>
  <c r="E2773" i="7" s="1"/>
  <c r="F2773" i="7" l="1"/>
  <c r="C2775" i="7"/>
  <c r="D2774" i="7"/>
  <c r="F2774" i="7" s="1"/>
  <c r="E2774" i="7" l="1"/>
  <c r="C2776" i="7"/>
  <c r="D2775" i="7"/>
  <c r="E2775" i="7" s="1"/>
  <c r="F2775" i="7" l="1"/>
  <c r="C2777" i="7"/>
  <c r="D2776" i="7"/>
  <c r="F2776" i="7" s="1"/>
  <c r="C2778" i="7" l="1"/>
  <c r="D2777" i="7"/>
  <c r="E2777" i="7" s="1"/>
  <c r="E2776" i="7"/>
  <c r="F2777" i="7" l="1"/>
  <c r="C2779" i="7"/>
  <c r="D2778" i="7"/>
  <c r="F2778" i="7" s="1"/>
  <c r="C2780" i="7" l="1"/>
  <c r="D2779" i="7"/>
  <c r="E2779" i="7" s="1"/>
  <c r="E2778" i="7"/>
  <c r="C2781" i="7" l="1"/>
  <c r="D2780" i="7"/>
  <c r="F2780" i="7" s="1"/>
  <c r="F2779" i="7"/>
  <c r="E2780" i="7" l="1"/>
  <c r="C2782" i="7"/>
  <c r="D2781" i="7"/>
  <c r="E2781" i="7" s="1"/>
  <c r="C2783" i="7" l="1"/>
  <c r="D2782" i="7"/>
  <c r="F2782" i="7" s="1"/>
  <c r="F2781" i="7"/>
  <c r="E2782" i="7" l="1"/>
  <c r="C2784" i="7"/>
  <c r="D2783" i="7"/>
  <c r="E2783" i="7" s="1"/>
  <c r="C2785" i="7" l="1"/>
  <c r="D2784" i="7"/>
  <c r="F2784" i="7" s="1"/>
  <c r="F2783" i="7"/>
  <c r="E2784" i="7" l="1"/>
  <c r="C2786" i="7"/>
  <c r="D2785" i="7"/>
  <c r="E2785" i="7" s="1"/>
  <c r="C2787" i="7" l="1"/>
  <c r="D2786" i="7"/>
  <c r="F2786" i="7" s="1"/>
  <c r="F2785" i="7"/>
  <c r="E2786" i="7" l="1"/>
  <c r="C2788" i="7"/>
  <c r="D2787" i="7"/>
  <c r="E2787" i="7" s="1"/>
  <c r="C2789" i="7" l="1"/>
  <c r="D2788" i="7"/>
  <c r="F2788" i="7" s="1"/>
  <c r="F2787" i="7"/>
  <c r="E2788" i="7" l="1"/>
  <c r="C2790" i="7"/>
  <c r="D2789" i="7"/>
  <c r="E2789" i="7" s="1"/>
  <c r="F2789" i="7" l="1"/>
  <c r="C2791" i="7"/>
  <c r="D2790" i="7"/>
  <c r="F2790" i="7" s="1"/>
  <c r="C2792" i="7" l="1"/>
  <c r="D2791" i="7"/>
  <c r="E2791" i="7" s="1"/>
  <c r="E2790" i="7"/>
  <c r="F2791" i="7" l="1"/>
  <c r="C2793" i="7"/>
  <c r="D2792" i="7"/>
  <c r="E2792" i="7" l="1"/>
  <c r="F2792" i="7"/>
  <c r="C2794" i="7"/>
  <c r="D2793" i="7"/>
  <c r="F2793" i="7" s="1"/>
  <c r="E2793" i="7" l="1"/>
  <c r="C2795" i="7"/>
  <c r="D2794" i="7"/>
  <c r="E2794" i="7" s="1"/>
  <c r="F2794" i="7" l="1"/>
  <c r="C2796" i="7"/>
  <c r="D2795" i="7"/>
  <c r="F2795" i="7" s="1"/>
  <c r="C2797" i="7" l="1"/>
  <c r="D2796" i="7"/>
  <c r="E2796" i="7" s="1"/>
  <c r="E2795" i="7"/>
  <c r="C2798" i="7" l="1"/>
  <c r="D2797" i="7"/>
  <c r="F2797" i="7" s="1"/>
  <c r="F2796" i="7"/>
  <c r="E2797" i="7" s="1"/>
  <c r="C2799" i="7" l="1"/>
  <c r="D2798" i="7"/>
  <c r="E2798" i="7" l="1"/>
  <c r="F2798" i="7"/>
  <c r="C2800" i="7"/>
  <c r="D2799" i="7"/>
  <c r="E2799" i="7" l="1"/>
  <c r="F2799" i="7"/>
  <c r="C2801" i="7"/>
  <c r="D2800" i="7"/>
  <c r="F2800" i="7" s="1"/>
  <c r="C2802" i="7" l="1"/>
  <c r="D2801" i="7"/>
  <c r="E2801" i="7" s="1"/>
  <c r="E2800" i="7"/>
  <c r="C2803" i="7" l="1"/>
  <c r="D2802" i="7"/>
  <c r="F2802" i="7" s="1"/>
  <c r="F2801" i="7"/>
  <c r="E2802" i="7" l="1"/>
  <c r="C2804" i="7"/>
  <c r="D2803" i="7"/>
  <c r="E2803" i="7" s="1"/>
  <c r="C2805" i="7" l="1"/>
  <c r="D2804" i="7"/>
  <c r="F2804" i="7" s="1"/>
  <c r="F2803" i="7"/>
  <c r="E2804" i="7" l="1"/>
  <c r="C2806" i="7"/>
  <c r="D2805" i="7"/>
  <c r="E2805" i="7" s="1"/>
  <c r="F2805" i="7" l="1"/>
  <c r="C2807" i="7"/>
  <c r="D2806" i="7"/>
  <c r="F2806" i="7" s="1"/>
  <c r="E2806" i="7" l="1"/>
  <c r="C2808" i="7"/>
  <c r="D2807" i="7"/>
  <c r="E2807" i="7" s="1"/>
  <c r="C2809" i="7" l="1"/>
  <c r="D2808" i="7"/>
  <c r="F2808" i="7" s="1"/>
  <c r="F2807" i="7"/>
  <c r="E2808" i="7" l="1"/>
  <c r="C2810" i="7"/>
  <c r="D2809" i="7"/>
  <c r="E2809" i="7" s="1"/>
  <c r="C2811" i="7" l="1"/>
  <c r="D2810" i="7"/>
  <c r="F2810" i="7" s="1"/>
  <c r="F2809" i="7"/>
  <c r="E2810" i="7" l="1"/>
  <c r="C2812" i="7"/>
  <c r="D2811" i="7"/>
  <c r="E2811" i="7" s="1"/>
  <c r="C2813" i="7" l="1"/>
  <c r="D2812" i="7"/>
  <c r="F2812" i="7" s="1"/>
  <c r="F2811" i="7"/>
  <c r="E2812" i="7" l="1"/>
  <c r="C2814" i="7"/>
  <c r="D2813" i="7"/>
  <c r="E2813" i="7" s="1"/>
  <c r="F2813" i="7" l="1"/>
  <c r="C2815" i="7"/>
  <c r="D2814" i="7"/>
  <c r="F2814" i="7" s="1"/>
  <c r="C2816" i="7" l="1"/>
  <c r="D2815" i="7"/>
  <c r="E2815" i="7" s="1"/>
  <c r="E2814" i="7"/>
  <c r="C2817" i="7" l="1"/>
  <c r="D2816" i="7"/>
  <c r="F2816" i="7" s="1"/>
  <c r="F2815" i="7"/>
  <c r="E2816" i="7" l="1"/>
  <c r="C2818" i="7"/>
  <c r="D2817" i="7"/>
  <c r="E2817" i="7" s="1"/>
  <c r="F2817" i="7" l="1"/>
  <c r="C2819" i="7"/>
  <c r="D2818" i="7"/>
  <c r="F2818" i="7" s="1"/>
  <c r="C2820" i="7" l="1"/>
  <c r="D2819" i="7"/>
  <c r="E2819" i="7" s="1"/>
  <c r="E2818" i="7"/>
  <c r="C2821" i="7" l="1"/>
  <c r="D2820" i="7"/>
  <c r="F2820" i="7" s="1"/>
  <c r="F2819" i="7"/>
  <c r="E2820" i="7" l="1"/>
  <c r="C2822" i="7"/>
  <c r="D2821" i="7"/>
  <c r="E2821" i="7" s="1"/>
  <c r="C2823" i="7" l="1"/>
  <c r="D2822" i="7"/>
  <c r="F2822" i="7" s="1"/>
  <c r="F2821" i="7"/>
  <c r="E2822" i="7" l="1"/>
  <c r="C2824" i="7"/>
  <c r="D2823" i="7"/>
  <c r="E2823" i="7" s="1"/>
  <c r="F2823" i="7" l="1"/>
  <c r="C2825" i="7"/>
  <c r="D2824" i="7"/>
  <c r="F2824" i="7" s="1"/>
  <c r="E2824" i="7" l="1"/>
  <c r="C2826" i="7"/>
  <c r="D2825" i="7"/>
  <c r="E2825" i="7" s="1"/>
  <c r="C2827" i="7" l="1"/>
  <c r="D2826" i="7"/>
  <c r="F2826" i="7" s="1"/>
  <c r="F2825" i="7"/>
  <c r="E2826" i="7" l="1"/>
  <c r="C2828" i="7"/>
  <c r="D2827" i="7"/>
  <c r="E2827" i="7" s="1"/>
  <c r="C2829" i="7" l="1"/>
  <c r="D2828" i="7"/>
  <c r="F2828" i="7" s="1"/>
  <c r="F2827" i="7"/>
  <c r="E2828" i="7" l="1"/>
  <c r="C2830" i="7"/>
  <c r="D2829" i="7"/>
  <c r="E2829" i="7" s="1"/>
  <c r="C2831" i="7" l="1"/>
  <c r="D2830" i="7"/>
  <c r="F2830" i="7" s="1"/>
  <c r="F2829" i="7"/>
  <c r="E2830" i="7" l="1"/>
  <c r="C2832" i="7"/>
  <c r="D2831" i="7"/>
  <c r="E2831" i="7" s="1"/>
  <c r="C2833" i="7" l="1"/>
  <c r="D2832" i="7"/>
  <c r="F2832" i="7" s="1"/>
  <c r="F2831" i="7"/>
  <c r="E2832" i="7" l="1"/>
  <c r="C2834" i="7"/>
  <c r="D2833" i="7"/>
  <c r="E2833" i="7" s="1"/>
  <c r="F2833" i="7" l="1"/>
  <c r="C2835" i="7"/>
  <c r="D2834" i="7"/>
  <c r="F2834" i="7" s="1"/>
  <c r="C2836" i="7" l="1"/>
  <c r="D2835" i="7"/>
  <c r="E2835" i="7" s="1"/>
  <c r="E2834" i="7"/>
  <c r="F2835" i="7" l="1"/>
  <c r="C2837" i="7"/>
  <c r="D2836" i="7"/>
  <c r="F2836" i="7" s="1"/>
  <c r="E2836" i="7" l="1"/>
  <c r="C2838" i="7"/>
  <c r="D2837" i="7"/>
  <c r="E2837" i="7" s="1"/>
  <c r="C2839" i="7" l="1"/>
  <c r="D2838" i="7"/>
  <c r="F2838" i="7" s="1"/>
  <c r="F2837" i="7"/>
  <c r="E2838" i="7" l="1"/>
  <c r="C2840" i="7"/>
  <c r="D2839" i="7"/>
  <c r="E2839" i="7" s="1"/>
  <c r="C2841" i="7" l="1"/>
  <c r="D2840" i="7"/>
  <c r="F2840" i="7" s="1"/>
  <c r="F2839" i="7"/>
  <c r="E2840" i="7" l="1"/>
  <c r="C2842" i="7"/>
  <c r="D2841" i="7"/>
  <c r="E2841" i="7" s="1"/>
  <c r="C2843" i="7" l="1"/>
  <c r="D2842" i="7"/>
  <c r="F2842" i="7" s="1"/>
  <c r="F2841" i="7"/>
  <c r="E2842" i="7" l="1"/>
  <c r="C2844" i="7"/>
  <c r="D2843" i="7"/>
  <c r="E2843" i="7" s="1"/>
  <c r="F2843" i="7" l="1"/>
  <c r="C2845" i="7"/>
  <c r="D2844" i="7"/>
  <c r="F2844" i="7" s="1"/>
  <c r="C2846" i="7" l="1"/>
  <c r="D2845" i="7"/>
  <c r="E2845" i="7" s="1"/>
  <c r="E2844" i="7"/>
  <c r="C2847" i="7" l="1"/>
  <c r="D2846" i="7"/>
  <c r="F2846" i="7" s="1"/>
  <c r="F2845" i="7"/>
  <c r="E2846" i="7" l="1"/>
  <c r="C2848" i="7"/>
  <c r="D2847" i="7"/>
  <c r="E2847" i="7" s="1"/>
  <c r="F2847" i="7" l="1"/>
  <c r="C2849" i="7"/>
  <c r="D2848" i="7"/>
  <c r="F2848" i="7" s="1"/>
  <c r="C2850" i="7" l="1"/>
  <c r="D2849" i="7"/>
  <c r="E2849" i="7" s="1"/>
  <c r="E2848" i="7"/>
  <c r="C2851" i="7" l="1"/>
  <c r="D2850" i="7"/>
  <c r="F2850" i="7" s="1"/>
  <c r="F2849" i="7"/>
  <c r="E2850" i="7" l="1"/>
  <c r="C2852" i="7"/>
  <c r="D2851" i="7"/>
  <c r="E2851" i="7" s="1"/>
  <c r="C2853" i="7" l="1"/>
  <c r="D2852" i="7"/>
  <c r="F2852" i="7" s="1"/>
  <c r="F2851" i="7"/>
  <c r="E2852" i="7" l="1"/>
  <c r="C2854" i="7"/>
  <c r="D2853" i="7"/>
  <c r="E2853" i="7" s="1"/>
  <c r="C2855" i="7" l="1"/>
  <c r="D2854" i="7"/>
  <c r="F2854" i="7" s="1"/>
  <c r="F2853" i="7"/>
  <c r="E2854" i="7" l="1"/>
  <c r="C2856" i="7"/>
  <c r="D2855" i="7"/>
  <c r="E2855" i="7" s="1"/>
  <c r="C2857" i="7" l="1"/>
  <c r="D2856" i="7"/>
  <c r="F2856" i="7" s="1"/>
  <c r="F2855" i="7"/>
  <c r="E2856" i="7" l="1"/>
  <c r="C2858" i="7"/>
  <c r="D2857" i="7"/>
  <c r="E2857" i="7" s="1"/>
  <c r="C2859" i="7" l="1"/>
  <c r="D2858" i="7"/>
  <c r="F2858" i="7" s="1"/>
  <c r="F2857" i="7"/>
  <c r="E2858" i="7" l="1"/>
  <c r="C2860" i="7"/>
  <c r="D2859" i="7"/>
  <c r="E2859" i="7" s="1"/>
  <c r="C2861" i="7" l="1"/>
  <c r="D2860" i="7"/>
  <c r="F2860" i="7" s="1"/>
  <c r="F2859" i="7"/>
  <c r="E2860" i="7" l="1"/>
  <c r="C2862" i="7"/>
  <c r="D2861" i="7"/>
  <c r="E2861" i="7" s="1"/>
  <c r="C2863" i="7" l="1"/>
  <c r="D2862" i="7"/>
  <c r="F2862" i="7" s="1"/>
  <c r="F2861" i="7"/>
  <c r="E2862" i="7" l="1"/>
  <c r="C2864" i="7"/>
  <c r="D2863" i="7"/>
  <c r="E2863" i="7" s="1"/>
  <c r="C2865" i="7" l="1"/>
  <c r="D2864" i="7"/>
  <c r="F2864" i="7" s="1"/>
  <c r="F2863" i="7"/>
  <c r="E2864" i="7" l="1"/>
  <c r="C2866" i="7"/>
  <c r="D2865" i="7"/>
  <c r="E2865" i="7" s="1"/>
  <c r="C2867" i="7" l="1"/>
  <c r="D2866" i="7"/>
  <c r="F2866" i="7" s="1"/>
  <c r="F2865" i="7"/>
  <c r="E2866" i="7" l="1"/>
  <c r="C2868" i="7"/>
  <c r="D2867" i="7"/>
  <c r="E2867" i="7" s="1"/>
  <c r="C2869" i="7" l="1"/>
  <c r="D2868" i="7"/>
  <c r="F2868" i="7" s="1"/>
  <c r="F2867" i="7"/>
  <c r="E2868" i="7" l="1"/>
  <c r="C2870" i="7"/>
  <c r="D2869" i="7"/>
  <c r="E2869" i="7" s="1"/>
  <c r="C2871" i="7" l="1"/>
  <c r="D2870" i="7"/>
  <c r="F2870" i="7" s="1"/>
  <c r="F2869" i="7"/>
  <c r="E2870" i="7" l="1"/>
  <c r="C2872" i="7"/>
  <c r="D2871" i="7"/>
  <c r="E2871" i="7" s="1"/>
  <c r="F2871" i="7" l="1"/>
  <c r="C2873" i="7"/>
  <c r="D2872" i="7"/>
  <c r="F2872" i="7" s="1"/>
  <c r="C2874" i="7" l="1"/>
  <c r="D2873" i="7"/>
  <c r="E2873" i="7" s="1"/>
  <c r="E2872" i="7"/>
  <c r="F2873" i="7" l="1"/>
  <c r="C2875" i="7"/>
  <c r="D2874" i="7"/>
  <c r="F2874" i="7" s="1"/>
  <c r="E2874" i="7" l="1"/>
  <c r="C2876" i="7"/>
  <c r="D2875" i="7"/>
  <c r="E2875" i="7" s="1"/>
  <c r="F2875" i="7" l="1"/>
  <c r="C2877" i="7"/>
  <c r="D2876" i="7"/>
  <c r="F2876" i="7" s="1"/>
  <c r="C2878" i="7" l="1"/>
  <c r="D2877" i="7"/>
  <c r="E2877" i="7" s="1"/>
  <c r="E2876" i="7"/>
  <c r="F2877" i="7" l="1"/>
  <c r="C2879" i="7"/>
  <c r="D2878" i="7"/>
  <c r="F2878" i="7" s="1"/>
  <c r="E2878" i="7" l="1"/>
  <c r="C2880" i="7"/>
  <c r="D2879" i="7"/>
  <c r="E2879" i="7" s="1"/>
  <c r="F2879" i="7" l="1"/>
  <c r="C2881" i="7"/>
  <c r="D2880" i="7"/>
  <c r="F2880" i="7" s="1"/>
  <c r="E2880" i="7" l="1"/>
  <c r="C2882" i="7"/>
  <c r="D2881" i="7"/>
  <c r="E2881" i="7" s="1"/>
  <c r="C2883" i="7" l="1"/>
  <c r="D2882" i="7"/>
  <c r="F2882" i="7" s="1"/>
  <c r="F2881" i="7"/>
  <c r="E2882" i="7" l="1"/>
  <c r="C2884" i="7"/>
  <c r="D2883" i="7"/>
  <c r="E2883" i="7" s="1"/>
  <c r="F2883" i="7" l="1"/>
  <c r="C2885" i="7"/>
  <c r="D2884" i="7"/>
  <c r="F2884" i="7" s="1"/>
  <c r="C2886" i="7" l="1"/>
  <c r="D2885" i="7"/>
  <c r="F2885" i="7" s="1"/>
  <c r="E2884" i="7"/>
  <c r="E2885" i="7" l="1"/>
  <c r="C2887" i="7"/>
  <c r="D2886" i="7"/>
  <c r="E2886" i="7" s="1"/>
  <c r="F2886" i="7" l="1"/>
  <c r="C2888" i="7"/>
  <c r="D2887" i="7"/>
  <c r="F2887" i="7" s="1"/>
  <c r="C2889" i="7" l="1"/>
  <c r="D2888" i="7"/>
  <c r="E2888" i="7" s="1"/>
  <c r="E2887" i="7"/>
  <c r="F2888" i="7" l="1"/>
  <c r="C2890" i="7"/>
  <c r="D2889" i="7"/>
  <c r="F2889" i="7" s="1"/>
  <c r="C2891" i="7" l="1"/>
  <c r="D2890" i="7"/>
  <c r="E2890" i="7" s="1"/>
  <c r="E2889" i="7"/>
  <c r="F2890" i="7" l="1"/>
  <c r="C2892" i="7"/>
  <c r="D2891" i="7"/>
  <c r="F2891" i="7" s="1"/>
  <c r="C2893" i="7" l="1"/>
  <c r="D2892" i="7"/>
  <c r="E2892" i="7" s="1"/>
  <c r="E2891" i="7"/>
  <c r="F2892" i="7" l="1"/>
  <c r="C2894" i="7"/>
  <c r="D2893" i="7"/>
  <c r="F2893" i="7" s="1"/>
  <c r="C2895" i="7" l="1"/>
  <c r="D2894" i="7"/>
  <c r="E2894" i="7" s="1"/>
  <c r="E2893" i="7"/>
  <c r="F2894" i="7" l="1"/>
  <c r="C2896" i="7"/>
  <c r="D2895" i="7"/>
  <c r="F2895" i="7" s="1"/>
  <c r="C2897" i="7" l="1"/>
  <c r="D2896" i="7"/>
  <c r="E2896" i="7" s="1"/>
  <c r="E2895" i="7"/>
  <c r="C2898" i="7" l="1"/>
  <c r="D2897" i="7"/>
  <c r="F2897" i="7" s="1"/>
  <c r="F2896" i="7"/>
  <c r="E2897" i="7" l="1"/>
  <c r="C2899" i="7"/>
  <c r="D2898" i="7"/>
  <c r="E2898" i="7" s="1"/>
  <c r="C2900" i="7" l="1"/>
  <c r="D2899" i="7"/>
  <c r="F2899" i="7" s="1"/>
  <c r="F2898" i="7"/>
  <c r="E2899" i="7" l="1"/>
  <c r="C2901" i="7"/>
  <c r="D2900" i="7"/>
  <c r="E2900" i="7" s="1"/>
  <c r="F2900" i="7" l="1"/>
  <c r="C2902" i="7"/>
  <c r="D2901" i="7"/>
  <c r="F2901" i="7" s="1"/>
  <c r="C2903" i="7" l="1"/>
  <c r="D2902" i="7"/>
  <c r="E2902" i="7" s="1"/>
  <c r="E2901" i="7"/>
  <c r="F2902" i="7" l="1"/>
  <c r="C2904" i="7"/>
  <c r="D2903" i="7"/>
  <c r="F2903" i="7" s="1"/>
  <c r="C2905" i="7" l="1"/>
  <c r="D2904" i="7"/>
  <c r="E2904" i="7" s="1"/>
  <c r="E2903" i="7"/>
  <c r="C2906" i="7" l="1"/>
  <c r="D2905" i="7"/>
  <c r="F2905" i="7" s="1"/>
  <c r="F2904" i="7"/>
  <c r="E2905" i="7" s="1"/>
  <c r="C2907" i="7" l="1"/>
  <c r="D2906" i="7"/>
  <c r="E2906" i="7" l="1"/>
  <c r="F2906" i="7"/>
  <c r="C2908" i="7"/>
  <c r="D2907" i="7"/>
  <c r="F2907" i="7" s="1"/>
  <c r="C2909" i="7" l="1"/>
  <c r="D2908" i="7"/>
  <c r="E2908" i="7" s="1"/>
  <c r="E2907" i="7"/>
  <c r="F2908" i="7" l="1"/>
  <c r="C2910" i="7"/>
  <c r="D2909" i="7"/>
  <c r="F2909" i="7" s="1"/>
  <c r="C2911" i="7" l="1"/>
  <c r="D2910" i="7"/>
  <c r="E2910" i="7" s="1"/>
  <c r="E2909" i="7"/>
  <c r="F2910" i="7" l="1"/>
  <c r="C2912" i="7"/>
  <c r="D2911" i="7"/>
  <c r="F2911" i="7" s="1"/>
  <c r="C2913" i="7" l="1"/>
  <c r="D2912" i="7"/>
  <c r="E2912" i="7" s="1"/>
  <c r="E2911" i="7"/>
  <c r="F2912" i="7" l="1"/>
  <c r="C2914" i="7"/>
  <c r="D2913" i="7"/>
  <c r="F2913" i="7" s="1"/>
  <c r="C2915" i="7" l="1"/>
  <c r="D2914" i="7"/>
  <c r="F2914" i="7" s="1"/>
  <c r="E2913" i="7"/>
  <c r="E2914" i="7" l="1"/>
  <c r="C2916" i="7"/>
  <c r="D2915" i="7"/>
  <c r="E2915" i="7" s="1"/>
  <c r="F2915" i="7" l="1"/>
  <c r="C2917" i="7"/>
  <c r="D2916" i="7"/>
  <c r="E2916" i="7" l="1"/>
  <c r="F2916" i="7"/>
  <c r="C2918" i="7"/>
  <c r="D2917" i="7"/>
  <c r="F2917" i="7" s="1"/>
  <c r="C2919" i="7" l="1"/>
  <c r="D2918" i="7"/>
  <c r="E2918" i="7" s="1"/>
  <c r="E2917" i="7"/>
  <c r="F2918" i="7" l="1"/>
  <c r="C2920" i="7"/>
  <c r="D2919" i="7"/>
  <c r="F2919" i="7" s="1"/>
  <c r="E2919" i="7" l="1"/>
  <c r="C2921" i="7"/>
  <c r="D2920" i="7"/>
  <c r="E2920" i="7" s="1"/>
  <c r="F2920" i="7" l="1"/>
  <c r="C2922" i="7"/>
  <c r="D2921" i="7"/>
  <c r="F2921" i="7" s="1"/>
  <c r="C2923" i="7" l="1"/>
  <c r="D2922" i="7"/>
  <c r="E2922" i="7" s="1"/>
  <c r="E2921" i="7"/>
  <c r="F2922" i="7" l="1"/>
  <c r="C2924" i="7"/>
  <c r="D2923" i="7"/>
  <c r="F2923" i="7" s="1"/>
  <c r="C2925" i="7" l="1"/>
  <c r="D2924" i="7"/>
  <c r="E2924" i="7" s="1"/>
  <c r="E2923" i="7"/>
  <c r="F2924" i="7" l="1"/>
  <c r="C2926" i="7"/>
  <c r="D2925" i="7"/>
  <c r="F2925" i="7" s="1"/>
  <c r="C2927" i="7" l="1"/>
  <c r="D2926" i="7"/>
  <c r="E2926" i="7" s="1"/>
  <c r="E2925" i="7"/>
  <c r="F2926" i="7" l="1"/>
  <c r="C2928" i="7"/>
  <c r="D2927" i="7"/>
  <c r="E2927" i="7" l="1"/>
  <c r="F2927" i="7"/>
  <c r="C2929" i="7"/>
  <c r="D2928" i="7"/>
  <c r="F2928" i="7" s="1"/>
  <c r="C2930" i="7" l="1"/>
  <c r="D2929" i="7"/>
  <c r="E2929" i="7" s="1"/>
  <c r="E2928" i="7"/>
  <c r="C2931" i="7" l="1"/>
  <c r="D2930" i="7"/>
  <c r="F2930" i="7" s="1"/>
  <c r="F2929" i="7"/>
  <c r="E2930" i="7" l="1"/>
  <c r="C2932" i="7"/>
  <c r="D2931" i="7"/>
  <c r="E2931" i="7" s="1"/>
  <c r="F2931" i="7" l="1"/>
  <c r="C2933" i="7"/>
  <c r="D2932" i="7"/>
  <c r="F2932" i="7" s="1"/>
  <c r="C2934" i="7" l="1"/>
  <c r="D2933" i="7"/>
  <c r="E2933" i="7" s="1"/>
  <c r="E2932" i="7"/>
  <c r="F2933" i="7" l="1"/>
  <c r="C2935" i="7"/>
  <c r="D2934" i="7"/>
  <c r="F2934" i="7" s="1"/>
  <c r="C2936" i="7" l="1"/>
  <c r="D2935" i="7"/>
  <c r="E2935" i="7" s="1"/>
  <c r="E2934" i="7"/>
  <c r="F2935" i="7" l="1"/>
  <c r="C2937" i="7"/>
  <c r="D2936" i="7"/>
  <c r="F2936" i="7" s="1"/>
  <c r="C2938" i="7" l="1"/>
  <c r="D2937" i="7"/>
  <c r="E2937" i="7" s="1"/>
  <c r="E2936" i="7"/>
  <c r="F2937" i="7" l="1"/>
  <c r="C2939" i="7"/>
  <c r="D2938" i="7"/>
  <c r="F2938" i="7" s="1"/>
  <c r="C2940" i="7" l="1"/>
  <c r="D2939" i="7"/>
  <c r="E2939" i="7" s="1"/>
  <c r="E2938" i="7"/>
  <c r="F2939" i="7" l="1"/>
  <c r="C2941" i="7"/>
  <c r="D2940" i="7"/>
  <c r="F2940" i="7" s="1"/>
  <c r="C2942" i="7" l="1"/>
  <c r="D2941" i="7"/>
  <c r="E2941" i="7" s="1"/>
  <c r="E2940" i="7"/>
  <c r="F2941" i="7" l="1"/>
  <c r="C2943" i="7"/>
  <c r="D2942" i="7"/>
  <c r="F2942" i="7" s="1"/>
  <c r="C2944" i="7" l="1"/>
  <c r="D2943" i="7"/>
  <c r="E2943" i="7" s="1"/>
  <c r="E2942" i="7"/>
  <c r="F2943" i="7" l="1"/>
  <c r="C2945" i="7"/>
  <c r="D2944" i="7"/>
  <c r="F2944" i="7" s="1"/>
  <c r="C2946" i="7" l="1"/>
  <c r="D2945" i="7"/>
  <c r="E2945" i="7" s="1"/>
  <c r="E2944" i="7"/>
  <c r="F2945" i="7" l="1"/>
  <c r="C2947" i="7"/>
  <c r="D2946" i="7"/>
  <c r="F2946" i="7" s="1"/>
  <c r="E2946" i="7" l="1"/>
  <c r="C2948" i="7"/>
  <c r="D2947" i="7"/>
  <c r="E2947" i="7" s="1"/>
  <c r="C2949" i="7" l="1"/>
  <c r="D2948" i="7"/>
  <c r="F2948" i="7" s="1"/>
  <c r="F2947" i="7"/>
  <c r="E2948" i="7" l="1"/>
  <c r="C2950" i="7"/>
  <c r="D2949" i="7"/>
  <c r="E2949" i="7" s="1"/>
  <c r="F2949" i="7" l="1"/>
  <c r="C2951" i="7"/>
  <c r="D2950" i="7"/>
  <c r="F2950" i="7" s="1"/>
  <c r="E2950" i="7" l="1"/>
  <c r="C2952" i="7"/>
  <c r="D2951" i="7"/>
  <c r="E2951" i="7" s="1"/>
  <c r="F2951" i="7" l="1"/>
  <c r="C2953" i="7"/>
  <c r="D2952" i="7"/>
  <c r="F2952" i="7" s="1"/>
  <c r="E2952" i="7" l="1"/>
  <c r="C2954" i="7"/>
  <c r="D2953" i="7"/>
  <c r="E2953" i="7" s="1"/>
  <c r="F2953" i="7" l="1"/>
  <c r="C2955" i="7"/>
  <c r="D2954" i="7"/>
  <c r="F2954" i="7" s="1"/>
  <c r="C2956" i="7" l="1"/>
  <c r="D2955" i="7"/>
  <c r="E2955" i="7" s="1"/>
  <c r="E2954" i="7"/>
  <c r="F2955" i="7" l="1"/>
  <c r="C2957" i="7"/>
  <c r="D2956" i="7"/>
  <c r="F2956" i="7" s="1"/>
  <c r="C2958" i="7" l="1"/>
  <c r="D2957" i="7"/>
  <c r="E2957" i="7" s="1"/>
  <c r="E2956" i="7"/>
  <c r="F2957" i="7" l="1"/>
  <c r="C2959" i="7"/>
  <c r="D2958" i="7"/>
  <c r="F2958" i="7" s="1"/>
  <c r="C2960" i="7" l="1"/>
  <c r="D2959" i="7"/>
  <c r="E2959" i="7" s="1"/>
  <c r="E2958" i="7"/>
  <c r="C2961" i="7" l="1"/>
  <c r="D2960" i="7"/>
  <c r="F2960" i="7" s="1"/>
  <c r="F2959" i="7"/>
  <c r="E2960" i="7" l="1"/>
  <c r="C2962" i="7"/>
  <c r="D2961" i="7"/>
  <c r="E2961" i="7" s="1"/>
  <c r="F2961" i="7" l="1"/>
  <c r="C2963" i="7"/>
  <c r="D2962" i="7"/>
  <c r="F2962" i="7" s="1"/>
  <c r="C2964" i="7" l="1"/>
  <c r="D2963" i="7"/>
  <c r="E2963" i="7" s="1"/>
  <c r="E2962" i="7"/>
  <c r="F2963" i="7" l="1"/>
  <c r="C2965" i="7"/>
  <c r="D2964" i="7"/>
  <c r="F2964" i="7" s="1"/>
  <c r="E2964" i="7" l="1"/>
  <c r="C2966" i="7"/>
  <c r="D2965" i="7"/>
  <c r="E2965" i="7" s="1"/>
  <c r="F2965" i="7" l="1"/>
  <c r="C2967" i="7"/>
  <c r="D2966" i="7"/>
  <c r="F2966" i="7" s="1"/>
  <c r="C2968" i="7" l="1"/>
  <c r="D2967" i="7"/>
  <c r="E2967" i="7" s="1"/>
  <c r="E2966" i="7"/>
  <c r="F2967" i="7" l="1"/>
  <c r="C2969" i="7"/>
  <c r="D2968" i="7"/>
  <c r="F2968" i="7" s="1"/>
  <c r="C2970" i="7" l="1"/>
  <c r="D2969" i="7"/>
  <c r="E2969" i="7" s="1"/>
  <c r="E2968" i="7"/>
  <c r="F2969" i="7" l="1"/>
  <c r="C2971" i="7"/>
  <c r="D2970" i="7"/>
  <c r="F2970" i="7" s="1"/>
  <c r="E2970" i="7" l="1"/>
  <c r="C2972" i="7"/>
  <c r="D2971" i="7"/>
  <c r="E2971" i="7" s="1"/>
  <c r="F2971" i="7" l="1"/>
  <c r="C2973" i="7"/>
  <c r="D2972" i="7"/>
  <c r="F2972" i="7" s="1"/>
  <c r="C2974" i="7" l="1"/>
  <c r="D2973" i="7"/>
  <c r="E2973" i="7" s="1"/>
  <c r="E2972" i="7"/>
  <c r="F2973" i="7" l="1"/>
  <c r="C2975" i="7"/>
  <c r="D2974" i="7"/>
  <c r="F2974" i="7" s="1"/>
  <c r="C2976" i="7" l="1"/>
  <c r="D2975" i="7"/>
  <c r="E2975" i="7" s="1"/>
  <c r="E2974" i="7"/>
  <c r="F2975" i="7" l="1"/>
  <c r="C2977" i="7"/>
  <c r="D2976" i="7"/>
  <c r="F2976" i="7" s="1"/>
  <c r="C2978" i="7" l="1"/>
  <c r="D2977" i="7"/>
  <c r="E2977" i="7" s="1"/>
  <c r="E2976" i="7"/>
  <c r="C2979" i="7" l="1"/>
  <c r="D2978" i="7"/>
  <c r="F2978" i="7" s="1"/>
  <c r="F2977" i="7"/>
  <c r="E2978" i="7" l="1"/>
  <c r="C2980" i="7"/>
  <c r="D2979" i="7"/>
  <c r="E2979" i="7" s="1"/>
  <c r="C2981" i="7" l="1"/>
  <c r="D2980" i="7"/>
  <c r="F2980" i="7" s="1"/>
  <c r="F2979" i="7"/>
  <c r="E2980" i="7" l="1"/>
  <c r="C2982" i="7"/>
  <c r="D2981" i="7"/>
  <c r="E2981" i="7" s="1"/>
  <c r="F2981" i="7" l="1"/>
  <c r="C2983" i="7"/>
  <c r="D2982" i="7"/>
  <c r="F2982" i="7" s="1"/>
  <c r="E2982" i="7" l="1"/>
  <c r="C2984" i="7"/>
  <c r="D2983" i="7"/>
  <c r="E2983" i="7" s="1"/>
  <c r="F2983" i="7" l="1"/>
  <c r="C2985" i="7"/>
  <c r="D2984" i="7"/>
  <c r="F2984" i="7" s="1"/>
  <c r="E2984" i="7" l="1"/>
  <c r="C2986" i="7"/>
  <c r="D2985" i="7"/>
  <c r="E2985" i="7" s="1"/>
  <c r="F2985" i="7" l="1"/>
  <c r="C2987" i="7"/>
  <c r="D2986" i="7"/>
  <c r="F2986" i="7" s="1"/>
  <c r="C2988" i="7" l="1"/>
  <c r="D2987" i="7"/>
  <c r="E2987" i="7" s="1"/>
  <c r="E2986" i="7"/>
  <c r="F2987" i="7" l="1"/>
  <c r="C2989" i="7"/>
  <c r="D2988" i="7"/>
  <c r="F2988" i="7" s="1"/>
  <c r="C2990" i="7" l="1"/>
  <c r="D2989" i="7"/>
  <c r="E2989" i="7" s="1"/>
  <c r="E2988" i="7"/>
  <c r="F2989" i="7" l="1"/>
  <c r="C2991" i="7"/>
  <c r="D2990" i="7"/>
  <c r="F2990" i="7" s="1"/>
  <c r="E2990" i="7" l="1"/>
  <c r="C2992" i="7"/>
  <c r="D2991" i="7"/>
  <c r="E2991" i="7" s="1"/>
  <c r="F2991" i="7" l="1"/>
  <c r="C2993" i="7"/>
  <c r="D2992" i="7"/>
  <c r="F2992" i="7" s="1"/>
  <c r="C2994" i="7" l="1"/>
  <c r="D2993" i="7"/>
  <c r="E2993" i="7" s="1"/>
  <c r="E2992" i="7"/>
  <c r="C2995" i="7" l="1"/>
  <c r="D2994" i="7"/>
  <c r="F2994" i="7" s="1"/>
  <c r="F2993" i="7"/>
  <c r="E2994" i="7" l="1"/>
  <c r="C2996" i="7"/>
  <c r="D2995" i="7"/>
  <c r="E2995" i="7" s="1"/>
  <c r="C2997" i="7" l="1"/>
  <c r="D2996" i="7"/>
  <c r="F2996" i="7" s="1"/>
  <c r="F2995" i="7"/>
  <c r="E2996" i="7" l="1"/>
  <c r="C2998" i="7"/>
  <c r="D2997" i="7"/>
  <c r="E2997" i="7" s="1"/>
  <c r="C2999" i="7" l="1"/>
  <c r="D2998" i="7"/>
  <c r="F2998" i="7" s="1"/>
  <c r="F2997" i="7"/>
  <c r="E2998" i="7" l="1"/>
  <c r="C3000" i="7"/>
  <c r="D2999" i="7"/>
  <c r="E2999" i="7" s="1"/>
  <c r="F2999" i="7" l="1"/>
  <c r="C3001" i="7"/>
  <c r="D3000" i="7"/>
  <c r="F3000" i="7" s="1"/>
  <c r="C3002" i="7" l="1"/>
  <c r="D3001" i="7"/>
  <c r="E3001" i="7" s="1"/>
  <c r="E3000" i="7"/>
  <c r="F3001" i="7" l="1"/>
  <c r="C3003" i="7"/>
  <c r="D3002" i="7"/>
  <c r="F3002" i="7" s="1"/>
  <c r="E3002" i="7" l="1"/>
  <c r="C3004" i="7"/>
  <c r="D3003" i="7"/>
  <c r="E3003" i="7" s="1"/>
  <c r="F3003" i="7" l="1"/>
  <c r="C3005" i="7"/>
  <c r="D3004" i="7"/>
  <c r="F3004" i="7" s="1"/>
  <c r="C3006" i="7" l="1"/>
  <c r="D3005" i="7"/>
  <c r="E3005" i="7" s="1"/>
  <c r="E3004" i="7"/>
  <c r="C3007" i="7" l="1"/>
  <c r="D3006" i="7"/>
  <c r="F3006" i="7" s="1"/>
  <c r="F3005" i="7"/>
  <c r="E3006" i="7" l="1"/>
  <c r="C3008" i="7"/>
  <c r="D3007" i="7"/>
  <c r="E3007" i="7" s="1"/>
  <c r="F3007" i="7" l="1"/>
  <c r="C3009" i="7"/>
  <c r="D3008" i="7"/>
  <c r="F3008" i="7" s="1"/>
  <c r="E3008" i="7" l="1"/>
  <c r="C3010" i="7"/>
  <c r="D3009" i="7"/>
  <c r="E3009" i="7" s="1"/>
  <c r="F3009" i="7" l="1"/>
  <c r="C3011" i="7"/>
  <c r="D3010" i="7"/>
  <c r="F3010" i="7" s="1"/>
  <c r="C3012" i="7" l="1"/>
  <c r="D3011" i="7"/>
  <c r="E3011" i="7" s="1"/>
  <c r="E3010" i="7"/>
  <c r="C3013" i="7" l="1"/>
  <c r="D3012" i="7"/>
  <c r="F3012" i="7" s="1"/>
  <c r="F3011" i="7"/>
  <c r="E3012" i="7" l="1"/>
  <c r="C3014" i="7"/>
  <c r="D3013" i="7"/>
  <c r="E3013" i="7" s="1"/>
  <c r="C3015" i="7" l="1"/>
  <c r="D3014" i="7"/>
  <c r="F3014" i="7" s="1"/>
  <c r="F3013" i="7"/>
  <c r="E3014" i="7" l="1"/>
  <c r="C3016" i="7"/>
  <c r="D3015" i="7"/>
  <c r="E3015" i="7" s="1"/>
  <c r="F3015" i="7" l="1"/>
  <c r="C3017" i="7"/>
  <c r="D3016" i="7"/>
  <c r="F3016" i="7" s="1"/>
  <c r="C3018" i="7" l="1"/>
  <c r="D3017" i="7"/>
  <c r="E3017" i="7" s="1"/>
  <c r="E3016" i="7"/>
  <c r="C3019" i="7" l="1"/>
  <c r="D3018" i="7"/>
  <c r="F3018" i="7" s="1"/>
  <c r="F3017" i="7"/>
  <c r="E3018" i="7" l="1"/>
  <c r="C3020" i="7"/>
  <c r="D3019" i="7"/>
  <c r="E3019" i="7" s="1"/>
  <c r="F3019" i="7" l="1"/>
  <c r="C3021" i="7"/>
  <c r="D3020" i="7"/>
  <c r="F3020" i="7" s="1"/>
  <c r="C3022" i="7" l="1"/>
  <c r="D3021" i="7"/>
  <c r="E3021" i="7" s="1"/>
  <c r="E3020" i="7"/>
  <c r="F3021" i="7" l="1"/>
  <c r="C3023" i="7"/>
  <c r="D3022" i="7"/>
  <c r="F3022" i="7" s="1"/>
  <c r="C3024" i="7" l="1"/>
  <c r="D3023" i="7"/>
  <c r="E3023" i="7" s="1"/>
  <c r="E3022" i="7"/>
  <c r="C3025" i="7" l="1"/>
  <c r="D3024" i="7"/>
  <c r="F3024" i="7" s="1"/>
  <c r="F3023" i="7"/>
  <c r="E3024" i="7" l="1"/>
  <c r="C3026" i="7"/>
  <c r="D3025" i="7"/>
  <c r="E3025" i="7" s="1"/>
  <c r="F3025" i="7" l="1"/>
  <c r="C3027" i="7"/>
  <c r="D3026" i="7"/>
  <c r="F3026" i="7" s="1"/>
  <c r="C3028" i="7" l="1"/>
  <c r="D3027" i="7"/>
  <c r="E3027" i="7" s="1"/>
  <c r="E3026" i="7"/>
  <c r="F3027" i="7" l="1"/>
  <c r="C3029" i="7"/>
  <c r="D3028" i="7"/>
  <c r="F3028" i="7" s="1"/>
  <c r="C3030" i="7" l="1"/>
  <c r="D3029" i="7"/>
  <c r="E3029" i="7" s="1"/>
  <c r="E3028" i="7"/>
  <c r="C3031" i="7" l="1"/>
  <c r="D3030" i="7"/>
  <c r="F3030" i="7" s="1"/>
  <c r="F3029" i="7"/>
  <c r="E3030" i="7" l="1"/>
  <c r="C3032" i="7"/>
  <c r="D3031" i="7"/>
  <c r="E3031" i="7" s="1"/>
  <c r="F3031" i="7" l="1"/>
  <c r="C3033" i="7"/>
  <c r="D3032" i="7"/>
  <c r="F3032" i="7" s="1"/>
  <c r="E3032" i="7" l="1"/>
  <c r="C3034" i="7"/>
  <c r="D3033" i="7"/>
  <c r="E3033" i="7" s="1"/>
  <c r="F3033" i="7" l="1"/>
  <c r="C3035" i="7"/>
  <c r="D3034" i="7"/>
  <c r="F3034" i="7" s="1"/>
  <c r="C3036" i="7" l="1"/>
  <c r="D3035" i="7"/>
  <c r="E3035" i="7" s="1"/>
  <c r="E3034" i="7"/>
  <c r="F3035" i="7" l="1"/>
  <c r="C3037" i="7"/>
  <c r="D3036" i="7"/>
  <c r="F3036" i="7" s="1"/>
  <c r="E3036" i="7" l="1"/>
  <c r="C3038" i="7"/>
  <c r="D3037" i="7"/>
  <c r="E3037" i="7" s="1"/>
  <c r="C3039" i="7" l="1"/>
  <c r="D3038" i="7"/>
  <c r="F3038" i="7" s="1"/>
  <c r="F3037" i="7"/>
  <c r="E3038" i="7" l="1"/>
  <c r="C3040" i="7"/>
  <c r="D3039" i="7"/>
  <c r="E3039" i="7" s="1"/>
  <c r="F3039" i="7" l="1"/>
  <c r="C3041" i="7"/>
  <c r="D3040" i="7"/>
  <c r="F3040" i="7" s="1"/>
  <c r="C3042" i="7" l="1"/>
  <c r="D3041" i="7"/>
  <c r="E3041" i="7" s="1"/>
  <c r="E3040" i="7"/>
  <c r="F3041" i="7" l="1"/>
  <c r="C3043" i="7"/>
  <c r="D3042" i="7"/>
  <c r="F3042" i="7" s="1"/>
  <c r="C3044" i="7" l="1"/>
  <c r="D3043" i="7"/>
  <c r="E3043" i="7" s="1"/>
  <c r="E3042" i="7"/>
  <c r="F3043" i="7" l="1"/>
  <c r="C3045" i="7"/>
  <c r="D3044" i="7"/>
  <c r="F3044" i="7" s="1"/>
  <c r="C3046" i="7" l="1"/>
  <c r="D3045" i="7"/>
  <c r="E3045" i="7" s="1"/>
  <c r="E3044" i="7"/>
  <c r="F3045" i="7" l="1"/>
  <c r="C3047" i="7"/>
  <c r="D3046" i="7"/>
  <c r="F3046" i="7" s="1"/>
  <c r="E3046" i="7" l="1"/>
  <c r="C3048" i="7"/>
  <c r="D3047" i="7"/>
  <c r="E3047" i="7" s="1"/>
  <c r="C3049" i="7" l="1"/>
  <c r="D3048" i="7"/>
  <c r="F3048" i="7" s="1"/>
  <c r="F3047" i="7"/>
  <c r="E3048" i="7" l="1"/>
  <c r="C3050" i="7"/>
  <c r="D3049" i="7"/>
  <c r="E3049" i="7" s="1"/>
  <c r="C3051" i="7" l="1"/>
  <c r="D3050" i="7"/>
  <c r="F3050" i="7" s="1"/>
  <c r="F3049" i="7"/>
  <c r="E3050" i="7" l="1"/>
  <c r="C3052" i="7"/>
  <c r="D3051" i="7"/>
  <c r="E3051" i="7" s="1"/>
  <c r="C3053" i="7" l="1"/>
  <c r="D3052" i="7"/>
  <c r="F3052" i="7" s="1"/>
  <c r="F3051" i="7"/>
  <c r="E3052" i="7" l="1"/>
  <c r="C3054" i="7"/>
  <c r="D3053" i="7"/>
  <c r="E3053" i="7" s="1"/>
  <c r="C3055" i="7" l="1"/>
  <c r="D3054" i="7"/>
  <c r="F3054" i="7" s="1"/>
  <c r="F3053" i="7"/>
  <c r="E3054" i="7" l="1"/>
  <c r="C3056" i="7"/>
  <c r="D3055" i="7"/>
  <c r="E3055" i="7" s="1"/>
  <c r="F3055" i="7" l="1"/>
  <c r="C3057" i="7"/>
  <c r="D3056" i="7"/>
  <c r="F3056" i="7" s="1"/>
  <c r="C3058" i="7" l="1"/>
  <c r="D3057" i="7"/>
  <c r="E3057" i="7" s="1"/>
  <c r="E3056" i="7"/>
  <c r="F3057" i="7" l="1"/>
  <c r="C3059" i="7"/>
  <c r="D3058" i="7"/>
  <c r="F3058" i="7" s="1"/>
  <c r="C3060" i="7" l="1"/>
  <c r="D3059" i="7"/>
  <c r="E3059" i="7" s="1"/>
  <c r="E3058" i="7"/>
  <c r="C3061" i="7" l="1"/>
  <c r="D3060" i="7"/>
  <c r="F3060" i="7" s="1"/>
  <c r="F3059" i="7"/>
  <c r="E3060" i="7" l="1"/>
  <c r="C3062" i="7"/>
  <c r="D3061" i="7"/>
  <c r="E3061" i="7" s="1"/>
  <c r="F3061" i="7" l="1"/>
  <c r="C3063" i="7"/>
  <c r="D3062" i="7"/>
  <c r="F3062" i="7" s="1"/>
  <c r="C3064" i="7" l="1"/>
  <c r="D3063" i="7"/>
  <c r="E3063" i="7" s="1"/>
  <c r="E3062" i="7"/>
  <c r="C3065" i="7" l="1"/>
  <c r="D3064" i="7"/>
  <c r="F3064" i="7" s="1"/>
  <c r="F3063" i="7"/>
  <c r="E3064" i="7" l="1"/>
  <c r="C3066" i="7"/>
  <c r="D3065" i="7"/>
  <c r="E3065" i="7" s="1"/>
  <c r="C3067" i="7" l="1"/>
  <c r="D3066" i="7"/>
  <c r="F3066" i="7" s="1"/>
  <c r="F3065" i="7"/>
  <c r="E3066" i="7" l="1"/>
  <c r="C3068" i="7"/>
  <c r="D3067" i="7"/>
  <c r="E3067" i="7" s="1"/>
  <c r="F3067" i="7" l="1"/>
  <c r="C3069" i="7"/>
  <c r="D3068" i="7"/>
  <c r="E3068" i="7" l="1"/>
  <c r="F3068" i="7"/>
  <c r="C3070" i="7"/>
  <c r="D3069" i="7"/>
  <c r="F3069" i="7" s="1"/>
  <c r="E3069" i="7" l="1"/>
  <c r="C3071" i="7"/>
  <c r="D3070" i="7"/>
  <c r="E3070" i="7" s="1"/>
  <c r="C3072" i="7" l="1"/>
  <c r="D3071" i="7"/>
  <c r="F3071" i="7" s="1"/>
  <c r="F3070" i="7"/>
  <c r="E3071" i="7" s="1"/>
  <c r="C3073" i="7" l="1"/>
  <c r="D3072" i="7"/>
  <c r="E3072" i="7" l="1"/>
  <c r="F3072" i="7"/>
  <c r="C3074" i="7"/>
  <c r="D3073" i="7"/>
  <c r="F3073" i="7" s="1"/>
  <c r="C3075" i="7" l="1"/>
  <c r="D3074" i="7"/>
  <c r="E3074" i="7" s="1"/>
  <c r="E3073" i="7"/>
  <c r="F3074" i="7" l="1"/>
  <c r="C3076" i="7"/>
  <c r="D3075" i="7"/>
  <c r="F3075" i="7" s="1"/>
  <c r="C3077" i="7" l="1"/>
  <c r="D3076" i="7"/>
  <c r="E3076" i="7" s="1"/>
  <c r="E3075" i="7"/>
  <c r="F3076" i="7" l="1"/>
  <c r="C3078" i="7"/>
  <c r="D3077" i="7"/>
  <c r="F3077" i="7" s="1"/>
  <c r="E3077" i="7" l="1"/>
  <c r="C3079" i="7"/>
  <c r="D3078" i="7"/>
  <c r="E3078" i="7" s="1"/>
  <c r="F3078" i="7" l="1"/>
  <c r="C3080" i="7"/>
  <c r="D3079" i="7"/>
  <c r="F3079" i="7" s="1"/>
  <c r="E3079" i="7" l="1"/>
  <c r="C3081" i="7"/>
  <c r="D3080" i="7"/>
  <c r="E3080" i="7" s="1"/>
  <c r="F3080" i="7" l="1"/>
  <c r="C3082" i="7"/>
  <c r="D3081" i="7"/>
  <c r="F3081" i="7" s="1"/>
  <c r="C3083" i="7" l="1"/>
  <c r="D3082" i="7"/>
  <c r="E3082" i="7" s="1"/>
  <c r="E3081" i="7"/>
  <c r="C3084" i="7" l="1"/>
  <c r="D3083" i="7"/>
  <c r="F3083" i="7" s="1"/>
  <c r="F3082" i="7"/>
  <c r="E3083" i="7" s="1"/>
  <c r="C3085" i="7" l="1"/>
  <c r="D3084" i="7"/>
  <c r="E3084" i="7" l="1"/>
  <c r="C3086" i="7"/>
  <c r="D3085" i="7"/>
  <c r="F3085" i="7" s="1"/>
  <c r="F3084" i="7"/>
  <c r="E3085" i="7" l="1"/>
  <c r="C3087" i="7"/>
  <c r="D3086" i="7"/>
  <c r="E3086" i="7" l="1"/>
  <c r="C3088" i="7"/>
  <c r="D3087" i="7"/>
  <c r="F3087" i="7" s="1"/>
  <c r="F3086" i="7"/>
  <c r="E3087" i="7" l="1"/>
  <c r="C3089" i="7"/>
  <c r="D3088" i="7"/>
  <c r="E3088" i="7" s="1"/>
  <c r="F3088" i="7" l="1"/>
  <c r="C3090" i="7"/>
  <c r="D3089" i="7"/>
  <c r="F3089" i="7" s="1"/>
  <c r="C3091" i="7" l="1"/>
  <c r="D3090" i="7"/>
  <c r="E3090" i="7" s="1"/>
  <c r="E3089" i="7"/>
  <c r="C3092" i="7" l="1"/>
  <c r="D3091" i="7"/>
  <c r="F3091" i="7" s="1"/>
  <c r="F3090" i="7"/>
  <c r="E3091" i="7" s="1"/>
  <c r="C3093" i="7" l="1"/>
  <c r="D3092" i="7"/>
  <c r="E3092" i="7" l="1"/>
  <c r="F3092" i="7"/>
  <c r="C3094" i="7"/>
  <c r="D3093" i="7"/>
  <c r="F3093" i="7" s="1"/>
  <c r="C3095" i="7" l="1"/>
  <c r="D3094" i="7"/>
  <c r="E3094" i="7" s="1"/>
  <c r="E3093" i="7"/>
  <c r="C3096" i="7" l="1"/>
  <c r="D3095" i="7"/>
  <c r="F3095" i="7" s="1"/>
  <c r="F3094" i="7"/>
  <c r="E3095" i="7" s="1"/>
  <c r="C3097" i="7" l="1"/>
  <c r="D3096" i="7"/>
  <c r="E3096" i="7" l="1"/>
  <c r="C3098" i="7"/>
  <c r="D3097" i="7"/>
  <c r="F3097" i="7" s="1"/>
  <c r="F3096" i="7"/>
  <c r="E3097" i="7" s="1"/>
  <c r="C3099" i="7" l="1"/>
  <c r="D3098" i="7"/>
  <c r="E3098" i="7" l="1"/>
  <c r="C3100" i="7"/>
  <c r="D3099" i="7"/>
  <c r="F3099" i="7" s="1"/>
  <c r="F3098" i="7"/>
  <c r="E3099" i="7" s="1"/>
  <c r="C3101" i="7" l="1"/>
  <c r="D3100" i="7"/>
  <c r="E3100" i="7" l="1"/>
  <c r="C3102" i="7"/>
  <c r="D3101" i="7"/>
  <c r="F3101" i="7" s="1"/>
  <c r="F3100" i="7"/>
  <c r="E3101" i="7" s="1"/>
  <c r="C3103" i="7" l="1"/>
  <c r="D3102" i="7"/>
  <c r="E3102" i="7" l="1"/>
  <c r="F3102" i="7"/>
  <c r="C3104" i="7"/>
  <c r="D3103" i="7"/>
  <c r="F3103" i="7" s="1"/>
  <c r="E3103" i="7" l="1"/>
  <c r="C3105" i="7"/>
  <c r="D3104" i="7"/>
  <c r="E3104" i="7" s="1"/>
  <c r="C3106" i="7" l="1"/>
  <c r="D3105" i="7"/>
  <c r="F3105" i="7" s="1"/>
  <c r="F3104" i="7"/>
  <c r="E3105" i="7" s="1"/>
  <c r="C3107" i="7" l="1"/>
  <c r="D3106" i="7"/>
  <c r="E3106" i="7" l="1"/>
  <c r="F3106" i="7"/>
  <c r="C3108" i="7"/>
  <c r="D3107" i="7"/>
  <c r="F3107" i="7" s="1"/>
  <c r="E3107" i="7" l="1"/>
  <c r="C3109" i="7"/>
  <c r="D3108" i="7"/>
  <c r="E3108" i="7" s="1"/>
  <c r="F3108" i="7" l="1"/>
  <c r="C3110" i="7"/>
  <c r="D3109" i="7"/>
  <c r="F3109" i="7" s="1"/>
  <c r="E3109" i="7" l="1"/>
  <c r="C3111" i="7"/>
  <c r="D3110" i="7"/>
  <c r="E3110" i="7" s="1"/>
  <c r="F3110" i="7" l="1"/>
  <c r="C3112" i="7"/>
  <c r="D3111" i="7"/>
  <c r="F3111" i="7" s="1"/>
  <c r="E3111" i="7" l="1"/>
  <c r="C3113" i="7"/>
  <c r="D3112" i="7"/>
  <c r="E3112" i="7" s="1"/>
  <c r="F3112" i="7" l="1"/>
  <c r="C3114" i="7"/>
  <c r="D3113" i="7"/>
  <c r="F3113" i="7" s="1"/>
  <c r="E3113" i="7" l="1"/>
  <c r="C3115" i="7"/>
  <c r="D3114" i="7"/>
  <c r="E3114" i="7" s="1"/>
  <c r="C3116" i="7" l="1"/>
  <c r="D3115" i="7"/>
  <c r="F3115" i="7" s="1"/>
  <c r="F3114" i="7"/>
  <c r="E3115" i="7" s="1"/>
  <c r="C3117" i="7" l="1"/>
  <c r="D3116" i="7"/>
  <c r="E3116" i="7" l="1"/>
  <c r="C3118" i="7"/>
  <c r="D3117" i="7"/>
  <c r="F3117" i="7" s="1"/>
  <c r="F3116" i="7"/>
  <c r="E3117" i="7" s="1"/>
  <c r="C3119" i="7" l="1"/>
  <c r="D3118" i="7"/>
  <c r="E3118" i="7" l="1"/>
  <c r="F3118" i="7"/>
  <c r="C3120" i="7"/>
  <c r="D3119" i="7"/>
  <c r="F3119" i="7" s="1"/>
  <c r="E3119" i="7" l="1"/>
  <c r="C3121" i="7"/>
  <c r="D3120" i="7"/>
  <c r="E3120" i="7" s="1"/>
  <c r="F3120" i="7" l="1"/>
  <c r="C3122" i="7"/>
  <c r="D3121" i="7"/>
  <c r="F3121" i="7" s="1"/>
  <c r="E3121" i="7" l="1"/>
  <c r="C3123" i="7"/>
  <c r="D3122" i="7"/>
  <c r="E3122" i="7" s="1"/>
  <c r="F3122" i="7" l="1"/>
  <c r="C3124" i="7"/>
  <c r="D3123" i="7"/>
  <c r="F3123" i="7" s="1"/>
  <c r="C3125" i="7" l="1"/>
  <c r="D3124" i="7"/>
  <c r="E3124" i="7" s="1"/>
  <c r="E3123" i="7"/>
  <c r="F3124" i="7" l="1"/>
  <c r="C3126" i="7"/>
  <c r="D3125" i="7"/>
  <c r="F3125" i="7" s="1"/>
  <c r="E3125" i="7" l="1"/>
  <c r="C3127" i="7"/>
  <c r="D3126" i="7"/>
  <c r="E3126" i="7" s="1"/>
  <c r="F3126" i="7" l="1"/>
  <c r="C3128" i="7"/>
  <c r="D3127" i="7"/>
  <c r="F3127" i="7" s="1"/>
  <c r="C3129" i="7" l="1"/>
  <c r="D3128" i="7"/>
  <c r="E3128" i="7" s="1"/>
  <c r="E3127" i="7"/>
  <c r="F3128" i="7" l="1"/>
  <c r="C3130" i="7"/>
  <c r="D3129" i="7"/>
  <c r="F3129" i="7" s="1"/>
  <c r="C3131" i="7" l="1"/>
  <c r="D3130" i="7"/>
  <c r="E3130" i="7" s="1"/>
  <c r="E3129" i="7"/>
  <c r="F3130" i="7" l="1"/>
  <c r="C3132" i="7"/>
  <c r="D3131" i="7"/>
  <c r="F3131" i="7" s="1"/>
  <c r="C3133" i="7" l="1"/>
  <c r="D3132" i="7"/>
  <c r="E3132" i="7" s="1"/>
  <c r="E3131" i="7"/>
  <c r="F3132" i="7" l="1"/>
  <c r="C3134" i="7"/>
  <c r="D3133" i="7"/>
  <c r="F3133" i="7" s="1"/>
  <c r="C3135" i="7" l="1"/>
  <c r="D3134" i="7"/>
  <c r="E3134" i="7" s="1"/>
  <c r="E3133" i="7"/>
  <c r="F3134" i="7" l="1"/>
  <c r="C3136" i="7"/>
  <c r="D3135" i="7"/>
  <c r="F3135" i="7" s="1"/>
  <c r="C3137" i="7" l="1"/>
  <c r="D3136" i="7"/>
  <c r="E3136" i="7" s="1"/>
  <c r="E3135" i="7"/>
  <c r="F3136" i="7" l="1"/>
  <c r="C3138" i="7"/>
  <c r="D3137" i="7"/>
  <c r="F3137" i="7" s="1"/>
  <c r="E3137" i="7" l="1"/>
  <c r="C3139" i="7"/>
  <c r="D3138" i="7"/>
  <c r="E3138" i="7" s="1"/>
  <c r="C3140" i="7" l="1"/>
  <c r="D3139" i="7"/>
  <c r="F3139" i="7" s="1"/>
  <c r="F3138" i="7"/>
  <c r="E3139" i="7" s="1"/>
  <c r="C3141" i="7" l="1"/>
  <c r="D3140" i="7"/>
  <c r="E3140" i="7" l="1"/>
  <c r="F3140" i="7"/>
  <c r="C3142" i="7"/>
  <c r="D3141" i="7"/>
  <c r="F3141" i="7" s="1"/>
  <c r="E3141" i="7" l="1"/>
  <c r="C3143" i="7"/>
  <c r="D3142" i="7"/>
  <c r="E3142" i="7" s="1"/>
  <c r="F3142" i="7" l="1"/>
  <c r="C3144" i="7"/>
  <c r="D3143" i="7"/>
  <c r="F3143" i="7" s="1"/>
  <c r="C3145" i="7" l="1"/>
  <c r="D3144" i="7"/>
  <c r="E3144" i="7" s="1"/>
  <c r="E3143" i="7"/>
  <c r="F3144" i="7" l="1"/>
  <c r="C3146" i="7"/>
  <c r="D3145" i="7"/>
  <c r="F3145" i="7" s="1"/>
  <c r="C3147" i="7" l="1"/>
  <c r="D3146" i="7"/>
  <c r="E3146" i="7" s="1"/>
  <c r="E3145" i="7"/>
  <c r="C3148" i="7" l="1"/>
  <c r="D3147" i="7"/>
  <c r="F3147" i="7" s="1"/>
  <c r="F3146" i="7"/>
  <c r="E3147" i="7" s="1"/>
  <c r="C3149" i="7" l="1"/>
  <c r="D3148" i="7"/>
  <c r="E3148" i="7" l="1"/>
  <c r="C3150" i="7"/>
  <c r="D3149" i="7"/>
  <c r="F3149" i="7" s="1"/>
  <c r="F3148" i="7"/>
  <c r="E3149" i="7" s="1"/>
  <c r="C3151" i="7" l="1"/>
  <c r="D3150" i="7"/>
  <c r="E3150" i="7" l="1"/>
  <c r="F3150" i="7"/>
  <c r="C3152" i="7"/>
  <c r="D3151" i="7"/>
  <c r="F3151" i="7" s="1"/>
  <c r="C3153" i="7" l="1"/>
  <c r="D3152" i="7"/>
  <c r="E3152" i="7" s="1"/>
  <c r="E3151" i="7"/>
  <c r="F3152" i="7" l="1"/>
  <c r="C3154" i="7"/>
  <c r="D3153" i="7"/>
  <c r="F3153" i="7" s="1"/>
  <c r="C3155" i="7" l="1"/>
  <c r="D3154" i="7"/>
  <c r="E3154" i="7" s="1"/>
  <c r="E3153" i="7"/>
  <c r="C3156" i="7" l="1"/>
  <c r="D3155" i="7"/>
  <c r="F3155" i="7" s="1"/>
  <c r="F3154" i="7"/>
  <c r="E3155" i="7" s="1"/>
  <c r="C3157" i="7" l="1"/>
  <c r="D3156" i="7"/>
  <c r="E3156" i="7" l="1"/>
  <c r="F3156" i="7"/>
  <c r="C3158" i="7"/>
  <c r="D3157" i="7"/>
  <c r="F3157" i="7" s="1"/>
  <c r="E3157" i="7" l="1"/>
  <c r="C3159" i="7"/>
  <c r="D3158" i="7"/>
  <c r="E3158" i="7" s="1"/>
  <c r="F3158" i="7" l="1"/>
  <c r="C3160" i="7"/>
  <c r="D3159" i="7"/>
  <c r="F3159" i="7" s="1"/>
  <c r="C3161" i="7" l="1"/>
  <c r="D3160" i="7"/>
  <c r="E3160" i="7" s="1"/>
  <c r="E3159" i="7"/>
  <c r="C3162" i="7" l="1"/>
  <c r="D3161" i="7"/>
  <c r="F3161" i="7" s="1"/>
  <c r="F3160" i="7"/>
  <c r="E3161" i="7" s="1"/>
  <c r="C3163" i="7" l="1"/>
  <c r="D3162" i="7"/>
  <c r="E3162" i="7" l="1"/>
  <c r="F3162" i="7"/>
  <c r="C3164" i="7"/>
  <c r="D3163" i="7"/>
  <c r="F3163" i="7" s="1"/>
  <c r="C3165" i="7" l="1"/>
  <c r="D3164" i="7"/>
  <c r="E3164" i="7" s="1"/>
  <c r="E3163" i="7"/>
  <c r="F3164" i="7" l="1"/>
  <c r="C3166" i="7"/>
  <c r="D3165" i="7"/>
  <c r="F3165" i="7" s="1"/>
  <c r="C3167" i="7" l="1"/>
  <c r="D3166" i="7"/>
  <c r="E3166" i="7" s="1"/>
  <c r="E3165" i="7"/>
  <c r="F3166" i="7" l="1"/>
  <c r="C3168" i="7"/>
  <c r="D3167" i="7"/>
  <c r="F3167" i="7" s="1"/>
  <c r="E3167" i="7" l="1"/>
  <c r="C3169" i="7"/>
  <c r="D3168" i="7"/>
  <c r="E3168" i="7" s="1"/>
  <c r="F3168" i="7" l="1"/>
  <c r="C3170" i="7"/>
  <c r="D3169" i="7"/>
  <c r="F3169" i="7" s="1"/>
  <c r="C3171" i="7" l="1"/>
  <c r="D3170" i="7"/>
  <c r="E3170" i="7" s="1"/>
  <c r="E3169" i="7"/>
  <c r="F3170" i="7" l="1"/>
  <c r="C3172" i="7"/>
  <c r="D3171" i="7"/>
  <c r="F3171" i="7" s="1"/>
  <c r="C3173" i="7" l="1"/>
  <c r="D3172" i="7"/>
  <c r="E3172" i="7" s="1"/>
  <c r="E3171" i="7"/>
  <c r="F3172" i="7" l="1"/>
  <c r="C3174" i="7"/>
  <c r="D3173" i="7"/>
  <c r="F3173" i="7" s="1"/>
  <c r="C3175" i="7" l="1"/>
  <c r="D3174" i="7"/>
  <c r="E3174" i="7" s="1"/>
  <c r="E3173" i="7"/>
  <c r="F3174" i="7" l="1"/>
  <c r="C3176" i="7"/>
  <c r="D3175" i="7"/>
  <c r="F3175" i="7" s="1"/>
  <c r="C3177" i="7" l="1"/>
  <c r="D3176" i="7"/>
  <c r="E3176" i="7" s="1"/>
  <c r="E3175" i="7"/>
  <c r="F3176" i="7" l="1"/>
  <c r="C3178" i="7"/>
  <c r="D3177" i="7"/>
  <c r="F3177" i="7" s="1"/>
  <c r="C3179" i="7" l="1"/>
  <c r="D3178" i="7"/>
  <c r="E3178" i="7" s="1"/>
  <c r="E3177" i="7"/>
  <c r="F3178" i="7" l="1"/>
  <c r="C3180" i="7"/>
  <c r="D3179" i="7"/>
  <c r="F3179" i="7" s="1"/>
  <c r="C3181" i="7" l="1"/>
  <c r="D3180" i="7"/>
  <c r="E3180" i="7" s="1"/>
  <c r="E3179" i="7"/>
  <c r="F3180" i="7" l="1"/>
  <c r="C3182" i="7"/>
  <c r="D3181" i="7"/>
  <c r="F3181" i="7" s="1"/>
  <c r="C3183" i="7" l="1"/>
  <c r="D3182" i="7"/>
  <c r="E3182" i="7" s="1"/>
  <c r="E3181" i="7"/>
  <c r="F3182" i="7" l="1"/>
  <c r="C3184" i="7"/>
  <c r="D3183" i="7"/>
  <c r="F3183" i="7" s="1"/>
  <c r="C3185" i="7" l="1"/>
  <c r="D3184" i="7"/>
  <c r="E3184" i="7" s="1"/>
  <c r="E3183" i="7"/>
  <c r="F3184" i="7" l="1"/>
  <c r="C3186" i="7"/>
  <c r="D3185" i="7"/>
  <c r="F3185" i="7" s="1"/>
  <c r="C3187" i="7" l="1"/>
  <c r="D3186" i="7"/>
  <c r="E3186" i="7" s="1"/>
  <c r="E3185" i="7"/>
  <c r="F3186" i="7" l="1"/>
  <c r="C3188" i="7"/>
  <c r="D3187" i="7"/>
  <c r="E3187" i="7" l="1"/>
  <c r="F3187" i="7"/>
  <c r="C3189" i="7"/>
  <c r="D3188" i="7"/>
  <c r="F3188" i="7" s="1"/>
  <c r="C3190" i="7" l="1"/>
  <c r="D3189" i="7"/>
  <c r="E3189" i="7" s="1"/>
  <c r="E3188" i="7"/>
  <c r="C3191" i="7" l="1"/>
  <c r="D3190" i="7"/>
  <c r="F3190" i="7" s="1"/>
  <c r="F3189" i="7"/>
  <c r="E3190" i="7" l="1"/>
  <c r="C3192" i="7"/>
  <c r="D3191" i="7"/>
  <c r="E3191" i="7" s="1"/>
  <c r="F3191" i="7" l="1"/>
  <c r="C3193" i="7"/>
  <c r="D3192" i="7"/>
  <c r="F3192" i="7" s="1"/>
  <c r="C3194" i="7" l="1"/>
  <c r="D3193" i="7"/>
  <c r="E3193" i="7" s="1"/>
  <c r="E3192" i="7"/>
  <c r="F3193" i="7" l="1"/>
  <c r="C3195" i="7"/>
  <c r="D3194" i="7"/>
  <c r="F3194" i="7" s="1"/>
  <c r="C3196" i="7" l="1"/>
  <c r="D3195" i="7"/>
  <c r="F3195" i="7" s="1"/>
  <c r="E3194" i="7"/>
  <c r="E3195" i="7" l="1"/>
  <c r="C3197" i="7"/>
  <c r="D3196" i="7"/>
  <c r="E3196" i="7" s="1"/>
  <c r="F3196" i="7" l="1"/>
  <c r="C3198" i="7"/>
  <c r="D3197" i="7"/>
  <c r="F3197" i="7" s="1"/>
  <c r="C3199" i="7" l="1"/>
  <c r="D3198" i="7"/>
  <c r="E3198" i="7" s="1"/>
  <c r="E3197" i="7"/>
  <c r="F3198" i="7" l="1"/>
  <c r="C3200" i="7"/>
  <c r="D3199" i="7"/>
  <c r="F3199" i="7" s="1"/>
  <c r="C3201" i="7" l="1"/>
  <c r="D3200" i="7"/>
  <c r="E3200" i="7" s="1"/>
  <c r="E3199" i="7"/>
  <c r="F3200" i="7" l="1"/>
  <c r="C3202" i="7"/>
  <c r="D3201" i="7"/>
  <c r="F3201" i="7" s="1"/>
  <c r="C3203" i="7" l="1"/>
  <c r="D3202" i="7"/>
  <c r="E3202" i="7" s="1"/>
  <c r="E3201" i="7"/>
  <c r="F3202" i="7" l="1"/>
  <c r="C3204" i="7"/>
  <c r="D3203" i="7"/>
  <c r="F3203" i="7" s="1"/>
  <c r="E3203" i="7" l="1"/>
  <c r="C3205" i="7"/>
  <c r="D3204" i="7"/>
  <c r="E3204" i="7" s="1"/>
  <c r="C3206" i="7" l="1"/>
  <c r="D3205" i="7"/>
  <c r="F3205" i="7" s="1"/>
  <c r="F3204" i="7"/>
  <c r="E3205" i="7" s="1"/>
  <c r="C3207" i="7" l="1"/>
  <c r="D3206" i="7"/>
  <c r="E3206" i="7" l="1"/>
  <c r="F3206" i="7"/>
  <c r="C3208" i="7"/>
  <c r="D3207" i="7"/>
  <c r="F3207" i="7" s="1"/>
  <c r="C3209" i="7" l="1"/>
  <c r="D3208" i="7"/>
  <c r="E3208" i="7" s="1"/>
  <c r="E3207" i="7"/>
  <c r="C3210" i="7" l="1"/>
  <c r="D3209" i="7"/>
  <c r="F3209" i="7" s="1"/>
  <c r="F3208" i="7"/>
  <c r="E3209" i="7" s="1"/>
  <c r="C3211" i="7" l="1"/>
  <c r="D3210" i="7"/>
  <c r="E3210" i="7" l="1"/>
  <c r="F3210" i="7"/>
  <c r="C3212" i="7"/>
  <c r="D3211" i="7"/>
  <c r="F3211" i="7" s="1"/>
  <c r="C3213" i="7" l="1"/>
  <c r="D3212" i="7"/>
  <c r="E3212" i="7" s="1"/>
  <c r="E3211" i="7"/>
  <c r="F3212" i="7" l="1"/>
  <c r="C3214" i="7"/>
  <c r="D3213" i="7"/>
  <c r="F3213" i="7" s="1"/>
  <c r="C3215" i="7" l="1"/>
  <c r="D3214" i="7"/>
  <c r="E3214" i="7" s="1"/>
  <c r="E3213" i="7"/>
  <c r="F3214" i="7" l="1"/>
  <c r="C3216" i="7"/>
  <c r="D3215" i="7"/>
  <c r="F3215" i="7" s="1"/>
  <c r="E3215" i="7" l="1"/>
  <c r="C3217" i="7"/>
  <c r="D3216" i="7"/>
  <c r="E3216" i="7" s="1"/>
  <c r="C3218" i="7" l="1"/>
  <c r="D3217" i="7"/>
  <c r="F3217" i="7" s="1"/>
  <c r="F3216" i="7"/>
  <c r="E3217" i="7" s="1"/>
  <c r="C3219" i="7" l="1"/>
  <c r="D3218" i="7"/>
  <c r="E3218" i="7" l="1"/>
  <c r="F3218" i="7"/>
  <c r="C3220" i="7"/>
  <c r="D3219" i="7"/>
  <c r="F3219" i="7" s="1"/>
  <c r="E3219" i="7" l="1"/>
  <c r="C3221" i="7"/>
  <c r="D3220" i="7"/>
  <c r="E3220" i="7" s="1"/>
  <c r="F3220" i="7" l="1"/>
  <c r="C3222" i="7"/>
  <c r="D3221" i="7"/>
  <c r="F3221" i="7" s="1"/>
  <c r="C3223" i="7" l="1"/>
  <c r="D3222" i="7"/>
  <c r="E3222" i="7" s="1"/>
  <c r="E3221" i="7"/>
  <c r="F3222" i="7" l="1"/>
  <c r="C3224" i="7"/>
  <c r="D3223" i="7"/>
  <c r="F3223" i="7" s="1"/>
  <c r="E3223" i="7" l="1"/>
  <c r="C3225" i="7"/>
  <c r="D3224" i="7"/>
  <c r="E3224" i="7" s="1"/>
  <c r="F3224" i="7" l="1"/>
  <c r="C3226" i="7"/>
  <c r="D3225" i="7"/>
  <c r="F3225" i="7" s="1"/>
  <c r="C3227" i="7" l="1"/>
  <c r="D3226" i="7"/>
  <c r="E3226" i="7" s="1"/>
  <c r="E3225" i="7"/>
  <c r="C3228" i="7" l="1"/>
  <c r="D3227" i="7"/>
  <c r="F3227" i="7" s="1"/>
  <c r="F3226" i="7"/>
  <c r="E3227" i="7" s="1"/>
  <c r="C3229" i="7" l="1"/>
  <c r="D3228" i="7"/>
  <c r="E3228" i="7" l="1"/>
  <c r="C3230" i="7"/>
  <c r="D3229" i="7"/>
  <c r="F3229" i="7" s="1"/>
  <c r="F3228" i="7"/>
  <c r="E3229" i="7" l="1"/>
  <c r="C3231" i="7"/>
  <c r="D3230" i="7"/>
  <c r="E3230" i="7" l="1"/>
  <c r="F3230" i="7"/>
  <c r="C3232" i="7"/>
  <c r="D3231" i="7"/>
  <c r="F3231" i="7" s="1"/>
  <c r="E3231" i="7" l="1"/>
  <c r="C3233" i="7"/>
  <c r="D3232" i="7"/>
  <c r="E3232" i="7" s="1"/>
  <c r="F3232" i="7" l="1"/>
  <c r="C3234" i="7"/>
  <c r="D3233" i="7"/>
  <c r="F3233" i="7" s="1"/>
  <c r="E3233" i="7" l="1"/>
  <c r="C3235" i="7"/>
  <c r="D3234" i="7"/>
  <c r="E3234" i="7" s="1"/>
  <c r="F3234" i="7" l="1"/>
  <c r="C3236" i="7"/>
  <c r="D3235" i="7"/>
  <c r="F3235" i="7" s="1"/>
  <c r="C3237" i="7" l="1"/>
  <c r="D3236" i="7"/>
  <c r="E3236" i="7" s="1"/>
  <c r="E3235" i="7"/>
  <c r="F3236" i="7" l="1"/>
  <c r="C3238" i="7"/>
  <c r="D3237" i="7"/>
  <c r="F3237" i="7" s="1"/>
  <c r="C3239" i="7" l="1"/>
  <c r="D3238" i="7"/>
  <c r="E3238" i="7" s="1"/>
  <c r="E3237" i="7"/>
  <c r="C3240" i="7" l="1"/>
  <c r="D3239" i="7"/>
  <c r="F3239" i="7" s="1"/>
  <c r="F3238" i="7"/>
  <c r="E3239" i="7" s="1"/>
  <c r="C3241" i="7" l="1"/>
  <c r="D3240" i="7"/>
  <c r="E3240" i="7" l="1"/>
  <c r="F3240" i="7"/>
  <c r="C3242" i="7"/>
  <c r="D3241" i="7"/>
  <c r="F3241" i="7" s="1"/>
  <c r="C3243" i="7" l="1"/>
  <c r="D3242" i="7"/>
  <c r="E3242" i="7" s="1"/>
  <c r="E3241" i="7"/>
  <c r="C3244" i="7" l="1"/>
  <c r="D3243" i="7"/>
  <c r="F3243" i="7" s="1"/>
  <c r="F3242" i="7"/>
  <c r="E3243" i="7" s="1"/>
  <c r="C3245" i="7" l="1"/>
  <c r="D3244" i="7"/>
  <c r="E3244" i="7" l="1"/>
  <c r="F3244" i="7"/>
  <c r="C3246" i="7"/>
  <c r="D3245" i="7"/>
  <c r="F3245" i="7" s="1"/>
  <c r="E3245" i="7" l="1"/>
  <c r="C3247" i="7"/>
  <c r="D3246" i="7"/>
  <c r="E3246" i="7" s="1"/>
  <c r="F3246" i="7" l="1"/>
  <c r="C3248" i="7"/>
  <c r="D3247" i="7"/>
  <c r="F3247" i="7" s="1"/>
  <c r="C3249" i="7" l="1"/>
  <c r="D3248" i="7"/>
  <c r="E3248" i="7" s="1"/>
  <c r="E3247" i="7"/>
  <c r="C3250" i="7" l="1"/>
  <c r="D3249" i="7"/>
  <c r="F3249" i="7" s="1"/>
  <c r="F3248" i="7"/>
  <c r="E3249" i="7" s="1"/>
  <c r="C3251" i="7" l="1"/>
  <c r="D3250" i="7"/>
  <c r="E3250" i="7" l="1"/>
  <c r="F3250" i="7"/>
  <c r="C3252" i="7"/>
  <c r="D3251" i="7"/>
  <c r="F3251" i="7" s="1"/>
  <c r="E3251" i="7" l="1"/>
  <c r="C3253" i="7"/>
  <c r="D3252" i="7"/>
  <c r="E3252" i="7" s="1"/>
  <c r="F3252" i="7" l="1"/>
  <c r="C3254" i="7"/>
  <c r="D3253" i="7"/>
  <c r="F3253" i="7" s="1"/>
  <c r="E3253" i="7" l="1"/>
  <c r="C3255" i="7"/>
  <c r="D3254" i="7"/>
  <c r="E3254" i="7" s="1"/>
  <c r="F3254" i="7" l="1"/>
  <c r="C3256" i="7"/>
  <c r="D3255" i="7"/>
  <c r="F3255" i="7" s="1"/>
  <c r="E3255" i="7" l="1"/>
  <c r="C3257" i="7"/>
  <c r="D3256" i="7"/>
  <c r="E3256" i="7" s="1"/>
  <c r="F3256" i="7" l="1"/>
  <c r="C3258" i="7"/>
  <c r="D3257" i="7"/>
  <c r="F3257" i="7" s="1"/>
  <c r="C3259" i="7" l="1"/>
  <c r="D3258" i="7"/>
  <c r="E3258" i="7" s="1"/>
  <c r="E3257" i="7"/>
  <c r="F3258" i="7" l="1"/>
  <c r="C3260" i="7"/>
  <c r="D3259" i="7"/>
  <c r="F3259" i="7" s="1"/>
  <c r="C3261" i="7" l="1"/>
  <c r="D3260" i="7"/>
  <c r="E3260" i="7" s="1"/>
  <c r="E3259" i="7"/>
  <c r="C3262" i="7" l="1"/>
  <c r="D3261" i="7"/>
  <c r="F3261" i="7" s="1"/>
  <c r="F3260" i="7"/>
  <c r="E3261" i="7" s="1"/>
  <c r="C3263" i="7" l="1"/>
  <c r="D3262" i="7"/>
  <c r="E3262" i="7" l="1"/>
  <c r="F3262" i="7"/>
  <c r="C3264" i="7"/>
  <c r="D3263" i="7"/>
  <c r="F3263" i="7" s="1"/>
  <c r="C3265" i="7" l="1"/>
  <c r="D3264" i="7"/>
  <c r="E3264" i="7" s="1"/>
  <c r="E3263" i="7"/>
  <c r="C3266" i="7" l="1"/>
  <c r="D3265" i="7"/>
  <c r="F3265" i="7" s="1"/>
  <c r="F3264" i="7"/>
  <c r="E3265" i="7" l="1"/>
  <c r="C3267" i="7"/>
  <c r="D3266" i="7"/>
  <c r="E3266" i="7" l="1"/>
  <c r="C3268" i="7"/>
  <c r="D3267" i="7"/>
  <c r="F3267" i="7" s="1"/>
  <c r="F3266" i="7"/>
  <c r="E3267" i="7" l="1"/>
  <c r="C3269" i="7"/>
  <c r="D3268" i="7"/>
  <c r="E3268" i="7" s="1"/>
  <c r="F3268" i="7" l="1"/>
  <c r="C3270" i="7"/>
  <c r="D3269" i="7"/>
  <c r="F3269" i="7" s="1"/>
  <c r="E3269" i="7" l="1"/>
  <c r="C3271" i="7"/>
  <c r="D3270" i="7"/>
  <c r="E3270" i="7" s="1"/>
  <c r="F3270" i="7" l="1"/>
  <c r="C3272" i="7"/>
  <c r="D3271" i="7"/>
  <c r="F3271" i="7" s="1"/>
  <c r="E3271" i="7" l="1"/>
  <c r="C3273" i="7"/>
  <c r="D3272" i="7"/>
  <c r="E3272" i="7" s="1"/>
  <c r="F3272" i="7" l="1"/>
  <c r="C3274" i="7"/>
  <c r="D3273" i="7"/>
  <c r="F3273" i="7" s="1"/>
  <c r="C3275" i="7" l="1"/>
  <c r="D3274" i="7"/>
  <c r="E3274" i="7" s="1"/>
  <c r="E3273" i="7"/>
  <c r="C3276" i="7" l="1"/>
  <c r="D3275" i="7"/>
  <c r="F3275" i="7" s="1"/>
  <c r="F3274" i="7"/>
  <c r="E3275" i="7" s="1"/>
  <c r="C3277" i="7" l="1"/>
  <c r="D3276" i="7"/>
  <c r="E3276" i="7" l="1"/>
  <c r="C3278" i="7"/>
  <c r="D3277" i="7"/>
  <c r="F3277" i="7" s="1"/>
  <c r="F3276" i="7"/>
  <c r="E3277" i="7" l="1"/>
  <c r="C3279" i="7"/>
  <c r="D3278" i="7"/>
  <c r="E3278" i="7" s="1"/>
  <c r="F3278" i="7" l="1"/>
  <c r="C3280" i="7"/>
  <c r="D3279" i="7"/>
  <c r="F3279" i="7" s="1"/>
  <c r="C3281" i="7" l="1"/>
  <c r="D3280" i="7"/>
  <c r="E3280" i="7" s="1"/>
  <c r="E3279" i="7"/>
  <c r="F3280" i="7" l="1"/>
  <c r="C3282" i="7"/>
  <c r="D3281" i="7"/>
  <c r="F3281" i="7" s="1"/>
  <c r="C3283" i="7" l="1"/>
  <c r="D3282" i="7"/>
  <c r="E3282" i="7" s="1"/>
  <c r="E3281" i="7"/>
  <c r="C3284" i="7" l="1"/>
  <c r="D3283" i="7"/>
  <c r="F3283" i="7" s="1"/>
  <c r="F3282" i="7"/>
  <c r="E3283" i="7" l="1"/>
  <c r="C3285" i="7"/>
  <c r="D3284" i="7"/>
  <c r="E3284" i="7" l="1"/>
  <c r="C3286" i="7"/>
  <c r="D3285" i="7"/>
  <c r="F3285" i="7" s="1"/>
  <c r="F3284" i="7"/>
  <c r="E3285" i="7" l="1"/>
  <c r="C3287" i="7"/>
  <c r="D3286" i="7"/>
  <c r="E3286" i="7" l="1"/>
  <c r="C3288" i="7"/>
  <c r="D3287" i="7"/>
  <c r="F3287" i="7" s="1"/>
  <c r="F3286" i="7"/>
  <c r="E3287" i="7" s="1"/>
  <c r="C3289" i="7" l="1"/>
  <c r="D3288" i="7"/>
  <c r="E3288" i="7" l="1"/>
  <c r="F3288" i="7"/>
  <c r="C3290" i="7"/>
  <c r="D3289" i="7"/>
  <c r="F3289" i="7" s="1"/>
  <c r="E3289" i="7" l="1"/>
  <c r="C3291" i="7"/>
  <c r="D3290" i="7"/>
  <c r="E3290" i="7" s="1"/>
  <c r="F3290" i="7" l="1"/>
  <c r="C3292" i="7"/>
  <c r="D3291" i="7"/>
  <c r="F3291" i="7" s="1"/>
  <c r="E3291" i="7" l="1"/>
  <c r="C3293" i="7"/>
  <c r="D3292" i="7"/>
  <c r="E3292" i="7" s="1"/>
  <c r="F3292" i="7" l="1"/>
  <c r="C3294" i="7"/>
  <c r="D3293" i="7"/>
  <c r="F3293" i="7" s="1"/>
  <c r="C3295" i="7" l="1"/>
  <c r="D3294" i="7"/>
  <c r="E3294" i="7" s="1"/>
  <c r="E3293" i="7"/>
  <c r="F3294" i="7" l="1"/>
  <c r="C3296" i="7"/>
  <c r="D3295" i="7"/>
  <c r="F3295" i="7" s="1"/>
  <c r="C3297" i="7" l="1"/>
  <c r="D3296" i="7"/>
  <c r="E3296" i="7" s="1"/>
  <c r="E3295" i="7"/>
  <c r="F3296" i="7" l="1"/>
  <c r="C3298" i="7"/>
  <c r="D3297" i="7"/>
  <c r="F3297" i="7" s="1"/>
  <c r="C3299" i="7" l="1"/>
  <c r="D3298" i="7"/>
  <c r="E3298" i="7" s="1"/>
  <c r="E3297" i="7"/>
  <c r="F3298" i="7" l="1"/>
  <c r="C3300" i="7"/>
  <c r="D3299" i="7"/>
  <c r="F3299" i="7" s="1"/>
  <c r="C3301" i="7" l="1"/>
  <c r="D3300" i="7"/>
  <c r="E3300" i="7" s="1"/>
  <c r="E3299" i="7"/>
  <c r="F3300" i="7" l="1"/>
  <c r="C3302" i="7"/>
  <c r="D3301" i="7"/>
  <c r="F3301" i="7" s="1"/>
  <c r="C3303" i="7" l="1"/>
  <c r="D3302" i="7"/>
  <c r="E3302" i="7" s="1"/>
  <c r="E3301" i="7"/>
  <c r="F3302" i="7" l="1"/>
  <c r="C3304" i="7"/>
  <c r="D3303" i="7"/>
  <c r="F3303" i="7" s="1"/>
  <c r="C3305" i="7" l="1"/>
  <c r="D3304" i="7"/>
  <c r="E3304" i="7" s="1"/>
  <c r="E3303" i="7"/>
  <c r="F3304" i="7" l="1"/>
  <c r="C3306" i="7"/>
  <c r="D3305" i="7"/>
  <c r="F3305" i="7" s="1"/>
  <c r="C3307" i="7" l="1"/>
  <c r="D3306" i="7"/>
  <c r="E3306" i="7" s="1"/>
  <c r="E3305" i="7"/>
  <c r="C3308" i="7" l="1"/>
  <c r="D3307" i="7"/>
  <c r="F3307" i="7" s="1"/>
  <c r="F3306" i="7"/>
  <c r="E3307" i="7" s="1"/>
  <c r="C3309" i="7" l="1"/>
  <c r="D3308" i="7"/>
  <c r="E3308" i="7" l="1"/>
  <c r="F3308" i="7"/>
  <c r="C3310" i="7"/>
  <c r="D3309" i="7"/>
  <c r="F3309" i="7" s="1"/>
  <c r="E3309" i="7" l="1"/>
  <c r="C3311" i="7"/>
  <c r="D3310" i="7"/>
  <c r="E3310" i="7" s="1"/>
  <c r="C3312" i="7" l="1"/>
  <c r="D3311" i="7"/>
  <c r="F3311" i="7" s="1"/>
  <c r="F3310" i="7"/>
  <c r="E3311" i="7" s="1"/>
  <c r="C3313" i="7" l="1"/>
  <c r="D3312" i="7"/>
  <c r="E3312" i="7" l="1"/>
  <c r="C3314" i="7"/>
  <c r="D3313" i="7"/>
  <c r="F3313" i="7" s="1"/>
  <c r="F3312" i="7"/>
  <c r="E3313" i="7" l="1"/>
  <c r="C3315" i="7"/>
  <c r="D3314" i="7"/>
  <c r="E3314" i="7" l="1"/>
  <c r="C3316" i="7"/>
  <c r="D3315" i="7"/>
  <c r="F3315" i="7" s="1"/>
  <c r="F3314" i="7"/>
  <c r="E3315" i="7" l="1"/>
  <c r="C3317" i="7"/>
  <c r="D3316" i="7"/>
  <c r="E3316" i="7" l="1"/>
  <c r="C3318" i="7"/>
  <c r="D3317" i="7"/>
  <c r="F3317" i="7" s="1"/>
  <c r="F3316" i="7"/>
  <c r="E3317" i="7" l="1"/>
  <c r="C3319" i="7"/>
  <c r="D3318" i="7"/>
  <c r="E3318" i="7" l="1"/>
  <c r="F3318" i="7"/>
  <c r="C3320" i="7"/>
  <c r="D3319" i="7"/>
  <c r="F3319" i="7" s="1"/>
  <c r="C3321" i="7" l="1"/>
  <c r="D3320" i="7"/>
  <c r="E3320" i="7" s="1"/>
  <c r="E3319" i="7"/>
  <c r="C3322" i="7" l="1"/>
  <c r="D3321" i="7"/>
  <c r="F3321" i="7" s="1"/>
  <c r="F3320" i="7"/>
  <c r="E3321" i="7" s="1"/>
  <c r="C3323" i="7" l="1"/>
  <c r="D3322" i="7"/>
  <c r="E3322" i="7" l="1"/>
  <c r="F3322" i="7"/>
  <c r="C3324" i="7"/>
  <c r="D3323" i="7"/>
  <c r="F3323" i="7" s="1"/>
  <c r="C3325" i="7" l="1"/>
  <c r="D3324" i="7"/>
  <c r="E3324" i="7" s="1"/>
  <c r="E3323" i="7"/>
  <c r="F3324" i="7" l="1"/>
  <c r="C3326" i="7"/>
  <c r="D3325" i="7"/>
  <c r="F3325" i="7" s="1"/>
  <c r="E3325" i="7" l="1"/>
  <c r="C3327" i="7"/>
  <c r="D3326" i="7"/>
  <c r="E3326" i="7" s="1"/>
  <c r="C3328" i="7" l="1"/>
  <c r="D3327" i="7"/>
  <c r="F3327" i="7" s="1"/>
  <c r="F3326" i="7"/>
  <c r="E3327" i="7" s="1"/>
  <c r="C3329" i="7" l="1"/>
  <c r="D3328" i="7"/>
  <c r="E3328" i="7" l="1"/>
  <c r="F3328" i="7"/>
  <c r="C3330" i="7"/>
  <c r="D3329" i="7"/>
  <c r="F3329" i="7" s="1"/>
  <c r="C3331" i="7" l="1"/>
  <c r="D3330" i="7"/>
  <c r="E3330" i="7" s="1"/>
  <c r="E3329" i="7"/>
  <c r="C3332" i="7" l="1"/>
  <c r="D3331" i="7"/>
  <c r="F3331" i="7" s="1"/>
  <c r="F3330" i="7"/>
  <c r="E3331" i="7" s="1"/>
  <c r="C3333" i="7" l="1"/>
  <c r="D3332" i="7"/>
  <c r="E3332" i="7" l="1"/>
  <c r="F3332" i="7"/>
  <c r="C3334" i="7"/>
  <c r="D3333" i="7"/>
  <c r="F3333" i="7" s="1"/>
  <c r="C3335" i="7" l="1"/>
  <c r="D3334" i="7"/>
  <c r="E3334" i="7" s="1"/>
  <c r="E3333" i="7"/>
  <c r="C3336" i="7" l="1"/>
  <c r="D3335" i="7"/>
  <c r="F3335" i="7" s="1"/>
  <c r="F3334" i="7"/>
  <c r="E3335" i="7" s="1"/>
  <c r="C3337" i="7" l="1"/>
  <c r="D3336" i="7"/>
  <c r="E3336" i="7" l="1"/>
  <c r="C3338" i="7"/>
  <c r="D3337" i="7"/>
  <c r="F3337" i="7" s="1"/>
  <c r="F3336" i="7"/>
  <c r="E3337" i="7" l="1"/>
  <c r="C3339" i="7"/>
  <c r="D3338" i="7"/>
  <c r="E3338" i="7" l="1"/>
  <c r="C3340" i="7"/>
  <c r="D3339" i="7"/>
  <c r="F3339" i="7" s="1"/>
  <c r="F3338" i="7"/>
  <c r="E3339" i="7" l="1"/>
  <c r="C3341" i="7"/>
  <c r="D3340" i="7"/>
  <c r="E3340" i="7" s="1"/>
  <c r="F3340" i="7" l="1"/>
  <c r="C3342" i="7"/>
  <c r="D3341" i="7"/>
  <c r="F3341" i="7" s="1"/>
  <c r="C3343" i="7" l="1"/>
  <c r="D3342" i="7"/>
  <c r="E3342" i="7" s="1"/>
  <c r="E3341" i="7"/>
  <c r="F3342" i="7" l="1"/>
  <c r="C3344" i="7"/>
  <c r="D3343" i="7"/>
  <c r="F3343" i="7" s="1"/>
  <c r="C3345" i="7" l="1"/>
  <c r="D3344" i="7"/>
  <c r="E3344" i="7" s="1"/>
  <c r="E3343" i="7"/>
  <c r="F3344" i="7" l="1"/>
  <c r="C3346" i="7"/>
  <c r="D3345" i="7"/>
  <c r="F3345" i="7" s="1"/>
  <c r="C3347" i="7" l="1"/>
  <c r="D3346" i="7"/>
  <c r="E3346" i="7" s="1"/>
  <c r="E3345" i="7"/>
  <c r="F3346" i="7" l="1"/>
  <c r="C3348" i="7"/>
  <c r="D3347" i="7"/>
  <c r="F3347" i="7" s="1"/>
  <c r="C3349" i="7" l="1"/>
  <c r="D3348" i="7"/>
  <c r="E3348" i="7" s="1"/>
  <c r="E3347" i="7"/>
  <c r="F3348" i="7" l="1"/>
  <c r="C3350" i="7"/>
  <c r="D3349" i="7"/>
  <c r="F3349" i="7" s="1"/>
  <c r="C3351" i="7" l="1"/>
  <c r="D3350" i="7"/>
  <c r="E3350" i="7" s="1"/>
  <c r="E3349" i="7"/>
  <c r="F3350" i="7" l="1"/>
  <c r="C3352" i="7"/>
  <c r="D3351" i="7"/>
  <c r="F3351" i="7" s="1"/>
  <c r="C3353" i="7" l="1"/>
  <c r="D3352" i="7"/>
  <c r="E3352" i="7" s="1"/>
  <c r="E3351" i="7"/>
  <c r="F3352" i="7" l="1"/>
  <c r="C3354" i="7"/>
  <c r="D3353" i="7"/>
  <c r="F3353" i="7" s="1"/>
  <c r="C3355" i="7" l="1"/>
  <c r="D3354" i="7"/>
  <c r="E3354" i="7" s="1"/>
  <c r="E3353" i="7"/>
  <c r="F3354" i="7" l="1"/>
  <c r="C3356" i="7"/>
  <c r="D3355" i="7"/>
  <c r="F3355" i="7" s="1"/>
  <c r="C3357" i="7" l="1"/>
  <c r="D3356" i="7"/>
  <c r="E3356" i="7" s="1"/>
  <c r="E3355" i="7"/>
  <c r="F3356" i="7" l="1"/>
  <c r="C3358" i="7"/>
  <c r="D3357" i="7"/>
  <c r="F3357" i="7" s="1"/>
  <c r="C3359" i="7" l="1"/>
  <c r="D3358" i="7"/>
  <c r="E3358" i="7" s="1"/>
  <c r="E3357" i="7"/>
  <c r="F3358" i="7" l="1"/>
  <c r="C3360" i="7"/>
  <c r="D3359" i="7"/>
  <c r="F3359" i="7" s="1"/>
  <c r="C3361" i="7" l="1"/>
  <c r="D3360" i="7"/>
  <c r="E3360" i="7" s="1"/>
  <c r="E3359" i="7"/>
  <c r="F3360" i="7" l="1"/>
  <c r="C3362" i="7"/>
  <c r="D3361" i="7"/>
  <c r="F3361" i="7" s="1"/>
  <c r="C3363" i="7" l="1"/>
  <c r="D3362" i="7"/>
  <c r="E3362" i="7" s="1"/>
  <c r="E3361" i="7"/>
  <c r="F3362" i="7" l="1"/>
  <c r="C3364" i="7"/>
  <c r="D3363" i="7"/>
  <c r="F3363" i="7" s="1"/>
  <c r="C3365" i="7" l="1"/>
  <c r="D3364" i="7"/>
  <c r="E3364" i="7" s="1"/>
  <c r="E3363" i="7"/>
  <c r="F3364" i="7" l="1"/>
  <c r="C3366" i="7"/>
  <c r="D3365" i="7"/>
  <c r="F3365" i="7" s="1"/>
  <c r="C3367" i="7" l="1"/>
  <c r="D3366" i="7"/>
  <c r="E3366" i="7" s="1"/>
  <c r="E3365" i="7"/>
  <c r="F3366" i="7" l="1"/>
  <c r="C3368" i="7"/>
  <c r="D3367" i="7"/>
  <c r="F3367" i="7" s="1"/>
  <c r="C3369" i="7" l="1"/>
  <c r="D3368" i="7"/>
  <c r="E3368" i="7" s="1"/>
  <c r="E3367" i="7"/>
  <c r="F3368" i="7" l="1"/>
  <c r="C3370" i="7"/>
  <c r="D3369" i="7"/>
  <c r="F3369" i="7" s="1"/>
  <c r="C3371" i="7" l="1"/>
  <c r="D3370" i="7"/>
  <c r="E3370" i="7" s="1"/>
  <c r="E3369" i="7"/>
  <c r="C3372" i="7" l="1"/>
  <c r="D3371" i="7"/>
  <c r="F3371" i="7" s="1"/>
  <c r="F3370" i="7"/>
  <c r="E3371" i="7" l="1"/>
  <c r="C3373" i="7"/>
  <c r="D3372" i="7"/>
  <c r="E3372" i="7" s="1"/>
  <c r="F3372" i="7" l="1"/>
  <c r="C3374" i="7"/>
  <c r="D3373" i="7"/>
  <c r="F3373" i="7" s="1"/>
  <c r="C3375" i="7" l="1"/>
  <c r="D3374" i="7"/>
  <c r="E3374" i="7" s="1"/>
  <c r="E3373" i="7"/>
  <c r="F3374" i="7" l="1"/>
  <c r="C3376" i="7"/>
  <c r="D3375" i="7"/>
  <c r="F3375" i="7" s="1"/>
  <c r="C3377" i="7" l="1"/>
  <c r="D3376" i="7"/>
  <c r="E3376" i="7" s="1"/>
  <c r="E3375" i="7"/>
  <c r="F3376" i="7" l="1"/>
  <c r="C3378" i="7"/>
  <c r="D3377" i="7"/>
  <c r="F3377" i="7" s="1"/>
  <c r="C3379" i="7" l="1"/>
  <c r="D3378" i="7"/>
  <c r="E3378" i="7" s="1"/>
  <c r="E3377" i="7"/>
  <c r="F3378" i="7" l="1"/>
  <c r="C3380" i="7"/>
  <c r="D3379" i="7"/>
  <c r="F3379" i="7" s="1"/>
  <c r="C3381" i="7" l="1"/>
  <c r="D3380" i="7"/>
  <c r="E3380" i="7" s="1"/>
  <c r="E3379" i="7"/>
  <c r="F3380" i="7" l="1"/>
  <c r="C3382" i="7"/>
  <c r="D3381" i="7"/>
  <c r="F3381" i="7" s="1"/>
  <c r="C3383" i="7" l="1"/>
  <c r="D3382" i="7"/>
  <c r="E3382" i="7" s="1"/>
  <c r="E3381" i="7"/>
  <c r="F3382" i="7" l="1"/>
  <c r="C3384" i="7"/>
  <c r="D3383" i="7"/>
  <c r="F3383" i="7" s="1"/>
  <c r="C3385" i="7" l="1"/>
  <c r="D3384" i="7"/>
  <c r="E3384" i="7" s="1"/>
  <c r="E3383" i="7"/>
  <c r="F3384" i="7" l="1"/>
  <c r="C3386" i="7"/>
  <c r="D3385" i="7"/>
  <c r="F3385" i="7" s="1"/>
  <c r="C3387" i="7" l="1"/>
  <c r="D3386" i="7"/>
  <c r="E3386" i="7" s="1"/>
  <c r="E3385" i="7"/>
  <c r="F3386" i="7" l="1"/>
  <c r="C3388" i="7"/>
  <c r="D3387" i="7"/>
  <c r="F3387" i="7" s="1"/>
  <c r="C3389" i="7" l="1"/>
  <c r="D3388" i="7"/>
  <c r="E3388" i="7" s="1"/>
  <c r="E3387" i="7"/>
  <c r="F3388" i="7" l="1"/>
  <c r="C3390" i="7"/>
  <c r="D3389" i="7"/>
  <c r="F3389" i="7" s="1"/>
  <c r="C3391" i="7" l="1"/>
  <c r="D3390" i="7"/>
  <c r="E3390" i="7" s="1"/>
  <c r="E3389" i="7"/>
  <c r="F3390" i="7" l="1"/>
  <c r="C3392" i="7"/>
  <c r="D3391" i="7"/>
  <c r="F3391" i="7" s="1"/>
  <c r="C3393" i="7" l="1"/>
  <c r="D3392" i="7"/>
  <c r="E3392" i="7" s="1"/>
  <c r="E3391" i="7"/>
  <c r="F3392" i="7" l="1"/>
  <c r="C3394" i="7"/>
  <c r="D3393" i="7"/>
  <c r="F3393" i="7" s="1"/>
  <c r="C3395" i="7" l="1"/>
  <c r="D3394" i="7"/>
  <c r="E3394" i="7" s="1"/>
  <c r="E3393" i="7"/>
  <c r="F3394" i="7" l="1"/>
  <c r="C3396" i="7"/>
  <c r="D3395" i="7"/>
  <c r="F3395" i="7" s="1"/>
  <c r="C3397" i="7" l="1"/>
  <c r="D3396" i="7"/>
  <c r="E3396" i="7" s="1"/>
  <c r="E3395" i="7"/>
  <c r="F3396" i="7" l="1"/>
  <c r="C3398" i="7"/>
  <c r="D3397" i="7"/>
  <c r="F3397" i="7" s="1"/>
  <c r="C3399" i="7" l="1"/>
  <c r="D3398" i="7"/>
  <c r="E3398" i="7" s="1"/>
  <c r="E3397" i="7"/>
  <c r="F3398" i="7" l="1"/>
  <c r="C3400" i="7"/>
  <c r="D3399" i="7"/>
  <c r="F3399" i="7" s="1"/>
  <c r="C3401" i="7" l="1"/>
  <c r="D3400" i="7"/>
  <c r="E3400" i="7" s="1"/>
  <c r="E3399" i="7"/>
  <c r="F3400" i="7" l="1"/>
  <c r="C3402" i="7"/>
  <c r="D3401" i="7"/>
  <c r="F3401" i="7" s="1"/>
  <c r="C3403" i="7" l="1"/>
  <c r="D3402" i="7"/>
  <c r="E3402" i="7" s="1"/>
  <c r="E3401" i="7"/>
  <c r="F3402" i="7" l="1"/>
  <c r="C3404" i="7"/>
  <c r="D3403" i="7"/>
  <c r="F3403" i="7" s="1"/>
  <c r="C3405" i="7" l="1"/>
  <c r="D3404" i="7"/>
  <c r="E3404" i="7" s="1"/>
  <c r="E3403" i="7"/>
  <c r="F3404" i="7" l="1"/>
  <c r="C3406" i="7"/>
  <c r="D3405" i="7"/>
  <c r="F3405" i="7" s="1"/>
  <c r="C3407" i="7" l="1"/>
  <c r="D3406" i="7"/>
  <c r="E3406" i="7" s="1"/>
  <c r="E3405" i="7"/>
  <c r="F3406" i="7" l="1"/>
  <c r="C3408" i="7"/>
  <c r="D3407" i="7"/>
  <c r="F3407" i="7" s="1"/>
  <c r="C3409" i="7" l="1"/>
  <c r="D3408" i="7"/>
  <c r="E3408" i="7" s="1"/>
  <c r="E3407" i="7"/>
  <c r="F3408" i="7" l="1"/>
  <c r="C3410" i="7"/>
  <c r="D3409" i="7"/>
  <c r="F3409" i="7" s="1"/>
  <c r="C3411" i="7" l="1"/>
  <c r="D3410" i="7"/>
  <c r="E3410" i="7" s="1"/>
  <c r="E3409" i="7"/>
  <c r="F3410" i="7" l="1"/>
  <c r="C3412" i="7"/>
  <c r="D3411" i="7"/>
  <c r="F3411" i="7" s="1"/>
  <c r="C3413" i="7" l="1"/>
  <c r="D3412" i="7"/>
  <c r="E3412" i="7" s="1"/>
  <c r="E3411" i="7"/>
  <c r="F3412" i="7" l="1"/>
  <c r="C3414" i="7"/>
  <c r="D3413" i="7"/>
  <c r="F3413" i="7" s="1"/>
  <c r="C3415" i="7" l="1"/>
  <c r="D3414" i="7"/>
  <c r="E3414" i="7" s="1"/>
  <c r="E3413" i="7"/>
  <c r="F3414" i="7" l="1"/>
  <c r="C3416" i="7"/>
  <c r="D3415" i="7"/>
  <c r="F3415" i="7" s="1"/>
  <c r="C3417" i="7" l="1"/>
  <c r="D3416" i="7"/>
  <c r="E3416" i="7" s="1"/>
  <c r="E3415" i="7"/>
  <c r="F3416" i="7" l="1"/>
  <c r="C3418" i="7"/>
  <c r="D3417" i="7"/>
  <c r="F3417" i="7" s="1"/>
  <c r="C3419" i="7" l="1"/>
  <c r="D3418" i="7"/>
  <c r="E3418" i="7" s="1"/>
  <c r="E3417" i="7"/>
  <c r="C3420" i="7" l="1"/>
  <c r="D3419" i="7"/>
  <c r="F3419" i="7" s="1"/>
  <c r="F3418" i="7"/>
  <c r="E3419" i="7" s="1"/>
  <c r="C3421" i="7" l="1"/>
  <c r="D3420" i="7"/>
  <c r="E3420" i="7" l="1"/>
  <c r="F3420" i="7"/>
  <c r="C3422" i="7"/>
  <c r="D3421" i="7"/>
  <c r="F3421" i="7" s="1"/>
  <c r="C3423" i="7" l="1"/>
  <c r="D3422" i="7"/>
  <c r="E3422" i="7" s="1"/>
  <c r="E3421" i="7"/>
  <c r="F3422" i="7" l="1"/>
  <c r="C3424" i="7"/>
  <c r="D3423" i="7"/>
  <c r="F3423" i="7" s="1"/>
  <c r="C3425" i="7" l="1"/>
  <c r="D3424" i="7"/>
  <c r="E3424" i="7" s="1"/>
  <c r="E3423" i="7"/>
  <c r="F3424" i="7" l="1"/>
  <c r="C3426" i="7"/>
  <c r="D3425" i="7"/>
  <c r="F3425" i="7" s="1"/>
  <c r="C3427" i="7" l="1"/>
  <c r="D3426" i="7"/>
  <c r="E3426" i="7" s="1"/>
  <c r="E3425" i="7"/>
  <c r="C3428" i="7" l="1"/>
  <c r="D3427" i="7"/>
  <c r="F3427" i="7" s="1"/>
  <c r="F3426" i="7"/>
  <c r="E3427" i="7" s="1"/>
  <c r="C3429" i="7" l="1"/>
  <c r="D3428" i="7"/>
  <c r="E3428" i="7" l="1"/>
  <c r="F3428" i="7"/>
  <c r="C3430" i="7"/>
  <c r="D3429" i="7"/>
  <c r="F3429" i="7" s="1"/>
  <c r="C3431" i="7" l="1"/>
  <c r="D3430" i="7"/>
  <c r="E3430" i="7" s="1"/>
  <c r="E3429" i="7"/>
  <c r="F3430" i="7" l="1"/>
  <c r="C3432" i="7"/>
  <c r="D3431" i="7"/>
  <c r="F3431" i="7" s="1"/>
  <c r="C3433" i="7" l="1"/>
  <c r="D3432" i="7"/>
  <c r="E3432" i="7" s="1"/>
  <c r="E3431" i="7"/>
  <c r="F3432" i="7" l="1"/>
  <c r="C3434" i="7"/>
  <c r="D3433" i="7"/>
  <c r="F3433" i="7" s="1"/>
  <c r="C3435" i="7" l="1"/>
  <c r="D3434" i="7"/>
  <c r="E3434" i="7" s="1"/>
  <c r="E3433" i="7"/>
  <c r="F3434" i="7" l="1"/>
  <c r="C3436" i="7"/>
  <c r="D3435" i="7"/>
  <c r="F3435" i="7" s="1"/>
  <c r="C3437" i="7" l="1"/>
  <c r="D3436" i="7"/>
  <c r="E3436" i="7" s="1"/>
  <c r="E3435" i="7"/>
  <c r="F3436" i="7" l="1"/>
  <c r="C3438" i="7"/>
  <c r="D3437" i="7"/>
  <c r="F3437" i="7" s="1"/>
  <c r="C3439" i="7" l="1"/>
  <c r="D3438" i="7"/>
  <c r="E3438" i="7" s="1"/>
  <c r="E3437" i="7"/>
  <c r="F3438" i="7" l="1"/>
  <c r="C3440" i="7"/>
  <c r="D3439" i="7"/>
  <c r="F3439" i="7" s="1"/>
  <c r="C3441" i="7" l="1"/>
  <c r="D3440" i="7"/>
  <c r="E3440" i="7" s="1"/>
  <c r="E3439" i="7"/>
  <c r="F3440" i="7" l="1"/>
  <c r="C3442" i="7"/>
  <c r="D3441" i="7"/>
  <c r="F3441" i="7" s="1"/>
  <c r="C3443" i="7" l="1"/>
  <c r="D3442" i="7"/>
  <c r="E3442" i="7" s="1"/>
  <c r="E3441" i="7"/>
  <c r="F3442" i="7" l="1"/>
  <c r="C3444" i="7"/>
  <c r="D3443" i="7"/>
  <c r="E3443" i="7" l="1"/>
  <c r="F3443" i="7"/>
  <c r="C3445" i="7"/>
  <c r="D3444" i="7"/>
  <c r="F3444" i="7" s="1"/>
  <c r="C3446" i="7" l="1"/>
  <c r="D3445" i="7"/>
  <c r="E3445" i="7" s="1"/>
  <c r="E3444" i="7"/>
  <c r="F3445" i="7" l="1"/>
  <c r="C3447" i="7"/>
  <c r="D3446" i="7"/>
  <c r="F3446" i="7" s="1"/>
  <c r="C3448" i="7" l="1"/>
  <c r="D3447" i="7"/>
  <c r="E3447" i="7" s="1"/>
  <c r="E3446" i="7"/>
  <c r="F3447" i="7" l="1"/>
  <c r="C3449" i="7"/>
  <c r="D3448" i="7"/>
  <c r="F3448" i="7" s="1"/>
  <c r="C3450" i="7" l="1"/>
  <c r="D3449" i="7"/>
  <c r="E3449" i="7" s="1"/>
  <c r="E3448" i="7"/>
  <c r="F3449" i="7" l="1"/>
  <c r="C3451" i="7"/>
  <c r="D3450" i="7"/>
  <c r="F3450" i="7" s="1"/>
  <c r="C3452" i="7" l="1"/>
  <c r="D3451" i="7"/>
  <c r="E3451" i="7" s="1"/>
  <c r="E3450" i="7"/>
  <c r="F3451" i="7" l="1"/>
  <c r="C3453" i="7"/>
  <c r="D3452" i="7"/>
  <c r="F3452" i="7" s="1"/>
  <c r="C3454" i="7" l="1"/>
  <c r="D3453" i="7"/>
  <c r="E3453" i="7" s="1"/>
  <c r="E3452" i="7"/>
  <c r="F3453" i="7" l="1"/>
  <c r="C3455" i="7"/>
  <c r="D3454" i="7"/>
  <c r="F3454" i="7" s="1"/>
  <c r="C3456" i="7" l="1"/>
  <c r="D3455" i="7"/>
  <c r="E3455" i="7" s="1"/>
  <c r="E3454" i="7"/>
  <c r="F3455" i="7" l="1"/>
  <c r="C3457" i="7"/>
  <c r="D3456" i="7"/>
  <c r="F3456" i="7" s="1"/>
  <c r="C3458" i="7" l="1"/>
  <c r="D3457" i="7"/>
  <c r="E3457" i="7" s="1"/>
  <c r="E3456" i="7"/>
  <c r="F3457" i="7" l="1"/>
  <c r="C3459" i="7"/>
  <c r="D3458" i="7"/>
  <c r="F3458" i="7" s="1"/>
  <c r="C3460" i="7" l="1"/>
  <c r="D3459" i="7"/>
  <c r="E3459" i="7" s="1"/>
  <c r="E3458" i="7"/>
  <c r="F3459" i="7" l="1"/>
  <c r="C3461" i="7"/>
  <c r="D3460" i="7"/>
  <c r="F3460" i="7" s="1"/>
  <c r="E3460" i="7" l="1"/>
  <c r="C3462" i="7"/>
  <c r="D3461" i="7"/>
  <c r="E3461" i="7" s="1"/>
  <c r="F3461" i="7" l="1"/>
  <c r="C3463" i="7"/>
  <c r="D3462" i="7"/>
  <c r="F3462" i="7" s="1"/>
  <c r="E3462" i="7" l="1"/>
  <c r="C3464" i="7"/>
  <c r="D3463" i="7"/>
  <c r="E3463" i="7" s="1"/>
  <c r="F3463" i="7" l="1"/>
  <c r="C3465" i="7"/>
  <c r="D3464" i="7"/>
  <c r="F3464" i="7" s="1"/>
  <c r="C3466" i="7" l="1"/>
  <c r="D3465" i="7"/>
  <c r="E3465" i="7" s="1"/>
  <c r="E3464" i="7"/>
  <c r="F3465" i="7" l="1"/>
  <c r="C3467" i="7"/>
  <c r="D3466" i="7"/>
  <c r="F3466" i="7" s="1"/>
  <c r="C3468" i="7" l="1"/>
  <c r="D3467" i="7"/>
  <c r="E3467" i="7" s="1"/>
  <c r="E3466" i="7"/>
  <c r="F3467" i="7" l="1"/>
  <c r="C3469" i="7"/>
  <c r="D3468" i="7"/>
  <c r="F3468" i="7" s="1"/>
  <c r="C3470" i="7" l="1"/>
  <c r="D3469" i="7"/>
  <c r="E3469" i="7" s="1"/>
  <c r="E3468" i="7"/>
  <c r="F3469" i="7" l="1"/>
  <c r="C3471" i="7"/>
  <c r="D3470" i="7"/>
  <c r="F3470" i="7" s="1"/>
  <c r="C3472" i="7" l="1"/>
  <c r="D3471" i="7"/>
  <c r="E3471" i="7" s="1"/>
  <c r="E3470" i="7"/>
  <c r="F3471" i="7" l="1"/>
  <c r="C3473" i="7"/>
  <c r="D3472" i="7"/>
  <c r="F3472" i="7" s="1"/>
  <c r="C3474" i="7" l="1"/>
  <c r="D3473" i="7"/>
  <c r="E3473" i="7" s="1"/>
  <c r="E3472" i="7"/>
  <c r="C3475" i="7" l="1"/>
  <c r="D3474" i="7"/>
  <c r="F3474" i="7" s="1"/>
  <c r="F3473" i="7"/>
  <c r="E3474" i="7" l="1"/>
  <c r="C3476" i="7"/>
  <c r="D3475" i="7"/>
  <c r="E3475" i="7" s="1"/>
  <c r="F3475" i="7" l="1"/>
  <c r="C3477" i="7"/>
  <c r="D3476" i="7"/>
  <c r="F3476" i="7" s="1"/>
  <c r="C3478" i="7" l="1"/>
  <c r="D3477" i="7"/>
  <c r="E3477" i="7" s="1"/>
  <c r="E3476" i="7"/>
  <c r="F3477" i="7" l="1"/>
  <c r="C3479" i="7"/>
  <c r="D3478" i="7"/>
  <c r="F3478" i="7" s="1"/>
  <c r="C3480" i="7" l="1"/>
  <c r="D3479" i="7"/>
  <c r="E3479" i="7" s="1"/>
  <c r="E3478" i="7"/>
  <c r="F3479" i="7" l="1"/>
  <c r="C3481" i="7"/>
  <c r="D3480" i="7"/>
  <c r="F3480" i="7" s="1"/>
  <c r="C3482" i="7" l="1"/>
  <c r="D3481" i="7"/>
  <c r="E3481" i="7" s="1"/>
  <c r="E3480" i="7"/>
  <c r="F3481" i="7" l="1"/>
  <c r="C3483" i="7"/>
  <c r="D3482" i="7"/>
  <c r="F3482" i="7" s="1"/>
  <c r="C3484" i="7" l="1"/>
  <c r="D3483" i="7"/>
  <c r="E3483" i="7" s="1"/>
  <c r="E3482" i="7"/>
  <c r="F3483" i="7" l="1"/>
  <c r="C3485" i="7"/>
  <c r="D3484" i="7"/>
  <c r="F3484" i="7" s="1"/>
  <c r="C3486" i="7" l="1"/>
  <c r="D3485" i="7"/>
  <c r="E3485" i="7" s="1"/>
  <c r="E3484" i="7"/>
  <c r="C3487" i="7" l="1"/>
  <c r="D3486" i="7"/>
  <c r="F3486" i="7" s="1"/>
  <c r="F3485" i="7"/>
  <c r="E3486" i="7" l="1"/>
  <c r="C3488" i="7"/>
  <c r="D3487" i="7"/>
  <c r="E3487" i="7" s="1"/>
  <c r="C3489" i="7" l="1"/>
  <c r="D3488" i="7"/>
  <c r="F3488" i="7" s="1"/>
  <c r="F3487" i="7"/>
  <c r="E3488" i="7" l="1"/>
  <c r="C3490" i="7"/>
  <c r="D3489" i="7"/>
  <c r="E3489" i="7" s="1"/>
  <c r="C3491" i="7" l="1"/>
  <c r="D3490" i="7"/>
  <c r="F3490" i="7" s="1"/>
  <c r="F3489" i="7"/>
  <c r="E3490" i="7" l="1"/>
  <c r="C3492" i="7"/>
  <c r="D3491" i="7"/>
  <c r="E3491" i="7" s="1"/>
  <c r="F3491" i="7" l="1"/>
  <c r="C3493" i="7"/>
  <c r="D3492" i="7"/>
  <c r="F3492" i="7" s="1"/>
  <c r="C3494" i="7" l="1"/>
  <c r="D3493" i="7"/>
  <c r="E3493" i="7" s="1"/>
  <c r="E3492" i="7"/>
  <c r="F3493" i="7" l="1"/>
  <c r="C3495" i="7"/>
  <c r="D3494" i="7"/>
  <c r="F3494" i="7" s="1"/>
  <c r="C3496" i="7" l="1"/>
  <c r="D3495" i="7"/>
  <c r="E3495" i="7" s="1"/>
  <c r="E3494" i="7"/>
  <c r="F3495" i="7" l="1"/>
  <c r="C3497" i="7"/>
  <c r="D3496" i="7"/>
  <c r="F3496" i="7" s="1"/>
  <c r="C3498" i="7" l="1"/>
  <c r="D3497" i="7"/>
  <c r="E3497" i="7" s="1"/>
  <c r="E3496" i="7"/>
  <c r="F3497" i="7" l="1"/>
  <c r="C3499" i="7"/>
  <c r="D3498" i="7"/>
  <c r="F3498" i="7" s="1"/>
  <c r="C3500" i="7" l="1"/>
  <c r="D3499" i="7"/>
  <c r="E3499" i="7" s="1"/>
  <c r="E3498" i="7"/>
  <c r="C3501" i="7" l="1"/>
  <c r="D3500" i="7"/>
  <c r="F3500" i="7" s="1"/>
  <c r="F3499" i="7"/>
  <c r="E3500" i="7" l="1"/>
  <c r="C3502" i="7"/>
  <c r="D3501" i="7"/>
  <c r="E3501" i="7" s="1"/>
  <c r="F3501" i="7" l="1"/>
  <c r="C3503" i="7"/>
  <c r="D3502" i="7"/>
  <c r="F3502" i="7" s="1"/>
  <c r="C3504" i="7" l="1"/>
  <c r="D3503" i="7"/>
  <c r="E3503" i="7" s="1"/>
  <c r="E3502" i="7"/>
  <c r="F3503" i="7" l="1"/>
  <c r="C3505" i="7"/>
  <c r="D3504" i="7"/>
  <c r="F3504" i="7" s="1"/>
  <c r="C3506" i="7" l="1"/>
  <c r="D3505" i="7"/>
  <c r="E3505" i="7" s="1"/>
  <c r="E3504" i="7"/>
  <c r="C3507" i="7" l="1"/>
  <c r="D3506" i="7"/>
  <c r="F3506" i="7" s="1"/>
  <c r="F3505" i="7"/>
  <c r="E3506" i="7" l="1"/>
  <c r="C3508" i="7"/>
  <c r="D3507" i="7"/>
  <c r="E3507" i="7" s="1"/>
  <c r="F3507" i="7" l="1"/>
  <c r="C3509" i="7"/>
  <c r="D3508" i="7"/>
  <c r="F3508" i="7" s="1"/>
  <c r="C3510" i="7" l="1"/>
  <c r="D3509" i="7"/>
  <c r="E3509" i="7" s="1"/>
  <c r="E3508" i="7"/>
  <c r="F3509" i="7" l="1"/>
  <c r="C3511" i="7"/>
  <c r="D3510" i="7"/>
  <c r="F3510" i="7" s="1"/>
  <c r="C3512" i="7" l="1"/>
  <c r="D3511" i="7"/>
  <c r="E3511" i="7" s="1"/>
  <c r="E3510" i="7"/>
  <c r="C3513" i="7" l="1"/>
  <c r="D3512" i="7"/>
  <c r="F3512" i="7" s="1"/>
  <c r="F3511" i="7"/>
  <c r="E3512" i="7" l="1"/>
  <c r="C3514" i="7"/>
  <c r="D3513" i="7"/>
  <c r="E3513" i="7" s="1"/>
  <c r="F3513" i="7" l="1"/>
  <c r="C3515" i="7"/>
  <c r="D3514" i="7"/>
  <c r="F3514" i="7" s="1"/>
  <c r="C3516" i="7" l="1"/>
  <c r="D3515" i="7"/>
  <c r="E3515" i="7" s="1"/>
  <c r="E3514" i="7"/>
  <c r="C3517" i="7" l="1"/>
  <c r="D3516" i="7"/>
  <c r="F3516" i="7" s="1"/>
  <c r="F3515" i="7"/>
  <c r="E3516" i="7" l="1"/>
  <c r="C3518" i="7"/>
  <c r="D3517" i="7"/>
  <c r="E3517" i="7" s="1"/>
  <c r="C3519" i="7" l="1"/>
  <c r="D3518" i="7"/>
  <c r="F3518" i="7" s="1"/>
  <c r="F3517" i="7"/>
  <c r="E3518" i="7" l="1"/>
  <c r="C3520" i="7"/>
  <c r="D3519" i="7"/>
  <c r="E3519" i="7" s="1"/>
  <c r="F3519" i="7" l="1"/>
  <c r="C3521" i="7"/>
  <c r="D3520" i="7"/>
  <c r="F3520" i="7" s="1"/>
  <c r="C3522" i="7" l="1"/>
  <c r="D3521" i="7"/>
  <c r="E3521" i="7" s="1"/>
  <c r="E3520" i="7"/>
  <c r="F3521" i="7" l="1"/>
  <c r="C3523" i="7"/>
  <c r="D3522" i="7"/>
  <c r="F3522" i="7" s="1"/>
  <c r="C3524" i="7" l="1"/>
  <c r="D3523" i="7"/>
  <c r="E3523" i="7" s="1"/>
  <c r="E3522" i="7"/>
  <c r="C3525" i="7" l="1"/>
  <c r="D3524" i="7"/>
  <c r="F3524" i="7" s="1"/>
  <c r="F3523" i="7"/>
  <c r="E3524" i="7" l="1"/>
  <c r="C3526" i="7"/>
  <c r="D3525" i="7"/>
  <c r="E3525" i="7" s="1"/>
  <c r="F3525" i="7" l="1"/>
  <c r="C3527" i="7"/>
  <c r="D3526" i="7"/>
  <c r="F3526" i="7" s="1"/>
  <c r="C3528" i="7" l="1"/>
  <c r="D3527" i="7"/>
  <c r="E3527" i="7" s="1"/>
  <c r="E3526" i="7"/>
  <c r="C3529" i="7" l="1"/>
  <c r="D3528" i="7"/>
  <c r="F3528" i="7" s="1"/>
  <c r="F3527" i="7"/>
  <c r="E3528" i="7" l="1"/>
  <c r="C3530" i="7"/>
  <c r="D3529" i="7"/>
  <c r="E3529" i="7" s="1"/>
  <c r="F3529" i="7" l="1"/>
  <c r="C3531" i="7"/>
  <c r="D3530" i="7"/>
  <c r="F3530" i="7" s="1"/>
  <c r="C3532" i="7" l="1"/>
  <c r="D3531" i="7"/>
  <c r="E3531" i="7" s="1"/>
  <c r="E3530" i="7"/>
  <c r="F3531" i="7" l="1"/>
  <c r="C3533" i="7"/>
  <c r="D3532" i="7"/>
  <c r="F3532" i="7" s="1"/>
  <c r="C3534" i="7" l="1"/>
  <c r="D3533" i="7"/>
  <c r="E3533" i="7" s="1"/>
  <c r="E3532" i="7"/>
  <c r="F3533" i="7" l="1"/>
  <c r="C3535" i="7"/>
  <c r="D3534" i="7"/>
  <c r="F3534" i="7" s="1"/>
  <c r="C3536" i="7" l="1"/>
  <c r="D3535" i="7"/>
  <c r="E3535" i="7" s="1"/>
  <c r="E3534" i="7"/>
  <c r="F3535" i="7" l="1"/>
  <c r="C3537" i="7"/>
  <c r="D3536" i="7"/>
  <c r="F3536" i="7" s="1"/>
  <c r="C3538" i="7" l="1"/>
  <c r="D3537" i="7"/>
  <c r="E3537" i="7" s="1"/>
  <c r="E3536" i="7"/>
  <c r="F3537" i="7" l="1"/>
  <c r="C3539" i="7"/>
  <c r="D3538" i="7"/>
  <c r="F3538" i="7" s="1"/>
  <c r="C3540" i="7" l="1"/>
  <c r="D3539" i="7"/>
  <c r="E3539" i="7" s="1"/>
  <c r="E3538" i="7"/>
  <c r="F3539" i="7" l="1"/>
  <c r="C3541" i="7"/>
  <c r="D3540" i="7"/>
  <c r="E3540" i="7" l="1"/>
  <c r="F3540" i="7"/>
  <c r="C3542" i="7"/>
  <c r="D3541" i="7"/>
  <c r="F3541" i="7" s="1"/>
  <c r="C3543" i="7" l="1"/>
  <c r="D3542" i="7"/>
  <c r="E3542" i="7" s="1"/>
  <c r="E3541" i="7"/>
  <c r="F3542" i="7" l="1"/>
  <c r="C3544" i="7"/>
  <c r="D3543" i="7"/>
  <c r="F3543" i="7" s="1"/>
  <c r="C3545" i="7" l="1"/>
  <c r="D3544" i="7"/>
  <c r="E3544" i="7" s="1"/>
  <c r="E3543" i="7"/>
  <c r="F3544" i="7" l="1"/>
  <c r="C3546" i="7"/>
  <c r="D3545" i="7"/>
  <c r="F3545" i="7" s="1"/>
  <c r="C3547" i="7" l="1"/>
  <c r="D3546" i="7"/>
  <c r="E3546" i="7" s="1"/>
  <c r="E3545" i="7"/>
  <c r="F3546" i="7" l="1"/>
  <c r="C3548" i="7"/>
  <c r="D3547" i="7"/>
  <c r="F3547" i="7" s="1"/>
  <c r="C3549" i="7" l="1"/>
  <c r="D3548" i="7"/>
  <c r="E3548" i="7" s="1"/>
  <c r="E3547" i="7"/>
  <c r="F3548" i="7" l="1"/>
  <c r="C3550" i="7"/>
  <c r="D3549" i="7"/>
  <c r="F3549" i="7" s="1"/>
  <c r="C3551" i="7" l="1"/>
  <c r="D3550" i="7"/>
  <c r="E3550" i="7" s="1"/>
  <c r="E3549" i="7"/>
  <c r="F3550" i="7" l="1"/>
  <c r="C3552" i="7"/>
  <c r="D3551" i="7"/>
  <c r="F3551" i="7" s="1"/>
  <c r="C3553" i="7" l="1"/>
  <c r="D3552" i="7"/>
  <c r="E3552" i="7" s="1"/>
  <c r="E3551" i="7"/>
  <c r="F3552" i="7" l="1"/>
  <c r="C3554" i="7"/>
  <c r="D3553" i="7"/>
  <c r="F3553" i="7" s="1"/>
  <c r="C3555" i="7" l="1"/>
  <c r="D3554" i="7"/>
  <c r="E3554" i="7" s="1"/>
  <c r="E3553" i="7"/>
  <c r="F3554" i="7" l="1"/>
  <c r="C3556" i="7"/>
  <c r="D3555" i="7"/>
  <c r="F3555" i="7" s="1"/>
  <c r="C3557" i="7" l="1"/>
  <c r="D3556" i="7"/>
  <c r="E3556" i="7" s="1"/>
  <c r="E3555" i="7"/>
  <c r="F3556" i="7" l="1"/>
  <c r="C3558" i="7"/>
  <c r="D3557" i="7"/>
  <c r="F3557" i="7" s="1"/>
  <c r="C3559" i="7" l="1"/>
  <c r="D3558" i="7"/>
  <c r="E3558" i="7" s="1"/>
  <c r="E3557" i="7"/>
  <c r="F3558" i="7" l="1"/>
  <c r="C3560" i="7"/>
  <c r="D3559" i="7"/>
  <c r="F3559" i="7" s="1"/>
  <c r="C3561" i="7" l="1"/>
  <c r="D3560" i="7"/>
  <c r="E3560" i="7" s="1"/>
  <c r="E3559" i="7"/>
  <c r="F3560" i="7" l="1"/>
  <c r="C3562" i="7"/>
  <c r="D3561" i="7"/>
  <c r="F3561" i="7" s="1"/>
  <c r="C3563" i="7" l="1"/>
  <c r="D3562" i="7"/>
  <c r="E3562" i="7" s="1"/>
  <c r="E3561" i="7"/>
  <c r="F3562" i="7" l="1"/>
  <c r="C3564" i="7"/>
  <c r="D3563" i="7"/>
  <c r="F3563" i="7" s="1"/>
  <c r="C3565" i="7" l="1"/>
  <c r="D3564" i="7"/>
  <c r="E3564" i="7" s="1"/>
  <c r="E3563" i="7"/>
  <c r="F3564" i="7" l="1"/>
  <c r="C3566" i="7"/>
  <c r="D3565" i="7"/>
  <c r="F3565" i="7" s="1"/>
  <c r="C3567" i="7" l="1"/>
  <c r="D3566" i="7"/>
  <c r="E3566" i="7" s="1"/>
  <c r="E3565" i="7"/>
  <c r="F3566" i="7" l="1"/>
  <c r="C3568" i="7"/>
  <c r="D3567" i="7"/>
  <c r="F3567" i="7" s="1"/>
  <c r="C3569" i="7" l="1"/>
  <c r="D3568" i="7"/>
  <c r="E3568" i="7" s="1"/>
  <c r="E3567" i="7"/>
  <c r="F3568" i="7" l="1"/>
  <c r="C3570" i="7"/>
  <c r="D3569" i="7"/>
  <c r="F3569" i="7" s="1"/>
  <c r="C3571" i="7" l="1"/>
  <c r="D3570" i="7"/>
  <c r="E3570" i="7" s="1"/>
  <c r="E3569" i="7"/>
  <c r="F3570" i="7" l="1"/>
  <c r="C3572" i="7"/>
  <c r="D3571" i="7"/>
  <c r="F3571" i="7" s="1"/>
  <c r="C3573" i="7" l="1"/>
  <c r="D3572" i="7"/>
  <c r="E3572" i="7" s="1"/>
  <c r="E3571" i="7"/>
  <c r="F3572" i="7" l="1"/>
  <c r="C3574" i="7"/>
  <c r="D3573" i="7"/>
  <c r="F3573" i="7" s="1"/>
  <c r="C3575" i="7" l="1"/>
  <c r="D3574" i="7"/>
  <c r="E3574" i="7" s="1"/>
  <c r="E3573" i="7"/>
  <c r="F3574" i="7" l="1"/>
  <c r="C3576" i="7"/>
  <c r="D3575" i="7"/>
  <c r="F3575" i="7" s="1"/>
  <c r="C3577" i="7" l="1"/>
  <c r="D3576" i="7"/>
  <c r="E3576" i="7" s="1"/>
  <c r="E3575" i="7"/>
  <c r="F3576" i="7" l="1"/>
  <c r="C3578" i="7"/>
  <c r="D3577" i="7"/>
  <c r="F3577" i="7" s="1"/>
  <c r="C3579" i="7" l="1"/>
  <c r="D3578" i="7"/>
  <c r="E3578" i="7" s="1"/>
  <c r="E3577" i="7"/>
  <c r="F3578" i="7" l="1"/>
  <c r="C3580" i="7"/>
  <c r="D3579" i="7"/>
  <c r="F3579" i="7" s="1"/>
  <c r="C3581" i="7" l="1"/>
  <c r="D3580" i="7"/>
  <c r="E3580" i="7" s="1"/>
  <c r="E3579" i="7"/>
  <c r="F3580" i="7" l="1"/>
  <c r="C3582" i="7"/>
  <c r="D3581" i="7"/>
  <c r="F3581" i="7" s="1"/>
  <c r="C3583" i="7" l="1"/>
  <c r="D3582" i="7"/>
  <c r="E3582" i="7" s="1"/>
  <c r="E3581" i="7"/>
  <c r="F3582" i="7" l="1"/>
  <c r="C3584" i="7"/>
  <c r="D3583" i="7"/>
  <c r="F3583" i="7" s="1"/>
  <c r="C3585" i="7" l="1"/>
  <c r="D3584" i="7"/>
  <c r="E3584" i="7" s="1"/>
  <c r="E3583" i="7"/>
  <c r="F3584" i="7" l="1"/>
  <c r="C3586" i="7"/>
  <c r="D3585" i="7"/>
  <c r="F3585" i="7" s="1"/>
  <c r="C3587" i="7" l="1"/>
  <c r="D3586" i="7"/>
  <c r="E3586" i="7" s="1"/>
  <c r="E3585" i="7"/>
  <c r="F3586" i="7" l="1"/>
  <c r="C3588" i="7"/>
  <c r="D3587" i="7"/>
  <c r="F3587" i="7" s="1"/>
  <c r="C3589" i="7" l="1"/>
  <c r="D3588" i="7"/>
  <c r="E3588" i="7" s="1"/>
  <c r="E3587" i="7"/>
  <c r="F3588" i="7" l="1"/>
  <c r="C3590" i="7"/>
  <c r="D3589" i="7"/>
  <c r="F3589" i="7" s="1"/>
  <c r="C3591" i="7" l="1"/>
  <c r="D3590" i="7"/>
  <c r="E3590" i="7" s="1"/>
  <c r="E3589" i="7"/>
  <c r="F3590" i="7" l="1"/>
  <c r="C3592" i="7"/>
  <c r="D3591" i="7"/>
  <c r="F3591" i="7" s="1"/>
  <c r="C3593" i="7" l="1"/>
  <c r="D3592" i="7"/>
  <c r="E3592" i="7" s="1"/>
  <c r="E3591" i="7"/>
  <c r="F3592" i="7" l="1"/>
  <c r="C3594" i="7"/>
  <c r="D3593" i="7"/>
  <c r="F3593" i="7" s="1"/>
  <c r="C3595" i="7" l="1"/>
  <c r="D3594" i="7"/>
  <c r="E3594" i="7" s="1"/>
  <c r="E3593" i="7"/>
  <c r="F3594" i="7" l="1"/>
  <c r="C3596" i="7"/>
  <c r="D3595" i="7"/>
  <c r="F3595" i="7" s="1"/>
  <c r="C3597" i="7" l="1"/>
  <c r="D3596" i="7"/>
  <c r="E3596" i="7" s="1"/>
  <c r="E3595" i="7"/>
  <c r="F3596" i="7" l="1"/>
  <c r="C3598" i="7"/>
  <c r="D3597" i="7"/>
  <c r="F3597" i="7" s="1"/>
  <c r="C3599" i="7" l="1"/>
  <c r="D3598" i="7"/>
  <c r="E3598" i="7" s="1"/>
  <c r="E3597" i="7"/>
  <c r="F3598" i="7" l="1"/>
  <c r="C3600" i="7"/>
  <c r="D3599" i="7"/>
  <c r="F3599" i="7" s="1"/>
  <c r="C3601" i="7" l="1"/>
  <c r="D3600" i="7"/>
  <c r="E3600" i="7" s="1"/>
  <c r="E3599" i="7"/>
  <c r="F3600" i="7" l="1"/>
  <c r="C3602" i="7"/>
  <c r="D3601" i="7"/>
  <c r="F3601" i="7" s="1"/>
  <c r="C3603" i="7" l="1"/>
  <c r="D3602" i="7"/>
  <c r="E3602" i="7" s="1"/>
  <c r="E3601" i="7"/>
  <c r="F3602" i="7" l="1"/>
  <c r="C3604" i="7"/>
  <c r="D3603" i="7"/>
  <c r="F3603" i="7" s="1"/>
  <c r="C3605" i="7" l="1"/>
  <c r="D3604" i="7"/>
  <c r="E3604" i="7" s="1"/>
  <c r="E3603" i="7"/>
  <c r="F3604" i="7" l="1"/>
  <c r="C3606" i="7"/>
  <c r="D3605" i="7"/>
  <c r="F3605" i="7" s="1"/>
  <c r="C3607" i="7" l="1"/>
  <c r="D3606" i="7"/>
  <c r="E3606" i="7" s="1"/>
  <c r="E3605" i="7"/>
  <c r="F3606" i="7" l="1"/>
  <c r="C3608" i="7"/>
  <c r="D3607" i="7"/>
  <c r="F3607" i="7" s="1"/>
  <c r="C3609" i="7" l="1"/>
  <c r="D3608" i="7"/>
  <c r="E3608" i="7" s="1"/>
  <c r="E3607" i="7"/>
  <c r="F3608" i="7" l="1"/>
  <c r="C3610" i="7"/>
  <c r="D3609" i="7"/>
  <c r="F3609" i="7" s="1"/>
  <c r="C3611" i="7" l="1"/>
  <c r="D3610" i="7"/>
  <c r="E3610" i="7" s="1"/>
  <c r="E3609" i="7"/>
  <c r="F3610" i="7" l="1"/>
  <c r="C3612" i="7"/>
  <c r="D3611" i="7"/>
  <c r="F3611" i="7" s="1"/>
  <c r="C3613" i="7" l="1"/>
  <c r="D3612" i="7"/>
  <c r="E3612" i="7" s="1"/>
  <c r="E3611" i="7"/>
  <c r="F3612" i="7" l="1"/>
  <c r="C3614" i="7"/>
  <c r="D3613" i="7"/>
  <c r="F3613" i="7" s="1"/>
  <c r="C3615" i="7" l="1"/>
  <c r="D3614" i="7"/>
  <c r="E3614" i="7" s="1"/>
  <c r="E3613" i="7"/>
  <c r="F3614" i="7" l="1"/>
  <c r="C3616" i="7"/>
  <c r="D3615" i="7"/>
  <c r="F3615" i="7" s="1"/>
  <c r="C3617" i="7" l="1"/>
  <c r="D3616" i="7"/>
  <c r="E3616" i="7" s="1"/>
  <c r="E3615" i="7"/>
  <c r="F3616" i="7" l="1"/>
  <c r="C3618" i="7"/>
  <c r="D3617" i="7"/>
  <c r="F3617" i="7" s="1"/>
  <c r="C3619" i="7" l="1"/>
  <c r="D3618" i="7"/>
  <c r="E3618" i="7" s="1"/>
  <c r="E3617" i="7"/>
  <c r="F3618" i="7" l="1"/>
  <c r="C3620" i="7"/>
  <c r="D3619" i="7"/>
  <c r="F3619" i="7" s="1"/>
  <c r="E3619" i="7" l="1"/>
  <c r="C3621" i="7"/>
  <c r="D3620" i="7"/>
  <c r="E3620" i="7" s="1"/>
  <c r="F3620" i="7" l="1"/>
  <c r="C3622" i="7"/>
  <c r="D3621" i="7"/>
  <c r="F3621" i="7" s="1"/>
  <c r="C3623" i="7" l="1"/>
  <c r="D3622" i="7"/>
  <c r="E3622" i="7" s="1"/>
  <c r="E3621" i="7"/>
  <c r="C3624" i="7" l="1"/>
  <c r="D3623" i="7"/>
  <c r="F3623" i="7" s="1"/>
  <c r="F3622" i="7"/>
  <c r="E3623" i="7" s="1"/>
  <c r="C3625" i="7" l="1"/>
  <c r="D3624" i="7"/>
  <c r="E3624" i="7" l="1"/>
  <c r="C3626" i="7"/>
  <c r="D3625" i="7"/>
  <c r="F3625" i="7" s="1"/>
  <c r="F3624" i="7"/>
  <c r="E3625" i="7" s="1"/>
  <c r="C3627" i="7" l="1"/>
  <c r="D3626" i="7"/>
  <c r="E3626" i="7" l="1"/>
  <c r="F3626" i="7"/>
  <c r="C3628" i="7"/>
  <c r="D3627" i="7"/>
  <c r="F3627" i="7" s="1"/>
  <c r="C3629" i="7" l="1"/>
  <c r="D3628" i="7"/>
  <c r="E3628" i="7" s="1"/>
  <c r="E3627" i="7"/>
  <c r="F3628" i="7" l="1"/>
  <c r="C3630" i="7"/>
  <c r="D3629" i="7"/>
  <c r="F3629" i="7" s="1"/>
  <c r="C3631" i="7" l="1"/>
  <c r="D3630" i="7"/>
  <c r="E3630" i="7" s="1"/>
  <c r="E3629" i="7"/>
  <c r="F3630" i="7" l="1"/>
  <c r="C3632" i="7"/>
  <c r="D3631" i="7"/>
  <c r="F3631" i="7" s="1"/>
  <c r="C3633" i="7" l="1"/>
  <c r="D3632" i="7"/>
  <c r="E3632" i="7" s="1"/>
  <c r="E3631" i="7"/>
  <c r="C3634" i="7" l="1"/>
  <c r="D3633" i="7"/>
  <c r="F3633" i="7" s="1"/>
  <c r="F3632" i="7"/>
  <c r="E3633" i="7" s="1"/>
  <c r="C3635" i="7" l="1"/>
  <c r="D3634" i="7"/>
  <c r="E3634" i="7" l="1"/>
  <c r="F3634" i="7"/>
  <c r="C3636" i="7"/>
  <c r="D3635" i="7"/>
  <c r="F3635" i="7" s="1"/>
  <c r="C3637" i="7" l="1"/>
  <c r="D3636" i="7"/>
  <c r="E3636" i="7" s="1"/>
  <c r="E3635" i="7"/>
  <c r="F3636" i="7" l="1"/>
  <c r="C3638" i="7"/>
  <c r="D3637" i="7"/>
  <c r="F3637" i="7" s="1"/>
  <c r="C3639" i="7" l="1"/>
  <c r="D3638" i="7"/>
  <c r="E3638" i="7" s="1"/>
  <c r="E3637" i="7"/>
  <c r="F3638" i="7" l="1"/>
  <c r="C3640" i="7"/>
  <c r="D3639" i="7"/>
  <c r="F3639" i="7" s="1"/>
  <c r="C3641" i="7" l="1"/>
  <c r="D3640" i="7"/>
  <c r="E3640" i="7" s="1"/>
  <c r="E3639" i="7"/>
  <c r="F3640" i="7" l="1"/>
  <c r="C3642" i="7"/>
  <c r="D3641" i="7"/>
  <c r="F3641" i="7" s="1"/>
  <c r="C3643" i="7" l="1"/>
  <c r="D3642" i="7"/>
  <c r="E3642" i="7" s="1"/>
  <c r="E3641" i="7"/>
  <c r="F3642" i="7" l="1"/>
  <c r="C3644" i="7"/>
  <c r="D3643" i="7"/>
  <c r="F3643" i="7" s="1"/>
  <c r="C3645" i="7" l="1"/>
  <c r="D3644" i="7"/>
  <c r="E3644" i="7" s="1"/>
  <c r="E3643" i="7"/>
  <c r="F3644" i="7" l="1"/>
  <c r="C3646" i="7"/>
  <c r="D3645" i="7"/>
  <c r="F3645" i="7" s="1"/>
  <c r="C3647" i="7" l="1"/>
  <c r="D3646" i="7"/>
  <c r="E3646" i="7" s="1"/>
  <c r="E3645" i="7"/>
  <c r="F3646" i="7" l="1"/>
  <c r="C3648" i="7"/>
  <c r="D3647" i="7"/>
  <c r="F3647" i="7" s="1"/>
  <c r="C3649" i="7" l="1"/>
  <c r="D3648" i="7"/>
  <c r="E3648" i="7" s="1"/>
  <c r="E3647" i="7"/>
  <c r="F3648" i="7" l="1"/>
  <c r="C3650" i="7"/>
  <c r="D3649" i="7"/>
  <c r="F3649" i="7" s="1"/>
  <c r="C3651" i="7" l="1"/>
  <c r="D3650" i="7"/>
  <c r="E3650" i="7" s="1"/>
  <c r="E3649" i="7"/>
  <c r="F3650" i="7" l="1"/>
  <c r="C3652" i="7"/>
  <c r="D3651" i="7"/>
  <c r="F3651" i="7" s="1"/>
  <c r="C3653" i="7" l="1"/>
  <c r="D3652" i="7"/>
  <c r="E3652" i="7" s="1"/>
  <c r="E3651" i="7"/>
  <c r="F3652" i="7" l="1"/>
  <c r="C3654" i="7"/>
  <c r="D3653" i="7"/>
  <c r="F3653" i="7" s="1"/>
  <c r="C3655" i="7" l="1"/>
  <c r="D3654" i="7"/>
  <c r="E3654" i="7" s="1"/>
  <c r="E3653" i="7"/>
  <c r="F3654" i="7" l="1"/>
  <c r="C3656" i="7"/>
  <c r="D3655" i="7"/>
  <c r="F3655" i="7" s="1"/>
  <c r="C3657" i="7" l="1"/>
  <c r="D3656" i="7"/>
  <c r="E3656" i="7" s="1"/>
  <c r="E3655" i="7"/>
  <c r="F3656" i="7" l="1"/>
  <c r="C3658" i="7"/>
  <c r="D3657" i="7"/>
  <c r="F3657" i="7" s="1"/>
  <c r="C3659" i="7" l="1"/>
  <c r="D3658" i="7"/>
  <c r="E3658" i="7" s="1"/>
  <c r="E3657" i="7"/>
  <c r="F3658" i="7" l="1"/>
  <c r="C3660" i="7"/>
  <c r="D3659" i="7"/>
  <c r="F3659" i="7" s="1"/>
  <c r="C3661" i="7" l="1"/>
  <c r="D3660" i="7"/>
  <c r="E3660" i="7" s="1"/>
  <c r="E3659" i="7"/>
  <c r="F3660" i="7" l="1"/>
  <c r="C3662" i="7"/>
  <c r="D3661" i="7"/>
  <c r="F3661" i="7" s="1"/>
  <c r="C3663" i="7" l="1"/>
  <c r="D3662" i="7"/>
  <c r="E3662" i="7" s="1"/>
  <c r="E3661" i="7"/>
  <c r="F3662" i="7" l="1"/>
  <c r="C3664" i="7"/>
  <c r="D3663" i="7"/>
  <c r="F3663" i="7" s="1"/>
  <c r="C3665" i="7" l="1"/>
  <c r="D3664" i="7"/>
  <c r="E3664" i="7" s="1"/>
  <c r="E3663" i="7"/>
  <c r="F3664" i="7" l="1"/>
  <c r="C3666" i="7"/>
  <c r="D3665" i="7"/>
  <c r="F3665" i="7" s="1"/>
  <c r="C3667" i="7" l="1"/>
  <c r="D3666" i="7"/>
  <c r="E3666" i="7" s="1"/>
  <c r="E3665" i="7"/>
  <c r="F3666" i="7" l="1"/>
  <c r="C3668" i="7"/>
  <c r="D3667" i="7"/>
  <c r="F3667" i="7" s="1"/>
  <c r="C3669" i="7" l="1"/>
  <c r="D3668" i="7"/>
  <c r="E3668" i="7" s="1"/>
  <c r="E3667" i="7"/>
  <c r="F3668" i="7" l="1"/>
  <c r="C3670" i="7"/>
  <c r="D3669" i="7"/>
  <c r="F3669" i="7" s="1"/>
  <c r="C3671" i="7" l="1"/>
  <c r="D3670" i="7"/>
  <c r="E3670" i="7" s="1"/>
  <c r="E3669" i="7"/>
  <c r="F3670" i="7" l="1"/>
  <c r="C3672" i="7"/>
  <c r="D3671" i="7"/>
  <c r="F3671" i="7" s="1"/>
  <c r="C3673" i="7" l="1"/>
  <c r="D3672" i="7"/>
  <c r="E3672" i="7" s="1"/>
  <c r="E3671" i="7"/>
  <c r="F3672" i="7" l="1"/>
  <c r="C3674" i="7"/>
  <c r="D3673" i="7"/>
  <c r="F3673" i="7" s="1"/>
  <c r="C3675" i="7" l="1"/>
  <c r="D3674" i="7"/>
  <c r="E3674" i="7" s="1"/>
  <c r="E3673" i="7"/>
  <c r="F3674" i="7" l="1"/>
  <c r="C3676" i="7"/>
  <c r="D3675" i="7"/>
  <c r="F3675" i="7" s="1"/>
  <c r="C3677" i="7" l="1"/>
  <c r="D3676" i="7"/>
  <c r="E3676" i="7" s="1"/>
  <c r="E3675" i="7"/>
  <c r="F3676" i="7" l="1"/>
  <c r="C3678" i="7"/>
  <c r="D3677" i="7"/>
  <c r="F3677" i="7" s="1"/>
  <c r="C3679" i="7" l="1"/>
  <c r="D3678" i="7"/>
  <c r="E3678" i="7" s="1"/>
  <c r="E3677" i="7"/>
  <c r="F3678" i="7" l="1"/>
  <c r="C3680" i="7"/>
  <c r="D3679" i="7"/>
  <c r="F3679" i="7" s="1"/>
  <c r="C3681" i="7" l="1"/>
  <c r="D3680" i="7"/>
  <c r="E3680" i="7" s="1"/>
  <c r="E3679" i="7"/>
  <c r="F3680" i="7" l="1"/>
  <c r="C3682" i="7"/>
  <c r="D3681" i="7"/>
  <c r="F3681" i="7" s="1"/>
  <c r="C3683" i="7" l="1"/>
  <c r="D3682" i="7"/>
  <c r="E3682" i="7" s="1"/>
  <c r="E3681" i="7"/>
  <c r="F3682" i="7" l="1"/>
  <c r="C3684" i="7"/>
  <c r="D3683" i="7"/>
  <c r="F3683" i="7" s="1"/>
  <c r="C3685" i="7" l="1"/>
  <c r="D3684" i="7"/>
  <c r="E3684" i="7" s="1"/>
  <c r="E3683" i="7"/>
  <c r="F3684" i="7" l="1"/>
  <c r="C3686" i="7"/>
  <c r="D3685" i="7"/>
  <c r="F3685" i="7" s="1"/>
  <c r="C3687" i="7" l="1"/>
  <c r="D3686" i="7"/>
  <c r="E3686" i="7" s="1"/>
  <c r="E3685" i="7"/>
  <c r="F3686" i="7" l="1"/>
  <c r="C3688" i="7"/>
  <c r="D3687" i="7"/>
  <c r="F3687" i="7" s="1"/>
  <c r="C3689" i="7" l="1"/>
  <c r="D3688" i="7"/>
  <c r="E3688" i="7" s="1"/>
  <c r="E3687" i="7"/>
  <c r="F3688" i="7" l="1"/>
  <c r="C3690" i="7"/>
  <c r="D3689" i="7"/>
  <c r="F3689" i="7" s="1"/>
  <c r="C3691" i="7" l="1"/>
  <c r="D3690" i="7"/>
  <c r="E3690" i="7" s="1"/>
  <c r="E3689" i="7"/>
  <c r="F3690" i="7" l="1"/>
  <c r="C3692" i="7"/>
  <c r="D3691" i="7"/>
  <c r="F3691" i="7" s="1"/>
  <c r="C3693" i="7" l="1"/>
  <c r="D3692" i="7"/>
  <c r="E3692" i="7" s="1"/>
  <c r="E3691" i="7"/>
  <c r="F3692" i="7" l="1"/>
  <c r="C3694" i="7"/>
  <c r="D3693" i="7"/>
  <c r="F3693" i="7" s="1"/>
  <c r="C3695" i="7" l="1"/>
  <c r="D3694" i="7"/>
  <c r="E3694" i="7" s="1"/>
  <c r="E3693" i="7"/>
  <c r="F3694" i="7" l="1"/>
  <c r="C3696" i="7"/>
  <c r="D3695" i="7"/>
  <c r="F3695" i="7" s="1"/>
  <c r="C3697" i="7" l="1"/>
  <c r="D3696" i="7"/>
  <c r="E3696" i="7" s="1"/>
  <c r="E3695" i="7"/>
  <c r="F3696" i="7" l="1"/>
  <c r="C3698" i="7"/>
  <c r="D3697" i="7"/>
  <c r="F3697" i="7" s="1"/>
  <c r="C3699" i="7" l="1"/>
  <c r="D3698" i="7"/>
  <c r="E3698" i="7" s="1"/>
  <c r="E3697" i="7"/>
  <c r="F3698" i="7" l="1"/>
  <c r="C3700" i="7"/>
  <c r="D3699" i="7"/>
  <c r="F3699" i="7" s="1"/>
  <c r="C3701" i="7" l="1"/>
  <c r="D3700" i="7"/>
  <c r="E3700" i="7" s="1"/>
  <c r="E3699" i="7"/>
  <c r="F3700" i="7" l="1"/>
  <c r="C3702" i="7"/>
  <c r="D3701" i="7"/>
  <c r="F3701" i="7" s="1"/>
  <c r="C3703" i="7" l="1"/>
  <c r="D3702" i="7"/>
  <c r="E3702" i="7" s="1"/>
  <c r="E3701" i="7"/>
  <c r="F3702" i="7" l="1"/>
  <c r="C3704" i="7"/>
  <c r="D3703" i="7"/>
  <c r="F3703" i="7" s="1"/>
  <c r="C3705" i="7" l="1"/>
  <c r="D3704" i="7"/>
  <c r="E3704" i="7" s="1"/>
  <c r="E3703" i="7"/>
  <c r="F3704" i="7" l="1"/>
  <c r="C3706" i="7"/>
  <c r="D3705" i="7"/>
  <c r="F3705" i="7" s="1"/>
  <c r="C3707" i="7" l="1"/>
  <c r="D3706" i="7"/>
  <c r="E3706" i="7" s="1"/>
  <c r="E3705" i="7"/>
  <c r="F3706" i="7" l="1"/>
  <c r="C3708" i="7"/>
  <c r="D3707" i="7"/>
  <c r="F3707" i="7" s="1"/>
  <c r="C3709" i="7" l="1"/>
  <c r="D3708" i="7"/>
  <c r="E3708" i="7" s="1"/>
  <c r="E3707" i="7"/>
  <c r="F3708" i="7" l="1"/>
  <c r="C3710" i="7"/>
  <c r="D3709" i="7"/>
  <c r="F3709" i="7" s="1"/>
  <c r="C3711" i="7" l="1"/>
  <c r="D3710" i="7"/>
  <c r="E3710" i="7" s="1"/>
  <c r="E3709" i="7"/>
  <c r="F3710" i="7" l="1"/>
  <c r="C3712" i="7"/>
  <c r="D3711" i="7"/>
  <c r="F3711" i="7" s="1"/>
  <c r="C3713" i="7" l="1"/>
  <c r="D3712" i="7"/>
  <c r="E3712" i="7" s="1"/>
  <c r="E3711" i="7"/>
  <c r="F3712" i="7" l="1"/>
  <c r="C3714" i="7"/>
  <c r="D3713" i="7"/>
  <c r="F3713" i="7" s="1"/>
  <c r="C3715" i="7" l="1"/>
  <c r="D3714" i="7"/>
  <c r="E3714" i="7" s="1"/>
  <c r="E3713" i="7"/>
  <c r="F3714" i="7" l="1"/>
  <c r="C3716" i="7"/>
  <c r="D3715" i="7"/>
  <c r="F3715" i="7" s="1"/>
  <c r="C3717" i="7" l="1"/>
  <c r="D3716" i="7"/>
  <c r="E3716" i="7" s="1"/>
  <c r="E3715" i="7"/>
  <c r="F3716" i="7" l="1"/>
  <c r="C3718" i="7"/>
  <c r="D3717" i="7"/>
  <c r="F3717" i="7" s="1"/>
  <c r="C3719" i="7" l="1"/>
  <c r="D3718" i="7"/>
  <c r="E3718" i="7" s="1"/>
  <c r="E3717" i="7"/>
  <c r="F3718" i="7" l="1"/>
  <c r="C3720" i="7"/>
  <c r="D3719" i="7"/>
  <c r="F3719" i="7" s="1"/>
  <c r="C3721" i="7" l="1"/>
  <c r="D3720" i="7"/>
  <c r="E3720" i="7" s="1"/>
  <c r="E3719" i="7"/>
  <c r="F3720" i="7" l="1"/>
  <c r="C3722" i="7"/>
  <c r="D3721" i="7"/>
  <c r="F3721" i="7" s="1"/>
  <c r="C3723" i="7" l="1"/>
  <c r="D3722" i="7"/>
  <c r="E3722" i="7" s="1"/>
  <c r="E3721" i="7"/>
  <c r="F3722" i="7" l="1"/>
  <c r="C3724" i="7"/>
  <c r="D3723" i="7"/>
  <c r="F3723" i="7" s="1"/>
  <c r="C3725" i="7" l="1"/>
  <c r="D3724" i="7"/>
  <c r="E3724" i="7" s="1"/>
  <c r="E3723" i="7"/>
  <c r="F3724" i="7" l="1"/>
  <c r="C3726" i="7"/>
  <c r="D3725" i="7"/>
  <c r="F3725" i="7" s="1"/>
  <c r="C3727" i="7" l="1"/>
  <c r="D3726" i="7"/>
  <c r="E3726" i="7" s="1"/>
  <c r="E3725" i="7"/>
  <c r="F3726" i="7" l="1"/>
  <c r="C3728" i="7"/>
  <c r="D3727" i="7"/>
  <c r="F3727" i="7" s="1"/>
  <c r="C3729" i="7" l="1"/>
  <c r="D3728" i="7"/>
  <c r="E3728" i="7" s="1"/>
  <c r="E3727" i="7"/>
  <c r="F3728" i="7" l="1"/>
  <c r="C3730" i="7"/>
  <c r="D3729" i="7"/>
  <c r="F3729" i="7" s="1"/>
  <c r="C3731" i="7" l="1"/>
  <c r="D3730" i="7"/>
  <c r="E3730" i="7" s="1"/>
  <c r="E3729" i="7"/>
  <c r="F3730" i="7" l="1"/>
  <c r="C3732" i="7"/>
  <c r="D3731" i="7"/>
  <c r="F3731" i="7" s="1"/>
  <c r="C3733" i="7" l="1"/>
  <c r="D3732" i="7"/>
  <c r="E3732" i="7" s="1"/>
  <c r="E3731" i="7"/>
  <c r="F3732" i="7" l="1"/>
  <c r="C3734" i="7"/>
  <c r="D3733" i="7"/>
  <c r="F3733" i="7" s="1"/>
  <c r="E3733" i="7" l="1"/>
  <c r="C3735" i="7"/>
  <c r="D3734" i="7"/>
  <c r="E3734" i="7" s="1"/>
  <c r="F3734" i="7" l="1"/>
  <c r="C3736" i="7"/>
  <c r="D3735" i="7"/>
  <c r="F3735" i="7" s="1"/>
  <c r="C3737" i="7" l="1"/>
  <c r="D3736" i="7"/>
  <c r="E3736" i="7" s="1"/>
  <c r="E3735" i="7"/>
  <c r="F3736" i="7" l="1"/>
  <c r="C3738" i="7"/>
  <c r="D3737" i="7"/>
  <c r="F3737" i="7" s="1"/>
  <c r="C3739" i="7" l="1"/>
  <c r="D3738" i="7"/>
  <c r="E3738" i="7" s="1"/>
  <c r="E3737" i="7"/>
  <c r="F3738" i="7" l="1"/>
  <c r="C3740" i="7"/>
  <c r="D3739" i="7"/>
  <c r="F3739" i="7" s="1"/>
  <c r="C3741" i="7" l="1"/>
  <c r="D3740" i="7"/>
  <c r="E3740" i="7" s="1"/>
  <c r="E3739" i="7"/>
  <c r="F3740" i="7" l="1"/>
  <c r="C3742" i="7"/>
  <c r="D3741" i="7"/>
  <c r="F3741" i="7" s="1"/>
  <c r="C3743" i="7" l="1"/>
  <c r="D3742" i="7"/>
  <c r="E3742" i="7" s="1"/>
  <c r="E3741" i="7"/>
  <c r="F3742" i="7" l="1"/>
  <c r="C3744" i="7"/>
  <c r="D3743" i="7"/>
  <c r="F3743" i="7" s="1"/>
  <c r="C3745" i="7" l="1"/>
  <c r="D3744" i="7"/>
  <c r="E3744" i="7" s="1"/>
  <c r="E3743" i="7"/>
  <c r="F3744" i="7" l="1"/>
  <c r="C3746" i="7"/>
  <c r="D3745" i="7"/>
  <c r="F3745" i="7" s="1"/>
  <c r="C3747" i="7" l="1"/>
  <c r="D3746" i="7"/>
  <c r="E3746" i="7" s="1"/>
  <c r="E3745" i="7"/>
  <c r="F3746" i="7" l="1"/>
  <c r="C3748" i="7"/>
  <c r="D3747" i="7"/>
  <c r="E3747" i="7" l="1"/>
  <c r="F3747" i="7"/>
  <c r="C3749" i="7"/>
  <c r="D3748" i="7"/>
  <c r="F3748" i="7" s="1"/>
  <c r="C3750" i="7" l="1"/>
  <c r="D3749" i="7"/>
  <c r="E3749" i="7" s="1"/>
  <c r="E3748" i="7"/>
  <c r="F3749" i="7" l="1"/>
  <c r="C3751" i="7"/>
  <c r="D3750" i="7"/>
  <c r="F3750" i="7" s="1"/>
  <c r="C3752" i="7" l="1"/>
  <c r="D3751" i="7"/>
  <c r="E3751" i="7" s="1"/>
  <c r="E3750" i="7"/>
  <c r="F3751" i="7" l="1"/>
  <c r="C3753" i="7"/>
  <c r="D3752" i="7"/>
  <c r="F3752" i="7" s="1"/>
  <c r="C3754" i="7" l="1"/>
  <c r="D3753" i="7"/>
  <c r="E3753" i="7" s="1"/>
  <c r="E3752" i="7"/>
  <c r="F3753" i="7" l="1"/>
  <c r="C3755" i="7"/>
  <c r="D3754" i="7"/>
  <c r="F3754" i="7" s="1"/>
  <c r="C3756" i="7" l="1"/>
  <c r="D3755" i="7"/>
  <c r="E3755" i="7" s="1"/>
  <c r="E3754" i="7"/>
  <c r="F3755" i="7" l="1"/>
  <c r="C3757" i="7"/>
  <c r="D3756" i="7"/>
  <c r="F3756" i="7" s="1"/>
  <c r="C3758" i="7" l="1"/>
  <c r="D3757" i="7"/>
  <c r="E3757" i="7" s="1"/>
  <c r="E3756" i="7"/>
  <c r="F3757" i="7" l="1"/>
  <c r="C3759" i="7"/>
  <c r="D3758" i="7"/>
  <c r="F3758" i="7" s="1"/>
  <c r="C3760" i="7" l="1"/>
  <c r="D3759" i="7"/>
  <c r="E3759" i="7" s="1"/>
  <c r="E3758" i="7"/>
  <c r="F3759" i="7" l="1"/>
  <c r="C3761" i="7"/>
  <c r="D3760" i="7"/>
  <c r="F3760" i="7" s="1"/>
  <c r="C3762" i="7" l="1"/>
  <c r="D3761" i="7"/>
  <c r="E3761" i="7" s="1"/>
  <c r="E3760" i="7"/>
  <c r="F3761" i="7" l="1"/>
  <c r="C3763" i="7"/>
  <c r="D3762" i="7"/>
  <c r="F3762" i="7" s="1"/>
  <c r="C3764" i="7" l="1"/>
  <c r="D3763" i="7"/>
  <c r="E3763" i="7" s="1"/>
  <c r="E3762" i="7"/>
  <c r="F3763" i="7" l="1"/>
  <c r="C3765" i="7"/>
  <c r="D3764" i="7"/>
  <c r="F3764" i="7" s="1"/>
  <c r="C3766" i="7" l="1"/>
  <c r="D3765" i="7"/>
  <c r="E3765" i="7" s="1"/>
  <c r="E3764" i="7"/>
  <c r="F3765" i="7" l="1"/>
  <c r="C3767" i="7"/>
  <c r="D3766" i="7"/>
  <c r="F3766" i="7" s="1"/>
  <c r="C3768" i="7" l="1"/>
  <c r="D3767" i="7"/>
  <c r="E3767" i="7" s="1"/>
  <c r="E3766" i="7"/>
  <c r="F3767" i="7" l="1"/>
  <c r="C3769" i="7"/>
  <c r="D3768" i="7"/>
  <c r="F3768" i="7" s="1"/>
  <c r="C3770" i="7" l="1"/>
  <c r="D3769" i="7"/>
  <c r="E3769" i="7" s="1"/>
  <c r="E3768" i="7"/>
  <c r="F3769" i="7" l="1"/>
  <c r="C3771" i="7"/>
  <c r="D3770" i="7"/>
  <c r="F3770" i="7" s="1"/>
  <c r="C3772" i="7" l="1"/>
  <c r="D3771" i="7"/>
  <c r="E3771" i="7" s="1"/>
  <c r="E3770" i="7"/>
  <c r="F3771" i="7" l="1"/>
  <c r="C3773" i="7"/>
  <c r="D3772" i="7"/>
  <c r="F3772" i="7" s="1"/>
  <c r="C3774" i="7" l="1"/>
  <c r="D3773" i="7"/>
  <c r="E3773" i="7" s="1"/>
  <c r="E3772" i="7"/>
  <c r="F3773" i="7" l="1"/>
  <c r="C3775" i="7"/>
  <c r="D3774" i="7"/>
  <c r="F3774" i="7" s="1"/>
  <c r="E3774" i="7" l="1"/>
  <c r="C3776" i="7"/>
  <c r="D3775" i="7"/>
  <c r="E3775" i="7" s="1"/>
  <c r="F3775" i="7" l="1"/>
  <c r="C3777" i="7"/>
  <c r="D3776" i="7"/>
  <c r="F3776" i="7" s="1"/>
  <c r="C3778" i="7" l="1"/>
  <c r="D3777" i="7"/>
  <c r="E3777" i="7" s="1"/>
  <c r="E3776" i="7"/>
  <c r="F3777" i="7" l="1"/>
  <c r="C3779" i="7"/>
  <c r="D3778" i="7"/>
  <c r="F3778" i="7" s="1"/>
  <c r="C3780" i="7" l="1"/>
  <c r="D3779" i="7"/>
  <c r="E3779" i="7" s="1"/>
  <c r="E3778" i="7"/>
  <c r="C3781" i="7" l="1"/>
  <c r="D3780" i="7"/>
  <c r="F3780" i="7" s="1"/>
  <c r="F3779" i="7"/>
  <c r="E3780" i="7" l="1"/>
  <c r="C3782" i="7"/>
  <c r="D3781" i="7"/>
  <c r="E3781" i="7" s="1"/>
  <c r="F3781" i="7" l="1"/>
  <c r="C3783" i="7"/>
  <c r="D3782" i="7"/>
  <c r="F3782" i="7" s="1"/>
  <c r="C3784" i="7" l="1"/>
  <c r="D3783" i="7"/>
  <c r="E3783" i="7" s="1"/>
  <c r="E3782" i="7"/>
  <c r="F3783" i="7" l="1"/>
  <c r="C3785" i="7"/>
  <c r="D3784" i="7"/>
  <c r="F3784" i="7" s="1"/>
  <c r="C3786" i="7" l="1"/>
  <c r="D3785" i="7"/>
  <c r="E3785" i="7" s="1"/>
  <c r="E3784" i="7"/>
  <c r="F3785" i="7" l="1"/>
  <c r="C3787" i="7"/>
  <c r="D3786" i="7"/>
  <c r="F3786" i="7" s="1"/>
  <c r="C3788" i="7" l="1"/>
  <c r="D3787" i="7"/>
  <c r="E3787" i="7" s="1"/>
  <c r="E3786" i="7"/>
  <c r="F3787" i="7" l="1"/>
  <c r="C3789" i="7"/>
  <c r="D3788" i="7"/>
  <c r="F3788" i="7" s="1"/>
  <c r="C3790" i="7" l="1"/>
  <c r="D3789" i="7"/>
  <c r="E3789" i="7" s="1"/>
  <c r="E3788" i="7"/>
  <c r="F3789" i="7" l="1"/>
  <c r="C3791" i="7"/>
  <c r="D3790" i="7"/>
  <c r="F3790" i="7" s="1"/>
  <c r="C3792" i="7" l="1"/>
  <c r="D3791" i="7"/>
  <c r="E3791" i="7" s="1"/>
  <c r="E3790" i="7"/>
  <c r="F3791" i="7" l="1"/>
  <c r="C3793" i="7"/>
  <c r="D3792" i="7"/>
  <c r="F3792" i="7" s="1"/>
  <c r="C3794" i="7" l="1"/>
  <c r="D3793" i="7"/>
  <c r="E3793" i="7" s="1"/>
  <c r="E3792" i="7"/>
  <c r="F3793" i="7" l="1"/>
  <c r="C3795" i="7"/>
  <c r="D3794" i="7"/>
  <c r="F3794" i="7" s="1"/>
  <c r="C3796" i="7" l="1"/>
  <c r="D3795" i="7"/>
  <c r="E3795" i="7" s="1"/>
  <c r="E3794" i="7"/>
  <c r="F3795" i="7" l="1"/>
  <c r="C3797" i="7"/>
  <c r="D3796" i="7"/>
  <c r="F3796" i="7" s="1"/>
  <c r="C3798" i="7" l="1"/>
  <c r="D3797" i="7"/>
  <c r="E3797" i="7" s="1"/>
  <c r="E3796" i="7"/>
  <c r="F3797" i="7" l="1"/>
  <c r="C3799" i="7"/>
  <c r="D3798" i="7"/>
  <c r="F3798" i="7" s="1"/>
  <c r="C3800" i="7" l="1"/>
  <c r="D3799" i="7"/>
  <c r="E3799" i="7" s="1"/>
  <c r="E3798" i="7"/>
  <c r="F3799" i="7" l="1"/>
  <c r="C3801" i="7"/>
  <c r="D3800" i="7"/>
  <c r="F3800" i="7" s="1"/>
  <c r="C3802" i="7" l="1"/>
  <c r="D3801" i="7"/>
  <c r="E3801" i="7" s="1"/>
  <c r="E3800" i="7"/>
  <c r="F3801" i="7" l="1"/>
  <c r="C3803" i="7"/>
  <c r="D3802" i="7"/>
  <c r="F3802" i="7" s="1"/>
  <c r="C3804" i="7" l="1"/>
  <c r="D3803" i="7"/>
  <c r="E3803" i="7" s="1"/>
  <c r="E3802" i="7"/>
  <c r="F3803" i="7" l="1"/>
  <c r="C3805" i="7"/>
  <c r="D3804" i="7"/>
  <c r="F3804" i="7" s="1"/>
  <c r="E3804" i="7" l="1"/>
  <c r="C3806" i="7"/>
  <c r="D3805" i="7"/>
  <c r="E3805" i="7" s="1"/>
  <c r="F3805" i="7" l="1"/>
  <c r="C3807" i="7"/>
  <c r="D3806" i="7"/>
  <c r="F3806" i="7" s="1"/>
  <c r="C3808" i="7" l="1"/>
  <c r="D3807" i="7"/>
  <c r="E3807" i="7" s="1"/>
  <c r="E3806" i="7"/>
  <c r="F3807" i="7" l="1"/>
  <c r="C3809" i="7"/>
  <c r="D3808" i="7"/>
  <c r="F3808" i="7" s="1"/>
  <c r="C3810" i="7" l="1"/>
  <c r="D3809" i="7"/>
  <c r="E3809" i="7" s="1"/>
  <c r="E3808" i="7"/>
  <c r="F3809" i="7" l="1"/>
  <c r="C3811" i="7"/>
  <c r="D3810" i="7"/>
  <c r="F3810" i="7" s="1"/>
  <c r="C3812" i="7" l="1"/>
  <c r="D3811" i="7"/>
  <c r="E3811" i="7" s="1"/>
  <c r="E3810" i="7"/>
  <c r="F3811" i="7" l="1"/>
  <c r="C3813" i="7"/>
  <c r="D3812" i="7"/>
  <c r="F3812" i="7" s="1"/>
  <c r="C3814" i="7" l="1"/>
  <c r="D3813" i="7"/>
  <c r="E3813" i="7" s="1"/>
  <c r="E3812" i="7"/>
  <c r="F3813" i="7" l="1"/>
  <c r="C3815" i="7"/>
  <c r="D3814" i="7"/>
  <c r="F3814" i="7" s="1"/>
  <c r="C3816" i="7" l="1"/>
  <c r="D3815" i="7"/>
  <c r="E3815" i="7" s="1"/>
  <c r="E3814" i="7"/>
  <c r="F3815" i="7" l="1"/>
  <c r="C3817" i="7"/>
  <c r="D3816" i="7"/>
  <c r="F3816" i="7" s="1"/>
  <c r="C3818" i="7" l="1"/>
  <c r="D3817" i="7"/>
  <c r="E3817" i="7" s="1"/>
  <c r="E3816" i="7"/>
  <c r="F3817" i="7" l="1"/>
  <c r="C3819" i="7"/>
  <c r="D3818" i="7"/>
  <c r="F3818" i="7" s="1"/>
  <c r="C3820" i="7" l="1"/>
  <c r="D3819" i="7"/>
  <c r="E3819" i="7" s="1"/>
  <c r="E3818" i="7"/>
  <c r="F3819" i="7" l="1"/>
  <c r="C3821" i="7"/>
  <c r="D3820" i="7"/>
  <c r="F3820" i="7" s="1"/>
  <c r="C3822" i="7" l="1"/>
  <c r="D3821" i="7"/>
  <c r="E3821" i="7" s="1"/>
  <c r="E3820" i="7"/>
  <c r="F3821" i="7" l="1"/>
  <c r="C3823" i="7"/>
  <c r="D3822" i="7"/>
  <c r="F3822" i="7" s="1"/>
  <c r="C3824" i="7" l="1"/>
  <c r="D3823" i="7"/>
  <c r="E3823" i="7" s="1"/>
  <c r="E3822" i="7"/>
  <c r="F3823" i="7" l="1"/>
  <c r="C3825" i="7"/>
  <c r="D3824" i="7"/>
  <c r="F3824" i="7" s="1"/>
  <c r="C3826" i="7" l="1"/>
  <c r="D3825" i="7"/>
  <c r="E3825" i="7" s="1"/>
  <c r="E3824" i="7"/>
  <c r="F3825" i="7" l="1"/>
  <c r="C3827" i="7"/>
  <c r="D3826" i="7"/>
  <c r="F3826" i="7" s="1"/>
  <c r="C3828" i="7" l="1"/>
  <c r="D3827" i="7"/>
  <c r="F3827" i="7" s="1"/>
  <c r="E3826" i="7"/>
  <c r="E3827" i="7" l="1"/>
  <c r="C3829" i="7"/>
  <c r="D3828" i="7"/>
  <c r="E3828" i="7" s="1"/>
  <c r="F3828" i="7" l="1"/>
  <c r="C3830" i="7"/>
  <c r="D3829" i="7"/>
  <c r="F3829" i="7" s="1"/>
  <c r="E3829" i="7" l="1"/>
  <c r="C3831" i="7"/>
  <c r="D3830" i="7"/>
  <c r="E3830" i="7" s="1"/>
  <c r="F3830" i="7" l="1"/>
  <c r="C3832" i="7"/>
  <c r="D3831" i="7"/>
  <c r="E3831" i="7" l="1"/>
  <c r="F3831" i="7"/>
  <c r="C3833" i="7"/>
  <c r="D3832" i="7"/>
  <c r="F3832" i="7" s="1"/>
  <c r="E3832" i="7" l="1"/>
  <c r="C3834" i="7"/>
  <c r="D3833" i="7"/>
  <c r="E3833" i="7" s="1"/>
  <c r="F3833" i="7" l="1"/>
  <c r="C3835" i="7"/>
  <c r="D3834" i="7"/>
  <c r="F3834" i="7" s="1"/>
  <c r="C3836" i="7" l="1"/>
  <c r="D3835" i="7"/>
  <c r="E3835" i="7" s="1"/>
  <c r="E3834" i="7"/>
  <c r="C3837" i="7" l="1"/>
  <c r="D3836" i="7"/>
  <c r="F3836" i="7" s="1"/>
  <c r="F3835" i="7"/>
  <c r="E3836" i="7" l="1"/>
  <c r="C3838" i="7"/>
  <c r="D3837" i="7"/>
  <c r="E3837" i="7" s="1"/>
  <c r="C3839" i="7" l="1"/>
  <c r="D3838" i="7"/>
  <c r="F3838" i="7" s="1"/>
  <c r="F3837" i="7"/>
  <c r="E3838" i="7" l="1"/>
  <c r="C3840" i="7"/>
  <c r="D3839" i="7"/>
  <c r="E3839" i="7" s="1"/>
  <c r="C3841" i="7" l="1"/>
  <c r="D3840" i="7"/>
  <c r="F3840" i="7" s="1"/>
  <c r="F3839" i="7"/>
  <c r="E3840" i="7" l="1"/>
  <c r="C3842" i="7"/>
  <c r="D3841" i="7"/>
  <c r="E3841" i="7" s="1"/>
  <c r="F3841" i="7" l="1"/>
  <c r="C3843" i="7"/>
  <c r="D3842" i="7"/>
  <c r="F3842" i="7" s="1"/>
  <c r="C3844" i="7" l="1"/>
  <c r="D3843" i="7"/>
  <c r="E3843" i="7" s="1"/>
  <c r="E3842" i="7"/>
  <c r="F3843" i="7" l="1"/>
  <c r="C3845" i="7"/>
  <c r="D3844" i="7"/>
  <c r="F3844" i="7" s="1"/>
  <c r="C3846" i="7" l="1"/>
  <c r="D3845" i="7"/>
  <c r="E3845" i="7" s="1"/>
  <c r="E3844" i="7"/>
  <c r="F3845" i="7" l="1"/>
  <c r="C3847" i="7"/>
  <c r="D3846" i="7"/>
  <c r="F3846" i="7" s="1"/>
  <c r="C3848" i="7" l="1"/>
  <c r="D3847" i="7"/>
  <c r="E3847" i="7" s="1"/>
  <c r="E3846" i="7"/>
  <c r="F3847" i="7" l="1"/>
  <c r="C3849" i="7"/>
  <c r="D3848" i="7"/>
  <c r="F3848" i="7" s="1"/>
  <c r="C3850" i="7" l="1"/>
  <c r="D3849" i="7"/>
  <c r="E3849" i="7" s="1"/>
  <c r="E3848" i="7"/>
  <c r="F3849" i="7" l="1"/>
  <c r="C3851" i="7"/>
  <c r="D3850" i="7"/>
  <c r="F3850" i="7" s="1"/>
  <c r="C3852" i="7" l="1"/>
  <c r="D3851" i="7"/>
  <c r="E3851" i="7" s="1"/>
  <c r="E3850" i="7"/>
  <c r="F3851" i="7" l="1"/>
  <c r="C3853" i="7"/>
  <c r="D3852" i="7"/>
  <c r="F3852" i="7" s="1"/>
  <c r="C3854" i="7" l="1"/>
  <c r="D3853" i="7"/>
  <c r="E3853" i="7" s="1"/>
  <c r="E3852" i="7"/>
  <c r="C3855" i="7" l="1"/>
  <c r="D3854" i="7"/>
  <c r="F3854" i="7" s="1"/>
  <c r="F3853" i="7"/>
  <c r="E3854" i="7" l="1"/>
  <c r="C3856" i="7"/>
  <c r="D3855" i="7"/>
  <c r="E3855" i="7" s="1"/>
  <c r="F3855" i="7" l="1"/>
  <c r="C3857" i="7"/>
  <c r="D3856" i="7"/>
  <c r="F3856" i="7" s="1"/>
  <c r="C3858" i="7" l="1"/>
  <c r="D3857" i="7"/>
  <c r="E3857" i="7" s="1"/>
  <c r="E3856" i="7"/>
  <c r="C3859" i="7" l="1"/>
  <c r="D3858" i="7"/>
  <c r="F3858" i="7" s="1"/>
  <c r="F3857" i="7"/>
  <c r="E3858" i="7" l="1"/>
  <c r="C3860" i="7"/>
  <c r="D3859" i="7"/>
  <c r="E3859" i="7" s="1"/>
  <c r="C3861" i="7" l="1"/>
  <c r="D3860" i="7"/>
  <c r="F3860" i="7" s="1"/>
  <c r="F3859" i="7"/>
  <c r="E3860" i="7" l="1"/>
  <c r="C3862" i="7"/>
  <c r="D3861" i="7"/>
  <c r="E3861" i="7" s="1"/>
  <c r="C3863" i="7" l="1"/>
  <c r="D3862" i="7"/>
  <c r="F3862" i="7" s="1"/>
  <c r="F3861" i="7"/>
  <c r="E3862" i="7" l="1"/>
  <c r="C3864" i="7"/>
  <c r="D3863" i="7"/>
  <c r="E3863" i="7" s="1"/>
  <c r="C3865" i="7" l="1"/>
  <c r="D3864" i="7"/>
  <c r="F3864" i="7" s="1"/>
  <c r="F3863" i="7"/>
  <c r="E3864" i="7" l="1"/>
  <c r="C3866" i="7"/>
  <c r="D3865" i="7"/>
  <c r="E3865" i="7" s="1"/>
  <c r="C3867" i="7" l="1"/>
  <c r="D3866" i="7"/>
  <c r="F3866" i="7" s="1"/>
  <c r="F3865" i="7"/>
  <c r="E3866" i="7" l="1"/>
  <c r="C3868" i="7"/>
  <c r="D3867" i="7"/>
  <c r="E3867" i="7" s="1"/>
  <c r="C3869" i="7" l="1"/>
  <c r="D3868" i="7"/>
  <c r="F3868" i="7" s="1"/>
  <c r="F3867" i="7"/>
  <c r="E3868" i="7" l="1"/>
  <c r="C3870" i="7"/>
  <c r="D3869" i="7"/>
  <c r="E3869" i="7" s="1"/>
  <c r="F3869" i="7" l="1"/>
  <c r="C3871" i="7"/>
  <c r="D3870" i="7"/>
  <c r="F3870" i="7" s="1"/>
  <c r="C3872" i="7" l="1"/>
  <c r="D3871" i="7"/>
  <c r="E3871" i="7" s="1"/>
  <c r="E3870" i="7"/>
  <c r="F3871" i="7" l="1"/>
  <c r="C3873" i="7"/>
  <c r="D3872" i="7"/>
  <c r="F3872" i="7" s="1"/>
  <c r="C3874" i="7" l="1"/>
  <c r="D3873" i="7"/>
  <c r="E3873" i="7" s="1"/>
  <c r="E3872" i="7"/>
  <c r="C3875" i="7" l="1"/>
  <c r="D3874" i="7"/>
  <c r="F3874" i="7" s="1"/>
  <c r="F3873" i="7"/>
  <c r="E3874" i="7" l="1"/>
  <c r="C3876" i="7"/>
  <c r="D3875" i="7"/>
  <c r="E3875" i="7" s="1"/>
  <c r="F3875" i="7" l="1"/>
  <c r="C3877" i="7"/>
  <c r="D3876" i="7"/>
  <c r="F3876" i="7" s="1"/>
  <c r="C3878" i="7" l="1"/>
  <c r="D3877" i="7"/>
  <c r="E3877" i="7" s="1"/>
  <c r="E3876" i="7"/>
  <c r="C3879" i="7" l="1"/>
  <c r="D3878" i="7"/>
  <c r="F3878" i="7" s="1"/>
  <c r="F3877" i="7"/>
  <c r="E3878" i="7" l="1"/>
  <c r="C3880" i="7"/>
  <c r="D3879" i="7"/>
  <c r="E3879" i="7" s="1"/>
  <c r="F3879" i="7" l="1"/>
  <c r="C3881" i="7"/>
  <c r="D3880" i="7"/>
  <c r="F3880" i="7" s="1"/>
  <c r="C3882" i="7" l="1"/>
  <c r="D3881" i="7"/>
  <c r="E3881" i="7" s="1"/>
  <c r="E3880" i="7"/>
  <c r="F3881" i="7" l="1"/>
  <c r="C3883" i="7"/>
  <c r="D3882" i="7"/>
  <c r="F3882" i="7" s="1"/>
  <c r="C3884" i="7" l="1"/>
  <c r="D3883" i="7"/>
  <c r="E3883" i="7" s="1"/>
  <c r="E3882" i="7"/>
  <c r="F3883" i="7" l="1"/>
  <c r="C3885" i="7"/>
  <c r="D3884" i="7"/>
  <c r="F3884" i="7" s="1"/>
  <c r="C3886" i="7" l="1"/>
  <c r="D3885" i="7"/>
  <c r="E3885" i="7" s="1"/>
  <c r="E3884" i="7"/>
  <c r="F3885" i="7" l="1"/>
  <c r="C3887" i="7"/>
  <c r="D3886" i="7"/>
  <c r="F3886" i="7" s="1"/>
  <c r="C3888" i="7" l="1"/>
  <c r="D3887" i="7"/>
  <c r="E3887" i="7" s="1"/>
  <c r="E3886" i="7"/>
  <c r="F3887" i="7" l="1"/>
  <c r="C3889" i="7"/>
  <c r="D3888" i="7"/>
  <c r="F3888" i="7" s="1"/>
  <c r="C3890" i="7" l="1"/>
  <c r="D3889" i="7"/>
  <c r="E3889" i="7" s="1"/>
  <c r="E3888" i="7"/>
  <c r="C3891" i="7" l="1"/>
  <c r="D3890" i="7"/>
  <c r="F3890" i="7" s="1"/>
  <c r="F3889" i="7"/>
  <c r="E3890" i="7" l="1"/>
  <c r="C3892" i="7"/>
  <c r="D3891" i="7"/>
  <c r="E3891" i="7" s="1"/>
  <c r="F3891" i="7" l="1"/>
  <c r="C3893" i="7"/>
  <c r="D3892" i="7"/>
  <c r="F3892" i="7" s="1"/>
  <c r="C3894" i="7" l="1"/>
  <c r="D3893" i="7"/>
  <c r="E3893" i="7" s="1"/>
  <c r="E3892" i="7"/>
  <c r="F3893" i="7" l="1"/>
  <c r="C3895" i="7"/>
  <c r="D3894" i="7"/>
  <c r="F3894" i="7" s="1"/>
  <c r="C3896" i="7" l="1"/>
  <c r="D3895" i="7"/>
  <c r="E3895" i="7" s="1"/>
  <c r="E3894" i="7"/>
  <c r="F3895" i="7" l="1"/>
  <c r="C3897" i="7"/>
  <c r="D3896" i="7"/>
  <c r="F3896" i="7" s="1"/>
  <c r="C3898" i="7" l="1"/>
  <c r="D3897" i="7"/>
  <c r="E3897" i="7" s="1"/>
  <c r="E3896" i="7"/>
  <c r="F3897" i="7" l="1"/>
  <c r="C3899" i="7"/>
  <c r="D3898" i="7"/>
  <c r="F3898" i="7" s="1"/>
  <c r="C3900" i="7" l="1"/>
  <c r="D3899" i="7"/>
  <c r="E3899" i="7" s="1"/>
  <c r="E3898" i="7"/>
  <c r="F3899" i="7" l="1"/>
  <c r="C3901" i="7"/>
  <c r="D3900" i="7"/>
  <c r="F3900" i="7" s="1"/>
  <c r="C3902" i="7" l="1"/>
  <c r="D3901" i="7"/>
  <c r="E3901" i="7" s="1"/>
  <c r="E3900" i="7"/>
  <c r="F3901" i="7" l="1"/>
  <c r="C3903" i="7"/>
  <c r="D3902" i="7"/>
  <c r="F3902" i="7" s="1"/>
  <c r="C3904" i="7" l="1"/>
  <c r="D3903" i="7"/>
  <c r="E3903" i="7" s="1"/>
  <c r="E3902" i="7"/>
  <c r="C3905" i="7" l="1"/>
  <c r="D3904" i="7"/>
  <c r="F3904" i="7" s="1"/>
  <c r="F3903" i="7"/>
  <c r="E3904" i="7" l="1"/>
  <c r="C3906" i="7"/>
  <c r="D3905" i="7"/>
  <c r="E3905" i="7" s="1"/>
  <c r="F3905" i="7" l="1"/>
  <c r="C3907" i="7"/>
  <c r="D3906" i="7"/>
  <c r="F3906" i="7" s="1"/>
  <c r="C3908" i="7" l="1"/>
  <c r="D3907" i="7"/>
  <c r="E3907" i="7" s="1"/>
  <c r="E3906" i="7"/>
  <c r="F3907" i="7" l="1"/>
  <c r="C3909" i="7"/>
  <c r="D3908" i="7"/>
  <c r="F3908" i="7" s="1"/>
  <c r="C3910" i="7" l="1"/>
  <c r="D3909" i="7"/>
  <c r="E3909" i="7" s="1"/>
  <c r="E3908" i="7"/>
  <c r="C3911" i="7" l="1"/>
  <c r="D3910" i="7"/>
  <c r="F3910" i="7" s="1"/>
  <c r="F3909" i="7"/>
  <c r="E3910" i="7" l="1"/>
  <c r="C3912" i="7"/>
  <c r="D3911" i="7"/>
  <c r="E3911" i="7" s="1"/>
  <c r="F3911" i="7" l="1"/>
  <c r="C3913" i="7"/>
  <c r="D3912" i="7"/>
  <c r="F3912" i="7" s="1"/>
  <c r="C3914" i="7" l="1"/>
  <c r="D3913" i="7"/>
  <c r="E3913" i="7" s="1"/>
  <c r="E3912" i="7"/>
  <c r="F3913" i="7" l="1"/>
  <c r="C3915" i="7"/>
  <c r="D3914" i="7"/>
  <c r="E3914" i="7" l="1"/>
  <c r="F3914" i="7"/>
  <c r="C3916" i="7"/>
  <c r="D3915" i="7"/>
  <c r="F3915" i="7" s="1"/>
  <c r="C3917" i="7" l="1"/>
  <c r="D3916" i="7"/>
  <c r="E3916" i="7" s="1"/>
  <c r="E3915" i="7"/>
  <c r="F3916" i="7" l="1"/>
  <c r="C3918" i="7"/>
  <c r="D3917" i="7"/>
  <c r="F3917" i="7" s="1"/>
  <c r="C3919" i="7" l="1"/>
  <c r="D3918" i="7"/>
  <c r="E3918" i="7" s="1"/>
  <c r="E3917" i="7"/>
  <c r="F3918" i="7" l="1"/>
  <c r="C3920" i="7"/>
  <c r="D3919" i="7"/>
  <c r="F3919" i="7" s="1"/>
  <c r="C3921" i="7" l="1"/>
  <c r="D3920" i="7"/>
  <c r="E3920" i="7" s="1"/>
  <c r="E3919" i="7"/>
  <c r="F3920" i="7" l="1"/>
  <c r="C3922" i="7"/>
  <c r="D3921" i="7"/>
  <c r="F3921" i="7" s="1"/>
  <c r="C3923" i="7" l="1"/>
  <c r="D3922" i="7"/>
  <c r="E3922" i="7" s="1"/>
  <c r="E3921" i="7"/>
  <c r="F3922" i="7" l="1"/>
  <c r="C3924" i="7"/>
  <c r="D3923" i="7"/>
  <c r="F3923" i="7" s="1"/>
  <c r="C3925" i="7" l="1"/>
  <c r="D3924" i="7"/>
  <c r="E3924" i="7" s="1"/>
  <c r="E3923" i="7"/>
  <c r="F3924" i="7" l="1"/>
  <c r="C3926" i="7"/>
  <c r="D3925" i="7"/>
  <c r="F3925" i="7" s="1"/>
  <c r="C3927" i="7" l="1"/>
  <c r="D3926" i="7"/>
  <c r="E3926" i="7" s="1"/>
  <c r="E3925" i="7"/>
  <c r="F3926" i="7" l="1"/>
  <c r="C3928" i="7"/>
  <c r="D3927" i="7"/>
  <c r="F3927" i="7" s="1"/>
  <c r="C3929" i="7" l="1"/>
  <c r="D3928" i="7"/>
  <c r="E3928" i="7" s="1"/>
  <c r="E3927" i="7"/>
  <c r="F3928" i="7" l="1"/>
  <c r="C3930" i="7"/>
  <c r="D3929" i="7"/>
  <c r="F3929" i="7" s="1"/>
  <c r="C3931" i="7" l="1"/>
  <c r="D3930" i="7"/>
  <c r="E3930" i="7" s="1"/>
  <c r="E3929" i="7"/>
  <c r="F3930" i="7" l="1"/>
  <c r="C3932" i="7"/>
  <c r="D3931" i="7"/>
  <c r="F3931" i="7" s="1"/>
  <c r="C3933" i="7" l="1"/>
  <c r="D3932" i="7"/>
  <c r="E3932" i="7" s="1"/>
  <c r="E3931" i="7"/>
  <c r="F3932" i="7" l="1"/>
  <c r="C3934" i="7"/>
  <c r="D3933" i="7"/>
  <c r="F3933" i="7" s="1"/>
  <c r="C3935" i="7" l="1"/>
  <c r="D3934" i="7"/>
  <c r="E3934" i="7" s="1"/>
  <c r="E3933" i="7"/>
  <c r="F3934" i="7" l="1"/>
  <c r="C3936" i="7"/>
  <c r="D3935" i="7"/>
  <c r="F3935" i="7" s="1"/>
  <c r="C3937" i="7" l="1"/>
  <c r="D3936" i="7"/>
  <c r="E3936" i="7" s="1"/>
  <c r="E3935" i="7"/>
  <c r="F3936" i="7" l="1"/>
  <c r="C3938" i="7"/>
  <c r="D3937" i="7"/>
  <c r="F3937" i="7" s="1"/>
  <c r="C3939" i="7" l="1"/>
  <c r="D3938" i="7"/>
  <c r="E3938" i="7" s="1"/>
  <c r="E3937" i="7"/>
  <c r="F3938" i="7" l="1"/>
  <c r="C3940" i="7"/>
  <c r="D3939" i="7"/>
  <c r="F3939" i="7" s="1"/>
  <c r="C3941" i="7" l="1"/>
  <c r="D3940" i="7"/>
  <c r="E3940" i="7" s="1"/>
  <c r="E3939" i="7"/>
  <c r="F3940" i="7" l="1"/>
  <c r="C3942" i="7"/>
  <c r="D3941" i="7"/>
  <c r="F3941" i="7" s="1"/>
  <c r="C3943" i="7" l="1"/>
  <c r="D3942" i="7"/>
  <c r="E3942" i="7" s="1"/>
  <c r="E3941" i="7"/>
  <c r="F3942" i="7" l="1"/>
  <c r="C3944" i="7"/>
  <c r="D3943" i="7"/>
  <c r="F3943" i="7" s="1"/>
  <c r="C3945" i="7" l="1"/>
  <c r="D3944" i="7"/>
  <c r="E3944" i="7" s="1"/>
  <c r="E3943" i="7"/>
  <c r="C3946" i="7" l="1"/>
  <c r="D3945" i="7"/>
  <c r="F3945" i="7" s="1"/>
  <c r="F3944" i="7"/>
  <c r="E3945" i="7" s="1"/>
  <c r="C3947" i="7" l="1"/>
  <c r="D3946" i="7"/>
  <c r="E3946" i="7" l="1"/>
  <c r="F3946" i="7"/>
  <c r="C3948" i="7"/>
  <c r="D3947" i="7"/>
  <c r="F3947" i="7" s="1"/>
  <c r="C3949" i="7" l="1"/>
  <c r="D3948" i="7"/>
  <c r="E3948" i="7" s="1"/>
  <c r="E3947" i="7"/>
  <c r="F3948" i="7" l="1"/>
  <c r="C3950" i="7"/>
  <c r="D3949" i="7"/>
  <c r="F3949" i="7" s="1"/>
  <c r="C3951" i="7" l="1"/>
  <c r="D3950" i="7"/>
  <c r="E3950" i="7" s="1"/>
  <c r="E3949" i="7"/>
  <c r="F3950" i="7" l="1"/>
  <c r="C3952" i="7"/>
  <c r="D3951" i="7"/>
  <c r="F3951" i="7" s="1"/>
  <c r="C3953" i="7" l="1"/>
  <c r="D3952" i="7"/>
  <c r="E3952" i="7" s="1"/>
  <c r="E3951" i="7"/>
  <c r="F3952" i="7" l="1"/>
  <c r="C3954" i="7"/>
  <c r="D3953" i="7"/>
  <c r="F3953" i="7" s="1"/>
  <c r="C3955" i="7" l="1"/>
  <c r="D3954" i="7"/>
  <c r="E3954" i="7" s="1"/>
  <c r="E3953" i="7"/>
  <c r="F3954" i="7" l="1"/>
  <c r="C3956" i="7"/>
  <c r="D3955" i="7"/>
  <c r="F3955" i="7" s="1"/>
  <c r="C3957" i="7" l="1"/>
  <c r="D3956" i="7"/>
  <c r="E3956" i="7" s="1"/>
  <c r="E3955" i="7"/>
  <c r="F3956" i="7" l="1"/>
  <c r="C3958" i="7"/>
  <c r="D3957" i="7"/>
  <c r="F3957" i="7" s="1"/>
  <c r="C3959" i="7" l="1"/>
  <c r="D3958" i="7"/>
  <c r="E3958" i="7" s="1"/>
  <c r="E3957" i="7"/>
  <c r="F3958" i="7" l="1"/>
  <c r="C3960" i="7"/>
  <c r="D3959" i="7"/>
  <c r="F3959" i="7" s="1"/>
  <c r="C3961" i="7" l="1"/>
  <c r="D3960" i="7"/>
  <c r="E3960" i="7" s="1"/>
  <c r="E3959" i="7"/>
  <c r="F3960" i="7" l="1"/>
  <c r="C3962" i="7"/>
  <c r="D3961" i="7"/>
  <c r="F3961" i="7" s="1"/>
  <c r="C3963" i="7" l="1"/>
  <c r="D3962" i="7"/>
  <c r="E3962" i="7" s="1"/>
  <c r="E3961" i="7"/>
  <c r="F3962" i="7" l="1"/>
  <c r="C3964" i="7"/>
  <c r="D3963" i="7"/>
  <c r="F3963" i="7" s="1"/>
  <c r="C3965" i="7" l="1"/>
  <c r="D3964" i="7"/>
  <c r="E3964" i="7" s="1"/>
  <c r="E3963" i="7"/>
  <c r="F3964" i="7" l="1"/>
  <c r="C3966" i="7"/>
  <c r="D3965" i="7"/>
  <c r="F3965" i="7" s="1"/>
  <c r="C3967" i="7" l="1"/>
  <c r="D3966" i="7"/>
  <c r="E3966" i="7" s="1"/>
  <c r="E3965" i="7"/>
  <c r="F3966" i="7" l="1"/>
  <c r="C3968" i="7"/>
  <c r="D3967" i="7"/>
  <c r="F3967" i="7" s="1"/>
  <c r="C3969" i="7" l="1"/>
  <c r="D3968" i="7"/>
  <c r="E3968" i="7" s="1"/>
  <c r="E3967" i="7"/>
  <c r="F3968" i="7" l="1"/>
  <c r="C3970" i="7"/>
  <c r="D3969" i="7"/>
  <c r="F3969" i="7" s="1"/>
  <c r="C3971" i="7" l="1"/>
  <c r="D3970" i="7"/>
  <c r="E3970" i="7" s="1"/>
  <c r="E3969" i="7"/>
  <c r="F3970" i="7" l="1"/>
  <c r="C3972" i="7"/>
  <c r="D3971" i="7"/>
  <c r="F3971" i="7" s="1"/>
  <c r="C3973" i="7" l="1"/>
  <c r="D3972" i="7"/>
  <c r="E3972" i="7" s="1"/>
  <c r="E3971" i="7"/>
  <c r="F3972" i="7" l="1"/>
  <c r="C3974" i="7"/>
  <c r="D3973" i="7"/>
  <c r="F3973" i="7" s="1"/>
  <c r="C3975" i="7" l="1"/>
  <c r="D3974" i="7"/>
  <c r="E3974" i="7" s="1"/>
  <c r="E3973" i="7"/>
  <c r="F3974" i="7" l="1"/>
  <c r="C3976" i="7"/>
  <c r="D3975" i="7"/>
  <c r="F3975" i="7" s="1"/>
  <c r="C3977" i="7" l="1"/>
  <c r="D3976" i="7"/>
  <c r="E3976" i="7" s="1"/>
  <c r="E3975" i="7"/>
  <c r="F3976" i="7" l="1"/>
  <c r="C3978" i="7"/>
  <c r="D3977" i="7"/>
  <c r="F3977" i="7" s="1"/>
  <c r="C3979" i="7" l="1"/>
  <c r="D3978" i="7"/>
  <c r="E3978" i="7" s="1"/>
  <c r="E3977" i="7"/>
  <c r="F3978" i="7" l="1"/>
  <c r="C3980" i="7"/>
  <c r="D3979" i="7"/>
  <c r="F3979" i="7" s="1"/>
  <c r="C3981" i="7" l="1"/>
  <c r="D3980" i="7"/>
  <c r="E3980" i="7" s="1"/>
  <c r="E3979" i="7"/>
  <c r="F3980" i="7" l="1"/>
  <c r="C3982" i="7"/>
  <c r="D3981" i="7"/>
  <c r="F3981" i="7" s="1"/>
  <c r="C3983" i="7" l="1"/>
  <c r="D3982" i="7"/>
  <c r="E3982" i="7" s="1"/>
  <c r="E3981" i="7"/>
  <c r="F3982" i="7" l="1"/>
  <c r="C3984" i="7"/>
  <c r="D3983" i="7"/>
  <c r="F3983" i="7" s="1"/>
  <c r="C3985" i="7" l="1"/>
  <c r="D3984" i="7"/>
  <c r="E3984" i="7" s="1"/>
  <c r="E3983" i="7"/>
  <c r="F3984" i="7" l="1"/>
  <c r="C3986" i="7"/>
  <c r="D3985" i="7"/>
  <c r="F3985" i="7" s="1"/>
  <c r="C3987" i="7" l="1"/>
  <c r="D3986" i="7"/>
  <c r="E3986" i="7" s="1"/>
  <c r="E3985" i="7"/>
  <c r="F3986" i="7" l="1"/>
  <c r="C3988" i="7"/>
  <c r="D3987" i="7"/>
  <c r="F3987" i="7" s="1"/>
  <c r="C3989" i="7" l="1"/>
  <c r="D3988" i="7"/>
  <c r="E3988" i="7" s="1"/>
  <c r="E3987" i="7"/>
  <c r="F3988" i="7" l="1"/>
  <c r="C3990" i="7"/>
  <c r="D3989" i="7"/>
  <c r="F3989" i="7" s="1"/>
  <c r="C3991" i="7" l="1"/>
  <c r="D3990" i="7"/>
  <c r="E3990" i="7" s="1"/>
  <c r="E3989" i="7"/>
  <c r="F3990" i="7" l="1"/>
  <c r="C3992" i="7"/>
  <c r="D3991" i="7"/>
  <c r="F3991" i="7" s="1"/>
  <c r="C3993" i="7" l="1"/>
  <c r="D3992" i="7"/>
  <c r="E3992" i="7" s="1"/>
  <c r="E3991" i="7"/>
  <c r="F3992" i="7" l="1"/>
  <c r="C3994" i="7"/>
  <c r="D3993" i="7"/>
  <c r="F3993" i="7" s="1"/>
  <c r="C3995" i="7" l="1"/>
  <c r="D3994" i="7"/>
  <c r="E3994" i="7" s="1"/>
  <c r="E3993" i="7"/>
  <c r="F3994" i="7" l="1"/>
  <c r="C3996" i="7"/>
  <c r="D3995" i="7"/>
  <c r="F3995" i="7" s="1"/>
  <c r="C3997" i="7" l="1"/>
  <c r="D3996" i="7"/>
  <c r="E3996" i="7" s="1"/>
  <c r="E3995" i="7"/>
  <c r="F3996" i="7" l="1"/>
  <c r="C3998" i="7"/>
  <c r="D3997" i="7"/>
  <c r="F3997" i="7" s="1"/>
  <c r="C3999" i="7" l="1"/>
  <c r="D3998" i="7"/>
  <c r="E3998" i="7" s="1"/>
  <c r="E3997" i="7"/>
  <c r="F3998" i="7" l="1"/>
  <c r="C4000" i="7"/>
  <c r="D3999" i="7"/>
  <c r="F3999" i="7" s="1"/>
  <c r="C4001" i="7" l="1"/>
  <c r="D4000" i="7"/>
  <c r="E4000" i="7" s="1"/>
  <c r="E3999" i="7"/>
  <c r="F4000" i="7" l="1"/>
  <c r="C4002" i="7"/>
  <c r="D4001" i="7"/>
  <c r="F4001" i="7" s="1"/>
  <c r="C4003" i="7" l="1"/>
  <c r="D4002" i="7"/>
  <c r="E4002" i="7" s="1"/>
  <c r="E4001" i="7"/>
  <c r="F4002" i="7" l="1"/>
  <c r="C4004" i="7"/>
  <c r="D4003" i="7"/>
  <c r="F4003" i="7" s="1"/>
  <c r="C4005" i="7" l="1"/>
  <c r="D4004" i="7"/>
  <c r="E4004" i="7" s="1"/>
  <c r="E4003" i="7"/>
  <c r="F4004" i="7" l="1"/>
  <c r="C4006" i="7"/>
  <c r="D4005" i="7"/>
  <c r="F4005" i="7" s="1"/>
  <c r="C4007" i="7" l="1"/>
  <c r="D4006" i="7"/>
  <c r="E4006" i="7" s="1"/>
  <c r="E4005" i="7"/>
  <c r="F4006" i="7" l="1"/>
  <c r="C4008" i="7"/>
  <c r="D4007" i="7"/>
  <c r="F4007" i="7" s="1"/>
  <c r="C4009" i="7" l="1"/>
  <c r="D4008" i="7"/>
  <c r="E4008" i="7" s="1"/>
  <c r="E4007" i="7"/>
  <c r="F4008" i="7" l="1"/>
  <c r="C4010" i="7"/>
  <c r="D4009" i="7"/>
  <c r="F4009" i="7" s="1"/>
  <c r="C4011" i="7" l="1"/>
  <c r="D4010" i="7"/>
  <c r="E4010" i="7" s="1"/>
  <c r="E4009" i="7"/>
  <c r="F4010" i="7" l="1"/>
  <c r="C4012" i="7"/>
  <c r="D4011" i="7"/>
  <c r="F4011" i="7" s="1"/>
  <c r="C4013" i="7" l="1"/>
  <c r="D4012" i="7"/>
  <c r="E4012" i="7" s="1"/>
  <c r="E4011" i="7"/>
  <c r="F4012" i="7" l="1"/>
  <c r="C4014" i="7"/>
  <c r="D4013" i="7"/>
  <c r="F4013" i="7" s="1"/>
  <c r="E4013" i="7" l="1"/>
  <c r="C4015" i="7"/>
  <c r="D4014" i="7"/>
  <c r="E4014" i="7" s="1"/>
  <c r="F4014" i="7" l="1"/>
  <c r="C4016" i="7"/>
  <c r="D4015" i="7"/>
  <c r="F4015" i="7" s="1"/>
  <c r="C4017" i="7" l="1"/>
  <c r="D4016" i="7"/>
  <c r="E4016" i="7" s="1"/>
  <c r="E4015" i="7"/>
  <c r="F4016" i="7" l="1"/>
  <c r="C4018" i="7"/>
  <c r="D4017" i="7"/>
  <c r="E4017" i="7" l="1"/>
  <c r="F4017" i="7"/>
  <c r="C4019" i="7"/>
  <c r="D4018" i="7"/>
  <c r="F4018" i="7" s="1"/>
  <c r="C4020" i="7" l="1"/>
  <c r="D4019" i="7"/>
  <c r="E4019" i="7" s="1"/>
  <c r="E4018" i="7"/>
  <c r="F4019" i="7" l="1"/>
  <c r="C4021" i="7"/>
  <c r="D4020" i="7"/>
  <c r="F4020" i="7" s="1"/>
  <c r="C4022" i="7" l="1"/>
  <c r="D4021" i="7"/>
  <c r="E4021" i="7" s="1"/>
  <c r="E4020" i="7"/>
  <c r="F4021" i="7" l="1"/>
  <c r="C4023" i="7"/>
  <c r="D4022" i="7"/>
  <c r="F4022" i="7" s="1"/>
  <c r="C4024" i="7" l="1"/>
  <c r="D4023" i="7"/>
  <c r="E4023" i="7" s="1"/>
  <c r="E4022" i="7"/>
  <c r="F4023" i="7" l="1"/>
  <c r="C4025" i="7"/>
  <c r="D4024" i="7"/>
  <c r="F4024" i="7" s="1"/>
  <c r="C4026" i="7" l="1"/>
  <c r="D4025" i="7"/>
  <c r="E4025" i="7" s="1"/>
  <c r="E4024" i="7"/>
  <c r="F4025" i="7" l="1"/>
  <c r="C4027" i="7"/>
  <c r="D4026" i="7"/>
  <c r="F4026" i="7" s="1"/>
  <c r="C4028" i="7" l="1"/>
  <c r="D4027" i="7"/>
  <c r="E4027" i="7" s="1"/>
  <c r="E4026" i="7"/>
  <c r="F4027" i="7" l="1"/>
  <c r="C4029" i="7"/>
  <c r="D4028" i="7"/>
  <c r="F4028" i="7" s="1"/>
  <c r="C4030" i="7" l="1"/>
  <c r="D4029" i="7"/>
  <c r="E4029" i="7" s="1"/>
  <c r="E4028" i="7"/>
  <c r="C4031" i="7" l="1"/>
  <c r="D4030" i="7"/>
  <c r="F4030" i="7" s="1"/>
  <c r="F4029" i="7"/>
  <c r="E4030" i="7" l="1"/>
  <c r="C4032" i="7"/>
  <c r="D4031" i="7"/>
  <c r="E4031" i="7" s="1"/>
  <c r="F4031" i="7" l="1"/>
  <c r="C4033" i="7"/>
  <c r="D4032" i="7"/>
  <c r="F4032" i="7" s="1"/>
  <c r="C4034" i="7" l="1"/>
  <c r="D4033" i="7"/>
  <c r="E4033" i="7" s="1"/>
  <c r="E4032" i="7"/>
  <c r="F4033" i="7" l="1"/>
  <c r="C4035" i="7"/>
  <c r="D4034" i="7"/>
  <c r="F4034" i="7" s="1"/>
  <c r="C4036" i="7" l="1"/>
  <c r="D4035" i="7"/>
  <c r="E4035" i="7" s="1"/>
  <c r="E4034" i="7"/>
  <c r="F4035" i="7" l="1"/>
  <c r="C4037" i="7"/>
  <c r="D4036" i="7"/>
  <c r="F4036" i="7" s="1"/>
  <c r="C4038" i="7" l="1"/>
  <c r="D4037" i="7"/>
  <c r="E4037" i="7" s="1"/>
  <c r="E4036" i="7"/>
  <c r="F4037" i="7" l="1"/>
  <c r="C4039" i="7"/>
  <c r="D4038" i="7"/>
  <c r="F4038" i="7" s="1"/>
  <c r="C4040" i="7" l="1"/>
  <c r="D4039" i="7"/>
  <c r="E4039" i="7" s="1"/>
  <c r="E4038" i="7"/>
  <c r="F4039" i="7" l="1"/>
  <c r="C4041" i="7"/>
  <c r="D4040" i="7"/>
  <c r="F4040" i="7" s="1"/>
  <c r="C4042" i="7" l="1"/>
  <c r="D4041" i="7"/>
  <c r="E4041" i="7" s="1"/>
  <c r="E4040" i="7"/>
  <c r="F4041" i="7" l="1"/>
  <c r="C4043" i="7"/>
  <c r="D4042" i="7"/>
  <c r="F4042" i="7" s="1"/>
  <c r="C4044" i="7" l="1"/>
  <c r="D4043" i="7"/>
  <c r="E4043" i="7" s="1"/>
  <c r="E4042" i="7"/>
  <c r="F4043" i="7" l="1"/>
  <c r="C4045" i="7"/>
  <c r="D4044" i="7"/>
  <c r="F4044" i="7" s="1"/>
  <c r="C4046" i="7" l="1"/>
  <c r="D4045" i="7"/>
  <c r="E4045" i="7" s="1"/>
  <c r="E4044" i="7"/>
  <c r="F4045" i="7" l="1"/>
  <c r="C4047" i="7"/>
  <c r="D4046" i="7"/>
  <c r="F4046" i="7" s="1"/>
  <c r="C4048" i="7" l="1"/>
  <c r="D4047" i="7"/>
  <c r="E4047" i="7" s="1"/>
  <c r="E4046" i="7"/>
  <c r="F4047" i="7" l="1"/>
  <c r="C4049" i="7"/>
  <c r="D4048" i="7"/>
  <c r="F4048" i="7" s="1"/>
  <c r="C4050" i="7" l="1"/>
  <c r="D4049" i="7"/>
  <c r="E4049" i="7" s="1"/>
  <c r="E4048" i="7"/>
  <c r="F4049" i="7" l="1"/>
  <c r="C4051" i="7"/>
  <c r="D4050" i="7"/>
  <c r="F4050" i="7" s="1"/>
  <c r="C4052" i="7" l="1"/>
  <c r="D4051" i="7"/>
  <c r="E4051" i="7" s="1"/>
  <c r="E4050" i="7"/>
  <c r="F4051" i="7" l="1"/>
  <c r="C4053" i="7"/>
  <c r="D4052" i="7"/>
  <c r="F4052" i="7" s="1"/>
  <c r="C4054" i="7" l="1"/>
  <c r="D4053" i="7"/>
  <c r="E4053" i="7" s="1"/>
  <c r="E4052" i="7"/>
  <c r="F4053" i="7" l="1"/>
  <c r="C4055" i="7"/>
  <c r="D4054" i="7"/>
  <c r="F4054" i="7" s="1"/>
  <c r="C4056" i="7" l="1"/>
  <c r="D4055" i="7"/>
  <c r="E4055" i="7" s="1"/>
  <c r="E4054" i="7"/>
  <c r="F4055" i="7" l="1"/>
  <c r="C4057" i="7"/>
  <c r="D4056" i="7"/>
  <c r="F4056" i="7" s="1"/>
  <c r="C4058" i="7" l="1"/>
  <c r="D4057" i="7"/>
  <c r="E4057" i="7" s="1"/>
  <c r="E4056" i="7"/>
  <c r="F4057" i="7" l="1"/>
  <c r="C4059" i="7"/>
  <c r="D4058" i="7"/>
  <c r="F4058" i="7" s="1"/>
  <c r="C4060" i="7" l="1"/>
  <c r="D4059" i="7"/>
  <c r="E4059" i="7" s="1"/>
  <c r="E4058" i="7"/>
  <c r="F4059" i="7" l="1"/>
  <c r="C4061" i="7"/>
  <c r="D4060" i="7"/>
  <c r="F4060" i="7" s="1"/>
  <c r="C4062" i="7" l="1"/>
  <c r="D4061" i="7"/>
  <c r="E4061" i="7" s="1"/>
  <c r="E4060" i="7"/>
  <c r="F4061" i="7" l="1"/>
  <c r="C4063" i="7"/>
  <c r="D4062" i="7"/>
  <c r="F4062" i="7" s="1"/>
  <c r="E4062" i="7" l="1"/>
  <c r="C4064" i="7"/>
  <c r="D4063" i="7"/>
  <c r="E4063" i="7" s="1"/>
  <c r="F4063" i="7" l="1"/>
  <c r="C4065" i="7"/>
  <c r="D4064" i="7"/>
  <c r="F4064" i="7" s="1"/>
  <c r="E4064" i="7" l="1"/>
  <c r="C4066" i="7"/>
  <c r="D4065" i="7"/>
  <c r="E4065" i="7" s="1"/>
  <c r="F4065" i="7" l="1"/>
  <c r="C4067" i="7"/>
  <c r="D4066" i="7"/>
  <c r="F4066" i="7" s="1"/>
  <c r="C4068" i="7" l="1"/>
  <c r="D4067" i="7"/>
  <c r="E4067" i="7" s="1"/>
  <c r="E4066" i="7"/>
  <c r="F4067" i="7" l="1"/>
  <c r="C4069" i="7"/>
  <c r="D4068" i="7"/>
  <c r="F4068" i="7" s="1"/>
  <c r="C4070" i="7" l="1"/>
  <c r="D4069" i="7"/>
  <c r="E4069" i="7" s="1"/>
  <c r="E4068" i="7"/>
  <c r="F4069" i="7" l="1"/>
  <c r="C4071" i="7"/>
  <c r="D4070" i="7"/>
  <c r="F4070" i="7" s="1"/>
  <c r="C4072" i="7" l="1"/>
  <c r="D4071" i="7"/>
  <c r="E4071" i="7" s="1"/>
  <c r="E4070" i="7"/>
  <c r="F4071" i="7" l="1"/>
  <c r="C4073" i="7"/>
  <c r="D4072" i="7"/>
  <c r="F4072" i="7" s="1"/>
  <c r="C4074" i="7" l="1"/>
  <c r="D4073" i="7"/>
  <c r="E4073" i="7" s="1"/>
  <c r="E4072" i="7"/>
  <c r="F4073" i="7" l="1"/>
  <c r="C4075" i="7"/>
  <c r="D4074" i="7"/>
  <c r="F4074" i="7" s="1"/>
  <c r="C4076" i="7" l="1"/>
  <c r="D4075" i="7"/>
  <c r="E4075" i="7" s="1"/>
  <c r="E4074" i="7"/>
  <c r="F4075" i="7" l="1"/>
  <c r="C4077" i="7"/>
  <c r="D4076" i="7"/>
  <c r="F4076" i="7" s="1"/>
  <c r="C4078" i="7" l="1"/>
  <c r="D4077" i="7"/>
  <c r="E4077" i="7" s="1"/>
  <c r="E4076" i="7"/>
  <c r="F4077" i="7" l="1"/>
  <c r="C4079" i="7"/>
  <c r="D4078" i="7"/>
  <c r="F4078" i="7" s="1"/>
  <c r="C4080" i="7" l="1"/>
  <c r="D4079" i="7"/>
  <c r="E4079" i="7" s="1"/>
  <c r="E4078" i="7"/>
  <c r="C4081" i="7" l="1"/>
  <c r="D4080" i="7"/>
  <c r="F4080" i="7" s="1"/>
  <c r="F4079" i="7"/>
  <c r="E4080" i="7" l="1"/>
  <c r="C4082" i="7"/>
  <c r="D4081" i="7"/>
  <c r="E4081" i="7" s="1"/>
  <c r="F4081" i="7" l="1"/>
  <c r="C4083" i="7"/>
  <c r="D4082" i="7"/>
  <c r="F4082" i="7" s="1"/>
  <c r="C4084" i="7" l="1"/>
  <c r="D4083" i="7"/>
  <c r="E4083" i="7" s="1"/>
  <c r="E4082" i="7"/>
  <c r="F4083" i="7" l="1"/>
  <c r="C4085" i="7"/>
  <c r="D4084" i="7"/>
  <c r="F4084" i="7" s="1"/>
  <c r="C4086" i="7" l="1"/>
  <c r="D4085" i="7"/>
  <c r="E4085" i="7" s="1"/>
  <c r="E4084" i="7"/>
  <c r="F4085" i="7" l="1"/>
  <c r="C4087" i="7"/>
  <c r="D4086" i="7"/>
  <c r="F4086" i="7" s="1"/>
  <c r="C4088" i="7" l="1"/>
  <c r="D4087" i="7"/>
  <c r="E4087" i="7" s="1"/>
  <c r="E4086" i="7"/>
  <c r="F4087" i="7" l="1"/>
  <c r="C4089" i="7"/>
  <c r="D4088" i="7"/>
  <c r="F4088" i="7" s="1"/>
  <c r="C4090" i="7" l="1"/>
  <c r="D4089" i="7"/>
  <c r="E4089" i="7" s="1"/>
  <c r="E4088" i="7"/>
  <c r="F4089" i="7" l="1"/>
  <c r="C4091" i="7"/>
  <c r="D4090" i="7"/>
  <c r="F4090" i="7" s="1"/>
  <c r="C4092" i="7" l="1"/>
  <c r="D4091" i="7"/>
  <c r="E4091" i="7" s="1"/>
  <c r="E4090" i="7"/>
  <c r="C4093" i="7" l="1"/>
  <c r="D4092" i="7"/>
  <c r="F4092" i="7" s="1"/>
  <c r="F4091" i="7"/>
  <c r="E4092" i="7" l="1"/>
  <c r="C4094" i="7"/>
  <c r="D4093" i="7"/>
  <c r="E4093" i="7" s="1"/>
  <c r="C4095" i="7" l="1"/>
  <c r="D4094" i="7"/>
  <c r="F4094" i="7" s="1"/>
  <c r="F4093" i="7"/>
  <c r="E4094" i="7" l="1"/>
  <c r="C4096" i="7"/>
  <c r="D4095" i="7"/>
  <c r="E4095" i="7" s="1"/>
  <c r="C4097" i="7" l="1"/>
  <c r="D4096" i="7"/>
  <c r="F4096" i="7" s="1"/>
  <c r="F4095" i="7"/>
  <c r="E4096" i="7" l="1"/>
  <c r="C4098" i="7"/>
  <c r="D4097" i="7"/>
  <c r="E4097" i="7" s="1"/>
  <c r="C4099" i="7" l="1"/>
  <c r="D4098" i="7"/>
  <c r="F4098" i="7" s="1"/>
  <c r="F4097" i="7"/>
  <c r="E4098" i="7" l="1"/>
  <c r="C4100" i="7"/>
  <c r="D4099" i="7"/>
  <c r="E4099" i="7" s="1"/>
  <c r="F4099" i="7" l="1"/>
  <c r="C4101" i="7"/>
  <c r="D4100" i="7"/>
  <c r="F4100" i="7" s="1"/>
  <c r="C4102" i="7" l="1"/>
  <c r="D4101" i="7"/>
  <c r="E4101" i="7" s="1"/>
  <c r="E4100" i="7"/>
  <c r="F4101" i="7" l="1"/>
  <c r="C4103" i="7"/>
  <c r="D4102" i="7"/>
  <c r="F4102" i="7" s="1"/>
  <c r="E4102" i="7" l="1"/>
  <c r="C4104" i="7"/>
  <c r="D4103" i="7"/>
  <c r="E4103" i="7" s="1"/>
  <c r="C4105" i="7" l="1"/>
  <c r="D4104" i="7"/>
  <c r="F4104" i="7" s="1"/>
  <c r="F4103" i="7"/>
  <c r="E4104" i="7" l="1"/>
  <c r="C4106" i="7"/>
  <c r="D4105" i="7"/>
  <c r="E4105" i="7" s="1"/>
  <c r="F4105" i="7" l="1"/>
  <c r="C4107" i="7"/>
  <c r="D4106" i="7"/>
  <c r="F4106" i="7" s="1"/>
  <c r="E4106" i="7" l="1"/>
  <c r="C4108" i="7"/>
  <c r="D4107" i="7"/>
  <c r="E4107" i="7" s="1"/>
  <c r="C4109" i="7" l="1"/>
  <c r="D4108" i="7"/>
  <c r="F4108" i="7" s="1"/>
  <c r="F4107" i="7"/>
  <c r="E4108" i="7" l="1"/>
  <c r="C4110" i="7"/>
  <c r="D4109" i="7"/>
  <c r="E4109" i="7" s="1"/>
  <c r="F4109" i="7" l="1"/>
  <c r="C4111" i="7"/>
  <c r="D4110" i="7"/>
  <c r="F4110" i="7" s="1"/>
  <c r="E4110" i="7" l="1"/>
  <c r="C4112" i="7"/>
  <c r="D4111" i="7"/>
  <c r="E4111" i="7" s="1"/>
  <c r="F4111" i="7" l="1"/>
  <c r="C4113" i="7"/>
  <c r="D4112" i="7"/>
  <c r="F4112" i="7" s="1"/>
  <c r="C4114" i="7" l="1"/>
  <c r="D4113" i="7"/>
  <c r="E4113" i="7" s="1"/>
  <c r="E4112" i="7"/>
  <c r="F4113" i="7" l="1"/>
  <c r="C4115" i="7"/>
  <c r="D4114" i="7"/>
  <c r="F4114" i="7" s="1"/>
  <c r="C4116" i="7" l="1"/>
  <c r="D4115" i="7"/>
  <c r="E4115" i="7" s="1"/>
  <c r="E4114" i="7"/>
  <c r="F4115" i="7" l="1"/>
  <c r="C4117" i="7"/>
  <c r="D4116" i="7"/>
  <c r="F4116" i="7" s="1"/>
  <c r="C4118" i="7" l="1"/>
  <c r="D4117" i="7"/>
  <c r="E4117" i="7" s="1"/>
  <c r="E4116" i="7"/>
  <c r="C4119" i="7" l="1"/>
  <c r="D4118" i="7"/>
  <c r="F4118" i="7" s="1"/>
  <c r="F4117" i="7"/>
  <c r="E4118" i="7" l="1"/>
  <c r="C4120" i="7"/>
  <c r="D4119" i="7"/>
  <c r="E4119" i="7" s="1"/>
  <c r="F4119" i="7" l="1"/>
  <c r="C4121" i="7"/>
  <c r="D4120" i="7"/>
  <c r="F4120" i="7" s="1"/>
  <c r="C4122" i="7" l="1"/>
  <c r="D4121" i="7"/>
  <c r="E4121" i="7" s="1"/>
  <c r="E4120" i="7"/>
  <c r="C4123" i="7" l="1"/>
  <c r="D4122" i="7"/>
  <c r="F4122" i="7" s="1"/>
  <c r="F4121" i="7"/>
  <c r="E4122" i="7" l="1"/>
  <c r="C4124" i="7"/>
  <c r="D4123" i="7"/>
  <c r="E4123" i="7" s="1"/>
  <c r="F4123" i="7" l="1"/>
  <c r="C4125" i="7"/>
  <c r="D4124" i="7"/>
  <c r="F4124" i="7" s="1"/>
  <c r="C4126" i="7" l="1"/>
  <c r="D4125" i="7"/>
  <c r="E4125" i="7" s="1"/>
  <c r="E4124" i="7"/>
  <c r="C4127" i="7" l="1"/>
  <c r="D4126" i="7"/>
  <c r="F4126" i="7" s="1"/>
  <c r="F4125" i="7"/>
  <c r="E4126" i="7" l="1"/>
  <c r="C4128" i="7"/>
  <c r="D4127" i="7"/>
  <c r="E4127" i="7" s="1"/>
  <c r="C4129" i="7" l="1"/>
  <c r="D4128" i="7"/>
  <c r="F4128" i="7" s="1"/>
  <c r="F4127" i="7"/>
  <c r="E4128" i="7" l="1"/>
  <c r="C4130" i="7"/>
  <c r="D4129" i="7"/>
  <c r="E4129" i="7" s="1"/>
  <c r="F4129" i="7" l="1"/>
  <c r="C4131" i="7"/>
  <c r="D4130" i="7"/>
  <c r="F4130" i="7" s="1"/>
  <c r="C4132" i="7" l="1"/>
  <c r="D4131" i="7"/>
  <c r="E4131" i="7" s="1"/>
  <c r="E4130" i="7"/>
  <c r="F4131" i="7" l="1"/>
  <c r="C4133" i="7"/>
  <c r="D4132" i="7"/>
  <c r="F4132" i="7" s="1"/>
  <c r="C4134" i="7" l="1"/>
  <c r="D4133" i="7"/>
  <c r="E4133" i="7" s="1"/>
  <c r="E4132" i="7"/>
  <c r="F4133" i="7" l="1"/>
  <c r="C4135" i="7"/>
  <c r="D4134" i="7"/>
  <c r="F4134" i="7" s="1"/>
  <c r="C4136" i="7" l="1"/>
  <c r="D4135" i="7"/>
  <c r="E4135" i="7" s="1"/>
  <c r="E4134" i="7"/>
  <c r="F4135" i="7" l="1"/>
  <c r="C4137" i="7"/>
  <c r="D4136" i="7"/>
  <c r="F4136" i="7" s="1"/>
  <c r="C4138" i="7" l="1"/>
  <c r="D4137" i="7"/>
  <c r="E4137" i="7" s="1"/>
  <c r="E4136" i="7"/>
  <c r="C4139" i="7" l="1"/>
  <c r="D4138" i="7"/>
  <c r="F4138" i="7" s="1"/>
  <c r="F4137" i="7"/>
  <c r="E4138" i="7" l="1"/>
  <c r="C4140" i="7"/>
  <c r="D4139" i="7"/>
  <c r="E4139" i="7" s="1"/>
  <c r="C4141" i="7" l="1"/>
  <c r="D4140" i="7"/>
  <c r="F4140" i="7" s="1"/>
  <c r="F4139" i="7"/>
  <c r="E4140" i="7" l="1"/>
  <c r="C4142" i="7"/>
  <c r="D4141" i="7"/>
  <c r="E4141" i="7" s="1"/>
  <c r="F4141" i="7" l="1"/>
  <c r="C4143" i="7"/>
  <c r="D4142" i="7"/>
  <c r="F4142" i="7" s="1"/>
  <c r="C4144" i="7" l="1"/>
  <c r="D4143" i="7"/>
  <c r="E4143" i="7" s="1"/>
  <c r="E4142" i="7"/>
  <c r="F4143" i="7" l="1"/>
  <c r="C4145" i="7"/>
  <c r="D4144" i="7"/>
  <c r="F4144" i="7" s="1"/>
  <c r="C4146" i="7" l="1"/>
  <c r="D4145" i="7"/>
  <c r="E4145" i="7" s="1"/>
  <c r="E4144" i="7"/>
  <c r="F4145" i="7" l="1"/>
  <c r="C4147" i="7"/>
  <c r="D4146" i="7"/>
  <c r="F4146" i="7" s="1"/>
  <c r="C4148" i="7" l="1"/>
  <c r="D4147" i="7"/>
  <c r="E4147" i="7" s="1"/>
  <c r="E4146" i="7"/>
  <c r="F4147" i="7" l="1"/>
  <c r="C4149" i="7"/>
  <c r="D4148" i="7"/>
  <c r="F4148" i="7" s="1"/>
  <c r="C4150" i="7" l="1"/>
  <c r="D4149" i="7"/>
  <c r="E4149" i="7" s="1"/>
  <c r="E4148" i="7"/>
  <c r="F4149" i="7" l="1"/>
  <c r="C4151" i="7"/>
  <c r="D4150" i="7"/>
  <c r="F4150" i="7" s="1"/>
  <c r="C4152" i="7" l="1"/>
  <c r="D4151" i="7"/>
  <c r="E4151" i="7" s="1"/>
  <c r="E4150" i="7"/>
  <c r="F4151" i="7" l="1"/>
  <c r="C4153" i="7"/>
  <c r="D4152" i="7"/>
  <c r="F4152" i="7" s="1"/>
  <c r="C4154" i="7" l="1"/>
  <c r="D4153" i="7"/>
  <c r="E4153" i="7" s="1"/>
  <c r="E4152" i="7"/>
  <c r="F4153" i="7" l="1"/>
  <c r="C4155" i="7"/>
  <c r="D4154" i="7"/>
  <c r="F4154" i="7" s="1"/>
  <c r="C4156" i="7" l="1"/>
  <c r="D4155" i="7"/>
  <c r="E4155" i="7" s="1"/>
  <c r="E4154" i="7"/>
  <c r="F4155" i="7" l="1"/>
  <c r="C4157" i="7"/>
  <c r="D4156" i="7"/>
  <c r="F4156" i="7" s="1"/>
  <c r="C4158" i="7" l="1"/>
  <c r="D4157" i="7"/>
  <c r="E4157" i="7" s="1"/>
  <c r="E4156" i="7"/>
  <c r="F4157" i="7" l="1"/>
  <c r="C4159" i="7"/>
  <c r="D4158" i="7"/>
  <c r="F4158" i="7" s="1"/>
  <c r="E4158" i="7" l="1"/>
  <c r="C4160" i="7"/>
  <c r="D4159" i="7"/>
  <c r="E4159" i="7" s="1"/>
  <c r="F4159" i="7" l="1"/>
  <c r="C4161" i="7"/>
  <c r="D4160" i="7"/>
  <c r="F4160" i="7" s="1"/>
  <c r="C4162" i="7" l="1"/>
  <c r="D4161" i="7"/>
  <c r="E4161" i="7" s="1"/>
  <c r="E4160" i="7"/>
  <c r="F4161" i="7" l="1"/>
  <c r="C4163" i="7"/>
  <c r="D4162" i="7"/>
  <c r="F4162" i="7" s="1"/>
  <c r="C4164" i="7" l="1"/>
  <c r="D4163" i="7"/>
  <c r="E4163" i="7" s="1"/>
  <c r="E4162" i="7"/>
  <c r="F4163" i="7" l="1"/>
  <c r="C4165" i="7"/>
  <c r="D4164" i="7"/>
  <c r="F4164" i="7" s="1"/>
  <c r="C4166" i="7" l="1"/>
  <c r="D4165" i="7"/>
  <c r="E4165" i="7" s="1"/>
  <c r="E4164" i="7"/>
  <c r="F4165" i="7" l="1"/>
  <c r="C4167" i="7"/>
  <c r="D4166" i="7"/>
  <c r="F4166" i="7" s="1"/>
  <c r="C4168" i="7" l="1"/>
  <c r="D4167" i="7"/>
  <c r="E4167" i="7" s="1"/>
  <c r="E4166" i="7"/>
  <c r="F4167" i="7" l="1"/>
  <c r="C4169" i="7"/>
  <c r="D4168" i="7"/>
  <c r="F4168" i="7" s="1"/>
  <c r="C4170" i="7" l="1"/>
  <c r="D4169" i="7"/>
  <c r="E4169" i="7" s="1"/>
  <c r="E4168" i="7"/>
  <c r="F4169" i="7" l="1"/>
  <c r="C4171" i="7"/>
  <c r="D4170" i="7"/>
  <c r="F4170" i="7" s="1"/>
  <c r="E4170" i="7" l="1"/>
  <c r="C4172" i="7"/>
  <c r="D4171" i="7"/>
  <c r="E4171" i="7" s="1"/>
  <c r="F4171" i="7" l="1"/>
  <c r="C4173" i="7"/>
  <c r="D4172" i="7"/>
  <c r="F4172" i="7" s="1"/>
  <c r="C4174" i="7" l="1"/>
  <c r="D4173" i="7"/>
  <c r="E4173" i="7" s="1"/>
  <c r="E4172" i="7"/>
  <c r="F4173" i="7" l="1"/>
  <c r="C4175" i="7"/>
  <c r="D4174" i="7"/>
  <c r="F4174" i="7" s="1"/>
  <c r="E4174" i="7" l="1"/>
  <c r="C4176" i="7"/>
  <c r="D4175" i="7"/>
  <c r="E4175" i="7" s="1"/>
  <c r="C4177" i="7" l="1"/>
  <c r="D4176" i="7"/>
  <c r="F4176" i="7" s="1"/>
  <c r="F4175" i="7"/>
  <c r="E4176" i="7" l="1"/>
  <c r="C4178" i="7"/>
  <c r="D4177" i="7"/>
  <c r="E4177" i="7" s="1"/>
  <c r="F4177" i="7" l="1"/>
  <c r="C4179" i="7"/>
  <c r="D4178" i="7"/>
  <c r="F4178" i="7" s="1"/>
  <c r="C4180" i="7" l="1"/>
  <c r="D4179" i="7"/>
  <c r="E4179" i="7" s="1"/>
  <c r="E4178" i="7"/>
  <c r="F4179" i="7" l="1"/>
  <c r="C4181" i="7"/>
  <c r="D4180" i="7"/>
  <c r="F4180" i="7" s="1"/>
  <c r="C4182" i="7" l="1"/>
  <c r="D4181" i="7"/>
  <c r="E4181" i="7" s="1"/>
  <c r="E4180" i="7"/>
  <c r="F4181" i="7" l="1"/>
  <c r="C4183" i="7"/>
  <c r="D4182" i="7"/>
  <c r="F4182" i="7" s="1"/>
  <c r="C4184" i="7" l="1"/>
  <c r="D4183" i="7"/>
  <c r="E4183" i="7" s="1"/>
  <c r="E4182" i="7"/>
  <c r="F4183" i="7" l="1"/>
  <c r="C4185" i="7"/>
  <c r="D4184" i="7"/>
  <c r="F4184" i="7" s="1"/>
  <c r="C4186" i="7" l="1"/>
  <c r="D4185" i="7"/>
  <c r="E4185" i="7" s="1"/>
  <c r="E4184" i="7"/>
  <c r="F4185" i="7" l="1"/>
  <c r="C4187" i="7"/>
  <c r="D4186" i="7"/>
  <c r="F4186" i="7" s="1"/>
  <c r="C4188" i="7" l="1"/>
  <c r="D4187" i="7"/>
  <c r="E4187" i="7" s="1"/>
  <c r="E4186" i="7"/>
  <c r="C4189" i="7" l="1"/>
  <c r="D4188" i="7"/>
  <c r="F4188" i="7" s="1"/>
  <c r="F4187" i="7"/>
  <c r="E4188" i="7" l="1"/>
  <c r="C4190" i="7"/>
  <c r="D4189" i="7"/>
  <c r="E4189" i="7" s="1"/>
  <c r="F4189" i="7" l="1"/>
  <c r="C4191" i="7"/>
  <c r="D4190" i="7"/>
  <c r="F4190" i="7" s="1"/>
  <c r="E4190" i="7" l="1"/>
  <c r="C4192" i="7"/>
  <c r="D4191" i="7"/>
  <c r="E4191" i="7" s="1"/>
  <c r="F4191" i="7" l="1"/>
  <c r="C4193" i="7"/>
  <c r="D4192" i="7"/>
  <c r="F4192" i="7" s="1"/>
  <c r="C4194" i="7" l="1"/>
  <c r="D4193" i="7"/>
  <c r="E4193" i="7" s="1"/>
  <c r="E4192" i="7"/>
  <c r="F4193" i="7" l="1"/>
  <c r="C4195" i="7"/>
  <c r="D4194" i="7"/>
  <c r="F4194" i="7" s="1"/>
  <c r="C4196" i="7" l="1"/>
  <c r="D4195" i="7"/>
  <c r="E4195" i="7" s="1"/>
  <c r="E4194" i="7"/>
  <c r="F4195" i="7" l="1"/>
  <c r="C4197" i="7"/>
  <c r="D4196" i="7"/>
  <c r="F4196" i="7" s="1"/>
  <c r="C4198" i="7" l="1"/>
  <c r="D4197" i="7"/>
  <c r="E4197" i="7" s="1"/>
  <c r="E4196" i="7"/>
  <c r="F4197" i="7" l="1"/>
  <c r="C4199" i="7"/>
  <c r="D4198" i="7"/>
  <c r="F4198" i="7" s="1"/>
  <c r="C4200" i="7" l="1"/>
  <c r="D4199" i="7"/>
  <c r="E4199" i="7" s="1"/>
  <c r="E4198" i="7"/>
  <c r="F4199" i="7" l="1"/>
  <c r="C4201" i="7"/>
  <c r="D4200" i="7"/>
  <c r="F4200" i="7" s="1"/>
  <c r="C4202" i="7" l="1"/>
  <c r="D4201" i="7"/>
  <c r="E4201" i="7" s="1"/>
  <c r="E4200" i="7"/>
  <c r="F4201" i="7" l="1"/>
  <c r="C4203" i="7"/>
  <c r="D4202" i="7"/>
  <c r="F4202" i="7" s="1"/>
  <c r="C4204" i="7" l="1"/>
  <c r="D4203" i="7"/>
  <c r="E4203" i="7" s="1"/>
  <c r="E4202" i="7"/>
  <c r="F4203" i="7" l="1"/>
  <c r="C4205" i="7"/>
  <c r="D4204" i="7"/>
  <c r="F4204" i="7" s="1"/>
  <c r="C4206" i="7" l="1"/>
  <c r="D4205" i="7"/>
  <c r="E4205" i="7" s="1"/>
  <c r="E4204" i="7"/>
  <c r="F4205" i="7" l="1"/>
  <c r="C4207" i="7"/>
  <c r="D4206" i="7"/>
  <c r="F4206" i="7" s="1"/>
  <c r="C4208" i="7" l="1"/>
  <c r="D4207" i="7"/>
  <c r="E4207" i="7" s="1"/>
  <c r="E4206" i="7"/>
  <c r="F4207" i="7" l="1"/>
  <c r="C4209" i="7"/>
  <c r="D4208" i="7"/>
  <c r="F4208" i="7" s="1"/>
  <c r="C4210" i="7" l="1"/>
  <c r="D4209" i="7"/>
  <c r="E4209" i="7" s="1"/>
  <c r="E4208" i="7"/>
  <c r="F4209" i="7" l="1"/>
  <c r="C4211" i="7"/>
  <c r="D4210" i="7"/>
  <c r="F4210" i="7" s="1"/>
  <c r="C4212" i="7" l="1"/>
  <c r="D4211" i="7"/>
  <c r="E4211" i="7" s="1"/>
  <c r="E4210" i="7"/>
  <c r="F4211" i="7" l="1"/>
  <c r="C4213" i="7"/>
  <c r="D4212" i="7"/>
  <c r="F4212" i="7" s="1"/>
  <c r="C4214" i="7" l="1"/>
  <c r="D4213" i="7"/>
  <c r="E4213" i="7" s="1"/>
  <c r="E4212" i="7"/>
  <c r="F4213" i="7" l="1"/>
  <c r="C4215" i="7"/>
  <c r="D4214" i="7"/>
  <c r="F4214" i="7" s="1"/>
  <c r="C4216" i="7" l="1"/>
  <c r="D4215" i="7"/>
  <c r="E4215" i="7" s="1"/>
  <c r="E4214" i="7"/>
  <c r="F4215" i="7" l="1"/>
  <c r="C4217" i="7"/>
  <c r="D4216" i="7"/>
  <c r="F4216" i="7" s="1"/>
  <c r="C4218" i="7" l="1"/>
  <c r="D4217" i="7"/>
  <c r="E4217" i="7" s="1"/>
  <c r="E4216" i="7"/>
  <c r="F4217" i="7" l="1"/>
  <c r="C4219" i="7"/>
  <c r="D4218" i="7"/>
  <c r="F4218" i="7" s="1"/>
  <c r="C4220" i="7" l="1"/>
  <c r="D4219" i="7"/>
  <c r="E4219" i="7" s="1"/>
  <c r="E4218" i="7"/>
  <c r="F4219" i="7" l="1"/>
  <c r="C4221" i="7"/>
  <c r="D4220" i="7"/>
  <c r="F4220" i="7" s="1"/>
  <c r="C4222" i="7" l="1"/>
  <c r="D4221" i="7"/>
  <c r="E4221" i="7" s="1"/>
  <c r="E4220" i="7"/>
  <c r="F4221" i="7" l="1"/>
  <c r="C4223" i="7"/>
  <c r="D4222" i="7"/>
  <c r="F4222" i="7" s="1"/>
  <c r="C4224" i="7" l="1"/>
  <c r="D4223" i="7"/>
  <c r="E4223" i="7" s="1"/>
  <c r="E4222" i="7"/>
  <c r="F4223" i="7" l="1"/>
  <c r="C4225" i="7"/>
  <c r="D4224" i="7"/>
  <c r="F4224" i="7" s="1"/>
  <c r="C4226" i="7" l="1"/>
  <c r="D4225" i="7"/>
  <c r="E4225" i="7" s="1"/>
  <c r="E4224" i="7"/>
  <c r="F4225" i="7" l="1"/>
  <c r="C4227" i="7"/>
  <c r="D4226" i="7"/>
  <c r="F4226" i="7" s="1"/>
  <c r="C4228" i="7" l="1"/>
  <c r="D4227" i="7"/>
  <c r="E4227" i="7" s="1"/>
  <c r="E4226" i="7"/>
  <c r="F4227" i="7" l="1"/>
  <c r="C4229" i="7"/>
  <c r="D4228" i="7"/>
  <c r="F4228" i="7" s="1"/>
  <c r="C4230" i="7" l="1"/>
  <c r="D4229" i="7"/>
  <c r="E4229" i="7" s="1"/>
  <c r="E4228" i="7"/>
  <c r="F4229" i="7" l="1"/>
  <c r="C4231" i="7"/>
  <c r="D4230" i="7"/>
  <c r="F4230" i="7" s="1"/>
  <c r="E4230" i="7" l="1"/>
  <c r="C4232" i="7"/>
  <c r="D4231" i="7"/>
  <c r="E4231" i="7" s="1"/>
  <c r="C4233" i="7" l="1"/>
  <c r="D4232" i="7"/>
  <c r="F4232" i="7" s="1"/>
  <c r="F4231" i="7"/>
  <c r="E4232" i="7" l="1"/>
  <c r="C4234" i="7"/>
  <c r="D4233" i="7"/>
  <c r="E4233" i="7" s="1"/>
  <c r="F4233" i="7" l="1"/>
  <c r="C4235" i="7"/>
  <c r="D4234" i="7"/>
  <c r="F4234" i="7" s="1"/>
  <c r="C4236" i="7" l="1"/>
  <c r="D4235" i="7"/>
  <c r="E4235" i="7" s="1"/>
  <c r="E4234" i="7"/>
  <c r="F4235" i="7" l="1"/>
  <c r="C4237" i="7"/>
  <c r="D4236" i="7"/>
  <c r="F4236" i="7" s="1"/>
  <c r="C4238" i="7" l="1"/>
  <c r="D4237" i="7"/>
  <c r="E4237" i="7" s="1"/>
  <c r="E4236" i="7"/>
  <c r="F4237" i="7" l="1"/>
  <c r="C4239" i="7"/>
  <c r="D4238" i="7"/>
  <c r="F4238" i="7" s="1"/>
  <c r="C4240" i="7" l="1"/>
  <c r="D4239" i="7"/>
  <c r="E4239" i="7" s="1"/>
  <c r="E4238" i="7"/>
  <c r="F4239" i="7" l="1"/>
  <c r="C4241" i="7"/>
  <c r="D4240" i="7"/>
  <c r="F4240" i="7" s="1"/>
  <c r="E4240" i="7" l="1"/>
  <c r="C4242" i="7"/>
  <c r="D4241" i="7"/>
  <c r="E4241" i="7" s="1"/>
  <c r="F4241" i="7" l="1"/>
  <c r="C4243" i="7"/>
  <c r="D4242" i="7"/>
  <c r="F4242" i="7" s="1"/>
  <c r="C4244" i="7" l="1"/>
  <c r="D4243" i="7"/>
  <c r="E4243" i="7" s="1"/>
  <c r="E4242" i="7"/>
  <c r="C4245" i="7" l="1"/>
  <c r="D4244" i="7"/>
  <c r="F4244" i="7" s="1"/>
  <c r="F4243" i="7"/>
  <c r="E4244" i="7" l="1"/>
  <c r="C4246" i="7"/>
  <c r="D4245" i="7"/>
  <c r="E4245" i="7" s="1"/>
  <c r="C4247" i="7" l="1"/>
  <c r="D4246" i="7"/>
  <c r="F4246" i="7" s="1"/>
  <c r="F4245" i="7"/>
  <c r="E4246" i="7" l="1"/>
  <c r="C4248" i="7"/>
  <c r="D4247" i="7"/>
  <c r="E4247" i="7" s="1"/>
  <c r="C4249" i="7" l="1"/>
  <c r="D4248" i="7"/>
  <c r="F4248" i="7" s="1"/>
  <c r="F4247" i="7"/>
  <c r="E4248" i="7" l="1"/>
  <c r="C4250" i="7"/>
  <c r="D4249" i="7"/>
  <c r="E4249" i="7" s="1"/>
  <c r="C4251" i="7" l="1"/>
  <c r="D4250" i="7"/>
  <c r="F4250" i="7" s="1"/>
  <c r="F4249" i="7"/>
  <c r="E4250" i="7" l="1"/>
  <c r="C4252" i="7"/>
  <c r="D4251" i="7"/>
  <c r="E4251" i="7" s="1"/>
  <c r="F4251" i="7" l="1"/>
  <c r="C4253" i="7"/>
  <c r="D4252" i="7"/>
  <c r="F4252" i="7" s="1"/>
  <c r="C4254" i="7" l="1"/>
  <c r="D4253" i="7"/>
  <c r="E4253" i="7" s="1"/>
  <c r="E4252" i="7"/>
  <c r="F4253" i="7" l="1"/>
  <c r="C4255" i="7"/>
  <c r="D4254" i="7"/>
  <c r="F4254" i="7" s="1"/>
  <c r="C4256" i="7" l="1"/>
  <c r="D4255" i="7"/>
  <c r="E4255" i="7" s="1"/>
  <c r="E4254" i="7"/>
  <c r="F4255" i="7" l="1"/>
  <c r="C4257" i="7"/>
  <c r="D4256" i="7"/>
  <c r="F4256" i="7" s="1"/>
  <c r="C4258" i="7" l="1"/>
  <c r="D4257" i="7"/>
  <c r="E4257" i="7" s="1"/>
  <c r="E4256" i="7"/>
  <c r="F4257" i="7" l="1"/>
  <c r="C4259" i="7"/>
  <c r="D4258" i="7"/>
  <c r="F4258" i="7" s="1"/>
  <c r="C4260" i="7" l="1"/>
  <c r="D4259" i="7"/>
  <c r="E4259" i="7" s="1"/>
  <c r="E4258" i="7"/>
  <c r="F4259" i="7" l="1"/>
  <c r="C4261" i="7"/>
  <c r="D4260" i="7"/>
  <c r="F4260" i="7" s="1"/>
  <c r="C4262" i="7" l="1"/>
  <c r="D4261" i="7"/>
  <c r="E4261" i="7" s="1"/>
  <c r="E4260" i="7"/>
  <c r="F4261" i="7" l="1"/>
  <c r="C4263" i="7"/>
  <c r="D4262" i="7"/>
  <c r="F4262" i="7" s="1"/>
  <c r="C4264" i="7" l="1"/>
  <c r="D4263" i="7"/>
  <c r="E4263" i="7" s="1"/>
  <c r="E4262" i="7"/>
  <c r="F4263" i="7" l="1"/>
  <c r="C4265" i="7"/>
  <c r="D4264" i="7"/>
  <c r="F4264" i="7" s="1"/>
  <c r="C4266" i="7" l="1"/>
  <c r="D4265" i="7"/>
  <c r="E4265" i="7" s="1"/>
  <c r="E4264" i="7"/>
  <c r="F4265" i="7" l="1"/>
  <c r="C4267" i="7"/>
  <c r="D4266" i="7"/>
  <c r="F4266" i="7" s="1"/>
  <c r="C4268" i="7" l="1"/>
  <c r="D4267" i="7"/>
  <c r="E4267" i="7" s="1"/>
  <c r="E4266" i="7"/>
  <c r="F4267" i="7" l="1"/>
  <c r="C4269" i="7"/>
  <c r="D4268" i="7"/>
  <c r="F4268" i="7" s="1"/>
  <c r="C4270" i="7" l="1"/>
  <c r="D4269" i="7"/>
  <c r="E4269" i="7" s="1"/>
  <c r="E4268" i="7"/>
  <c r="F4269" i="7" l="1"/>
  <c r="C4271" i="7"/>
  <c r="D4270" i="7"/>
  <c r="F4270" i="7" s="1"/>
  <c r="C4272" i="7" l="1"/>
  <c r="D4271" i="7"/>
  <c r="E4271" i="7" s="1"/>
  <c r="E4270" i="7"/>
  <c r="C4273" i="7" l="1"/>
  <c r="D4272" i="7"/>
  <c r="F4272" i="7" s="1"/>
  <c r="F4271" i="7"/>
  <c r="E4272" i="7" l="1"/>
  <c r="C4274" i="7"/>
  <c r="D4273" i="7"/>
  <c r="E4273" i="7" s="1"/>
  <c r="F4273" i="7" l="1"/>
  <c r="C4275" i="7"/>
  <c r="D4274" i="7"/>
  <c r="E4274" i="7" l="1"/>
  <c r="F4274" i="7"/>
  <c r="C4276" i="7"/>
  <c r="D4275" i="7"/>
  <c r="F4275" i="7" s="1"/>
  <c r="C4277" i="7" l="1"/>
  <c r="D4276" i="7"/>
  <c r="E4276" i="7" s="1"/>
  <c r="E4275" i="7"/>
  <c r="F4276" i="7" l="1"/>
  <c r="C4278" i="7"/>
  <c r="D4277" i="7"/>
  <c r="F4277" i="7" s="1"/>
  <c r="C4279" i="7" l="1"/>
  <c r="D4278" i="7"/>
  <c r="E4278" i="7" s="1"/>
  <c r="E4277" i="7"/>
  <c r="F4278" i="7" l="1"/>
  <c r="C4280" i="7"/>
  <c r="D4279" i="7"/>
  <c r="F4279" i="7" s="1"/>
  <c r="C4281" i="7" l="1"/>
  <c r="D4280" i="7"/>
  <c r="E4280" i="7" s="1"/>
  <c r="E4279" i="7"/>
  <c r="F4280" i="7" l="1"/>
  <c r="C4282" i="7"/>
  <c r="D4281" i="7"/>
  <c r="F4281" i="7" s="1"/>
  <c r="C4283" i="7" l="1"/>
  <c r="D4282" i="7"/>
  <c r="E4282" i="7" s="1"/>
  <c r="E4281" i="7"/>
  <c r="F4282" i="7" l="1"/>
  <c r="C4284" i="7"/>
  <c r="D4283" i="7"/>
  <c r="F4283" i="7" s="1"/>
  <c r="C4285" i="7" l="1"/>
  <c r="D4284" i="7"/>
  <c r="E4284" i="7" s="1"/>
  <c r="E4283" i="7"/>
  <c r="F4284" i="7" l="1"/>
  <c r="C4286" i="7"/>
  <c r="D4285" i="7"/>
  <c r="F4285" i="7" s="1"/>
  <c r="C4287" i="7" l="1"/>
  <c r="D4286" i="7"/>
  <c r="E4286" i="7" s="1"/>
  <c r="E4285" i="7"/>
  <c r="F4286" i="7" l="1"/>
  <c r="C4288" i="7"/>
  <c r="D4287" i="7"/>
  <c r="F4287" i="7" s="1"/>
  <c r="C4289" i="7" l="1"/>
  <c r="D4288" i="7"/>
  <c r="E4288" i="7" s="1"/>
  <c r="E4287" i="7"/>
  <c r="C4290" i="7" l="1"/>
  <c r="D4289" i="7"/>
  <c r="F4289" i="7" s="1"/>
  <c r="F4288" i="7"/>
  <c r="E4289" i="7" s="1"/>
  <c r="C4291" i="7" l="1"/>
  <c r="D4290" i="7"/>
  <c r="E4290" i="7" l="1"/>
  <c r="F4290" i="7"/>
  <c r="C4292" i="7"/>
  <c r="D4291" i="7"/>
  <c r="F4291" i="7" s="1"/>
  <c r="C4293" i="7" l="1"/>
  <c r="D4292" i="7"/>
  <c r="E4292" i="7" s="1"/>
  <c r="E4291" i="7"/>
  <c r="F4292" i="7" l="1"/>
  <c r="C4294" i="7"/>
  <c r="D4293" i="7"/>
  <c r="F4293" i="7" s="1"/>
  <c r="C4295" i="7" l="1"/>
  <c r="D4294" i="7"/>
  <c r="E4294" i="7" s="1"/>
  <c r="E4293" i="7"/>
  <c r="C4296" i="7" l="1"/>
  <c r="D4295" i="7"/>
  <c r="F4295" i="7" s="1"/>
  <c r="F4294" i="7"/>
  <c r="E4295" i="7" s="1"/>
  <c r="C4297" i="7" l="1"/>
  <c r="D4296" i="7"/>
  <c r="E4296" i="7" l="1"/>
  <c r="F4296" i="7"/>
  <c r="C4298" i="7"/>
  <c r="D4297" i="7"/>
  <c r="F4297" i="7" s="1"/>
  <c r="C4299" i="7" l="1"/>
  <c r="D4298" i="7"/>
  <c r="E4298" i="7" s="1"/>
  <c r="E4297" i="7"/>
  <c r="F4298" i="7" l="1"/>
  <c r="C4300" i="7"/>
  <c r="D4299" i="7"/>
  <c r="F4299" i="7" s="1"/>
  <c r="C4301" i="7" l="1"/>
  <c r="D4300" i="7"/>
  <c r="E4300" i="7" s="1"/>
  <c r="E4299" i="7"/>
  <c r="F4300" i="7" l="1"/>
  <c r="C4302" i="7"/>
  <c r="D4301" i="7"/>
  <c r="F4301" i="7" s="1"/>
  <c r="C4303" i="7" l="1"/>
  <c r="D4302" i="7"/>
  <c r="E4302" i="7" s="1"/>
  <c r="E4301" i="7"/>
  <c r="F4302" i="7" l="1"/>
  <c r="C4304" i="7"/>
  <c r="D4303" i="7"/>
  <c r="F4303" i="7" s="1"/>
  <c r="E4303" i="7" l="1"/>
  <c r="C4305" i="7"/>
  <c r="D4304" i="7"/>
  <c r="E4304" i="7" s="1"/>
  <c r="F4304" i="7" l="1"/>
  <c r="C4306" i="7"/>
  <c r="D4305" i="7"/>
  <c r="F4305" i="7" s="1"/>
  <c r="C4307" i="7" l="1"/>
  <c r="D4306" i="7"/>
  <c r="E4306" i="7" s="1"/>
  <c r="E4305" i="7"/>
  <c r="F4306" i="7" l="1"/>
  <c r="C4308" i="7"/>
  <c r="D4307" i="7"/>
  <c r="F4307" i="7" s="1"/>
  <c r="C4309" i="7" l="1"/>
  <c r="D4308" i="7"/>
  <c r="E4308" i="7" s="1"/>
  <c r="E4307" i="7"/>
  <c r="F4308" i="7" l="1"/>
  <c r="C4310" i="7"/>
  <c r="D4309" i="7"/>
  <c r="E4309" i="7" l="1"/>
  <c r="F4309" i="7"/>
  <c r="C4311" i="7"/>
  <c r="D4310" i="7"/>
  <c r="F4310" i="7" s="1"/>
  <c r="C4312" i="7" l="1"/>
  <c r="D4311" i="7"/>
  <c r="E4311" i="7" s="1"/>
  <c r="E4310" i="7"/>
  <c r="F4311" i="7" l="1"/>
  <c r="C4313" i="7"/>
  <c r="D4312" i="7"/>
  <c r="F4312" i="7" s="1"/>
  <c r="C4314" i="7" l="1"/>
  <c r="D4313" i="7"/>
  <c r="E4313" i="7" s="1"/>
  <c r="E4312" i="7"/>
  <c r="F4313" i="7" l="1"/>
  <c r="C4315" i="7"/>
  <c r="D4314" i="7"/>
  <c r="F4314" i="7" s="1"/>
  <c r="C4316" i="7" l="1"/>
  <c r="D4315" i="7"/>
  <c r="E4315" i="7" s="1"/>
  <c r="E4314" i="7"/>
  <c r="C4317" i="7" l="1"/>
  <c r="D4316" i="7"/>
  <c r="F4316" i="7" s="1"/>
  <c r="F4315" i="7"/>
  <c r="E4316" i="7" l="1"/>
  <c r="C4318" i="7"/>
  <c r="D4317" i="7"/>
  <c r="E4317" i="7" s="1"/>
  <c r="F4317" i="7" l="1"/>
  <c r="C4319" i="7"/>
  <c r="D4318" i="7"/>
  <c r="F4318" i="7" s="1"/>
  <c r="C4320" i="7" l="1"/>
  <c r="D4319" i="7"/>
  <c r="E4319" i="7" s="1"/>
  <c r="E4318" i="7"/>
  <c r="F4319" i="7" l="1"/>
  <c r="C4321" i="7"/>
  <c r="D4320" i="7"/>
  <c r="F4320" i="7" s="1"/>
  <c r="C4322" i="7" l="1"/>
  <c r="D4321" i="7"/>
  <c r="E4321" i="7" s="1"/>
  <c r="E4320" i="7"/>
  <c r="F4321" i="7" l="1"/>
  <c r="C4323" i="7"/>
  <c r="D4322" i="7"/>
  <c r="F4322" i="7" s="1"/>
  <c r="C4324" i="7" l="1"/>
  <c r="D4323" i="7"/>
  <c r="E4323" i="7" s="1"/>
  <c r="E4322" i="7"/>
  <c r="F4323" i="7" l="1"/>
  <c r="C4325" i="7"/>
  <c r="D4324" i="7"/>
  <c r="F4324" i="7" s="1"/>
  <c r="C4326" i="7" l="1"/>
  <c r="D4325" i="7"/>
  <c r="E4325" i="7" s="1"/>
  <c r="E4324" i="7"/>
  <c r="C4327" i="7" l="1"/>
  <c r="D4326" i="7"/>
  <c r="F4326" i="7" s="1"/>
  <c r="F4325" i="7"/>
  <c r="E4326" i="7" l="1"/>
  <c r="C4328" i="7"/>
  <c r="D4327" i="7"/>
  <c r="E4327" i="7" s="1"/>
  <c r="F4327" i="7" l="1"/>
  <c r="C4329" i="7"/>
  <c r="D4328" i="7"/>
  <c r="F4328" i="7" s="1"/>
  <c r="C4330" i="7" l="1"/>
  <c r="D4329" i="7"/>
  <c r="E4329" i="7" s="1"/>
  <c r="E4328" i="7"/>
  <c r="F4329" i="7" l="1"/>
  <c r="C4331" i="7"/>
  <c r="D4330" i="7"/>
  <c r="F4330" i="7" s="1"/>
  <c r="C4332" i="7" l="1"/>
  <c r="D4331" i="7"/>
  <c r="E4331" i="7" s="1"/>
  <c r="E4330" i="7"/>
  <c r="F4331" i="7" l="1"/>
  <c r="C4333" i="7"/>
  <c r="D4332" i="7"/>
  <c r="F4332" i="7" s="1"/>
  <c r="C4334" i="7" l="1"/>
  <c r="D4333" i="7"/>
  <c r="E4333" i="7" s="1"/>
  <c r="E4332" i="7"/>
  <c r="F4333" i="7" l="1"/>
  <c r="C4335" i="7"/>
  <c r="D4334" i="7"/>
  <c r="F4334" i="7" s="1"/>
  <c r="C4336" i="7" l="1"/>
  <c r="D4335" i="7"/>
  <c r="E4335" i="7" s="1"/>
  <c r="E4334" i="7"/>
  <c r="F4335" i="7" l="1"/>
  <c r="C4337" i="7"/>
  <c r="D4336" i="7"/>
  <c r="F4336" i="7" s="1"/>
  <c r="C4338" i="7" l="1"/>
  <c r="D4337" i="7"/>
  <c r="E4337" i="7" s="1"/>
  <c r="E4336" i="7"/>
  <c r="F4337" i="7" l="1"/>
  <c r="C4339" i="7"/>
  <c r="D4338" i="7"/>
  <c r="E4338" i="7" l="1"/>
  <c r="F4338" i="7"/>
  <c r="C4340" i="7"/>
  <c r="D4339" i="7"/>
  <c r="F4339" i="7" s="1"/>
  <c r="C4341" i="7" l="1"/>
  <c r="D4340" i="7"/>
  <c r="E4340" i="7" s="1"/>
  <c r="E4339" i="7"/>
  <c r="F4340" i="7" l="1"/>
  <c r="C4342" i="7"/>
  <c r="D4341" i="7"/>
  <c r="F4341" i="7" s="1"/>
  <c r="C4343" i="7" l="1"/>
  <c r="D4342" i="7"/>
  <c r="E4342" i="7" s="1"/>
  <c r="E4341" i="7"/>
  <c r="C4344" i="7" l="1"/>
  <c r="D4343" i="7"/>
  <c r="F4343" i="7" s="1"/>
  <c r="F4342" i="7"/>
  <c r="E4343" i="7" s="1"/>
  <c r="C4345" i="7" l="1"/>
  <c r="D4344" i="7"/>
  <c r="E4344" i="7" l="1"/>
  <c r="F4344" i="7"/>
  <c r="C4346" i="7"/>
  <c r="D4345" i="7"/>
  <c r="F4345" i="7" s="1"/>
  <c r="C4347" i="7" l="1"/>
  <c r="D4346" i="7"/>
  <c r="E4346" i="7" s="1"/>
  <c r="E4345" i="7"/>
  <c r="C4348" i="7" l="1"/>
  <c r="D4347" i="7"/>
  <c r="F4347" i="7" s="1"/>
  <c r="F4346" i="7"/>
  <c r="E4347" i="7" s="1"/>
  <c r="C4349" i="7" l="1"/>
  <c r="D4348" i="7"/>
  <c r="E4348" i="7" l="1"/>
  <c r="F4348" i="7"/>
  <c r="C4350" i="7"/>
  <c r="D4349" i="7"/>
  <c r="F4349" i="7" s="1"/>
  <c r="C4351" i="7" l="1"/>
  <c r="D4350" i="7"/>
  <c r="E4350" i="7" s="1"/>
  <c r="E4349" i="7"/>
  <c r="F4350" i="7" l="1"/>
  <c r="C4352" i="7"/>
  <c r="D4351" i="7"/>
  <c r="F4351" i="7" s="1"/>
  <c r="C4353" i="7" l="1"/>
  <c r="D4352" i="7"/>
  <c r="E4352" i="7" s="1"/>
  <c r="E4351" i="7"/>
  <c r="F4352" i="7" l="1"/>
  <c r="C4354" i="7"/>
  <c r="D4353" i="7"/>
  <c r="F4353" i="7" s="1"/>
  <c r="C4355" i="7" l="1"/>
  <c r="D4354" i="7"/>
  <c r="E4354" i="7" s="1"/>
  <c r="E4353" i="7"/>
  <c r="F4354" i="7" l="1"/>
  <c r="C4356" i="7"/>
  <c r="D4355" i="7"/>
  <c r="F4355" i="7" s="1"/>
  <c r="C4357" i="7" l="1"/>
  <c r="D4356" i="7"/>
  <c r="E4356" i="7" s="1"/>
  <c r="E4355" i="7"/>
  <c r="F4356" i="7" l="1"/>
  <c r="C4358" i="7"/>
  <c r="D4357" i="7"/>
  <c r="F4357" i="7" s="1"/>
  <c r="C4359" i="7" l="1"/>
  <c r="D4358" i="7"/>
  <c r="E4358" i="7" s="1"/>
  <c r="E4357" i="7"/>
  <c r="F4358" i="7" l="1"/>
  <c r="C4360" i="7"/>
  <c r="D4359" i="7"/>
  <c r="F4359" i="7" s="1"/>
  <c r="C4361" i="7" l="1"/>
  <c r="D4360" i="7"/>
  <c r="E4360" i="7" s="1"/>
  <c r="E4359" i="7"/>
  <c r="F4360" i="7" l="1"/>
  <c r="C4362" i="7"/>
  <c r="D4361" i="7"/>
  <c r="F4361" i="7" s="1"/>
  <c r="C4363" i="7" l="1"/>
  <c r="D4362" i="7"/>
  <c r="E4362" i="7" s="1"/>
  <c r="E4361" i="7"/>
  <c r="F4362" i="7" l="1"/>
  <c r="C4364" i="7"/>
  <c r="D4363" i="7"/>
  <c r="F4363" i="7" s="1"/>
  <c r="C4365" i="7" l="1"/>
  <c r="D4364" i="7"/>
  <c r="E4364" i="7" s="1"/>
  <c r="E4363" i="7"/>
  <c r="F4364" i="7" l="1"/>
  <c r="C4366" i="7"/>
  <c r="D4365" i="7"/>
  <c r="F4365" i="7" s="1"/>
  <c r="C4367" i="7" l="1"/>
  <c r="D4366" i="7"/>
  <c r="E4366" i="7" s="1"/>
  <c r="E4365" i="7"/>
  <c r="F4366" i="7" l="1"/>
  <c r="C4368" i="7"/>
  <c r="D4367" i="7"/>
  <c r="F4367" i="7" s="1"/>
  <c r="C4369" i="7" l="1"/>
  <c r="D4368" i="7"/>
  <c r="E4368" i="7" s="1"/>
  <c r="E4367" i="7"/>
  <c r="C4370" i="7" l="1"/>
  <c r="D4369" i="7"/>
  <c r="F4369" i="7" s="1"/>
  <c r="F4368" i="7"/>
  <c r="E4369" i="7" s="1"/>
  <c r="C4371" i="7" l="1"/>
  <c r="D4370" i="7"/>
  <c r="E4370" i="7" l="1"/>
  <c r="F4370" i="7"/>
  <c r="C4372" i="7"/>
  <c r="D4371" i="7"/>
  <c r="F4371" i="7" s="1"/>
  <c r="C4373" i="7" l="1"/>
  <c r="D4372" i="7"/>
  <c r="E4372" i="7" s="1"/>
  <c r="E4371" i="7"/>
  <c r="C4374" i="7" l="1"/>
  <c r="D4373" i="7"/>
  <c r="F4373" i="7" s="1"/>
  <c r="F4372" i="7"/>
  <c r="E4373" i="7" s="1"/>
  <c r="C4375" i="7" l="1"/>
  <c r="D4374" i="7"/>
  <c r="E4374" i="7" l="1"/>
  <c r="F4374" i="7"/>
  <c r="C4376" i="7"/>
  <c r="D4375" i="7"/>
  <c r="F4375" i="7" s="1"/>
  <c r="C4377" i="7" l="1"/>
  <c r="D4376" i="7"/>
  <c r="E4376" i="7" s="1"/>
  <c r="E4375" i="7"/>
  <c r="F4376" i="7" l="1"/>
  <c r="C4378" i="7"/>
  <c r="D4377" i="7"/>
  <c r="F4377" i="7" s="1"/>
  <c r="C4379" i="7" l="1"/>
  <c r="D4378" i="7"/>
  <c r="E4378" i="7" s="1"/>
  <c r="E4377" i="7"/>
  <c r="F4378" i="7" l="1"/>
  <c r="C4380" i="7"/>
  <c r="D4379" i="7"/>
  <c r="F4379" i="7" s="1"/>
  <c r="C4381" i="7" l="1"/>
  <c r="D4380" i="7"/>
  <c r="E4380" i="7" s="1"/>
  <c r="E4379" i="7"/>
  <c r="F4380" i="7" l="1"/>
  <c r="C4382" i="7"/>
  <c r="D4381" i="7"/>
  <c r="F4381" i="7" s="1"/>
  <c r="C4383" i="7" l="1"/>
  <c r="D4382" i="7"/>
  <c r="E4382" i="7" s="1"/>
  <c r="E4381" i="7"/>
  <c r="F4382" i="7" l="1"/>
  <c r="C4384" i="7"/>
  <c r="D4383" i="7"/>
  <c r="F4383" i="7" s="1"/>
  <c r="C4385" i="7" l="1"/>
  <c r="D4384" i="7"/>
  <c r="E4384" i="7" s="1"/>
  <c r="E4383" i="7"/>
  <c r="C4386" i="7" l="1"/>
  <c r="D4385" i="7"/>
  <c r="F4385" i="7" s="1"/>
  <c r="F4384" i="7"/>
  <c r="E4385" i="7" s="1"/>
  <c r="C4387" i="7" l="1"/>
  <c r="D4386" i="7"/>
  <c r="E4386" i="7" l="1"/>
  <c r="F4386" i="7"/>
  <c r="C4388" i="7"/>
  <c r="D4387" i="7"/>
  <c r="F4387" i="7" s="1"/>
  <c r="C4389" i="7" l="1"/>
  <c r="D4388" i="7"/>
  <c r="E4388" i="7" s="1"/>
  <c r="E4387" i="7"/>
  <c r="F4388" i="7" l="1"/>
  <c r="C4390" i="7"/>
  <c r="D4389" i="7"/>
  <c r="F4389" i="7" s="1"/>
  <c r="C4391" i="7" l="1"/>
  <c r="D4390" i="7"/>
  <c r="E4390" i="7" s="1"/>
  <c r="E4389" i="7"/>
  <c r="F4390" i="7" l="1"/>
  <c r="C4392" i="7"/>
  <c r="D4391" i="7"/>
  <c r="F4391" i="7" s="1"/>
  <c r="C4393" i="7" l="1"/>
  <c r="D4392" i="7"/>
  <c r="E4392" i="7" s="1"/>
  <c r="E4391" i="7"/>
  <c r="F4392" i="7" l="1"/>
  <c r="C4394" i="7"/>
  <c r="D4393" i="7"/>
  <c r="F4393" i="7" s="1"/>
  <c r="C4395" i="7" l="1"/>
  <c r="D4394" i="7"/>
  <c r="E4394" i="7" s="1"/>
  <c r="E4393" i="7"/>
  <c r="F4394" i="7" l="1"/>
  <c r="C4396" i="7"/>
  <c r="D4395" i="7"/>
  <c r="F4395" i="7" s="1"/>
  <c r="C4397" i="7" l="1"/>
  <c r="D4396" i="7"/>
  <c r="E4396" i="7" s="1"/>
  <c r="E4395" i="7"/>
  <c r="F4396" i="7" l="1"/>
  <c r="C4398" i="7"/>
  <c r="D4397" i="7"/>
  <c r="F4397" i="7" s="1"/>
  <c r="C4399" i="7" l="1"/>
  <c r="D4398" i="7"/>
  <c r="E4398" i="7" s="1"/>
  <c r="E4397" i="7"/>
  <c r="C4400" i="7" l="1"/>
  <c r="D4399" i="7"/>
  <c r="F4399" i="7" s="1"/>
  <c r="F4398" i="7"/>
  <c r="E4399" i="7" s="1"/>
  <c r="C4401" i="7" l="1"/>
  <c r="D4400" i="7"/>
  <c r="E4400" i="7" l="1"/>
  <c r="F4400" i="7"/>
  <c r="C4402" i="7"/>
  <c r="D4401" i="7"/>
  <c r="F4401" i="7" s="1"/>
  <c r="C4403" i="7" l="1"/>
  <c r="D4402" i="7"/>
  <c r="E4402" i="7" s="1"/>
  <c r="E4401" i="7"/>
  <c r="F4402" i="7" l="1"/>
  <c r="C4404" i="7"/>
  <c r="D4403" i="7"/>
  <c r="F4403" i="7" s="1"/>
  <c r="C4405" i="7" l="1"/>
  <c r="D4404" i="7"/>
  <c r="E4404" i="7" s="1"/>
  <c r="E4403" i="7"/>
  <c r="F4404" i="7" l="1"/>
  <c r="C4406" i="7"/>
  <c r="D4405" i="7"/>
  <c r="F4405" i="7" s="1"/>
  <c r="C4407" i="7" l="1"/>
  <c r="D4406" i="7"/>
  <c r="F4406" i="7" s="1"/>
  <c r="E4405" i="7"/>
  <c r="E4406" i="7" l="1"/>
  <c r="C4408" i="7"/>
  <c r="D4407" i="7"/>
  <c r="E4407" i="7" s="1"/>
  <c r="F4407" i="7" l="1"/>
  <c r="C4409" i="7"/>
  <c r="D4408" i="7"/>
  <c r="F4408" i="7" s="1"/>
  <c r="E4408" i="7" l="1"/>
  <c r="C4410" i="7"/>
  <c r="D4409" i="7"/>
  <c r="E4409" i="7" s="1"/>
  <c r="F4409" i="7" l="1"/>
  <c r="C4411" i="7"/>
  <c r="D4410" i="7"/>
  <c r="F4410" i="7" s="1"/>
  <c r="E4410" i="7" l="1"/>
  <c r="C4412" i="7"/>
  <c r="D4411" i="7"/>
  <c r="E4411" i="7" s="1"/>
  <c r="F4411" i="7" l="1"/>
  <c r="C4413" i="7"/>
  <c r="D4412" i="7"/>
  <c r="F4412" i="7" s="1"/>
  <c r="C4414" i="7" l="1"/>
  <c r="D4413" i="7"/>
  <c r="E4413" i="7" s="1"/>
  <c r="E4412" i="7"/>
  <c r="F4413" i="7" l="1"/>
  <c r="C4415" i="7"/>
  <c r="D4414" i="7"/>
  <c r="F4414" i="7" s="1"/>
  <c r="E4414" i="7" l="1"/>
  <c r="C4416" i="7"/>
  <c r="D4415" i="7"/>
  <c r="E4415" i="7" s="1"/>
  <c r="F4415" i="7" l="1"/>
  <c r="C4417" i="7"/>
  <c r="D4416" i="7"/>
  <c r="F4416" i="7" s="1"/>
  <c r="C4418" i="7" l="1"/>
  <c r="D4417" i="7"/>
  <c r="E4417" i="7" s="1"/>
  <c r="E4416" i="7"/>
  <c r="F4417" i="7" l="1"/>
  <c r="C4419" i="7"/>
  <c r="D4418" i="7"/>
  <c r="E4418" i="7" l="1"/>
  <c r="F4418" i="7"/>
  <c r="C4420" i="7"/>
  <c r="D4419" i="7"/>
  <c r="F4419" i="7" s="1"/>
  <c r="C4421" i="7" l="1"/>
  <c r="D4420" i="7"/>
  <c r="E4420" i="7" s="1"/>
  <c r="E4419" i="7"/>
  <c r="C4422" i="7" l="1"/>
  <c r="D4421" i="7"/>
  <c r="F4421" i="7" s="1"/>
  <c r="F4420" i="7"/>
  <c r="E4421" i="7" s="1"/>
  <c r="C4423" i="7" l="1"/>
  <c r="D4422" i="7"/>
  <c r="E4422" i="7" l="1"/>
  <c r="C4424" i="7"/>
  <c r="D4423" i="7"/>
  <c r="F4423" i="7" s="1"/>
  <c r="F4422" i="7"/>
  <c r="E4423" i="7" s="1"/>
  <c r="C4425" i="7" l="1"/>
  <c r="D4424" i="7"/>
  <c r="E4424" i="7" l="1"/>
  <c r="F4424" i="7"/>
  <c r="C4426" i="7"/>
  <c r="D4425" i="7"/>
  <c r="F4425" i="7" s="1"/>
  <c r="C4427" i="7" l="1"/>
  <c r="D4426" i="7"/>
  <c r="E4426" i="7" s="1"/>
  <c r="E4425" i="7"/>
  <c r="F4426" i="7" l="1"/>
  <c r="C4428" i="7"/>
  <c r="D4427" i="7"/>
  <c r="F4427" i="7" s="1"/>
  <c r="C4429" i="7" l="1"/>
  <c r="D4428" i="7"/>
  <c r="E4428" i="7" s="1"/>
  <c r="E4427" i="7"/>
  <c r="C4430" i="7" l="1"/>
  <c r="D4429" i="7"/>
  <c r="F4429" i="7" s="1"/>
  <c r="F4428" i="7"/>
  <c r="E4429" i="7" s="1"/>
  <c r="C4431" i="7" l="1"/>
  <c r="D4430" i="7"/>
  <c r="E4430" i="7" l="1"/>
  <c r="F4430" i="7"/>
  <c r="C4432" i="7"/>
  <c r="D4431" i="7"/>
  <c r="F4431" i="7" s="1"/>
  <c r="C4433" i="7" l="1"/>
  <c r="D4432" i="7"/>
  <c r="E4432" i="7" s="1"/>
  <c r="E4431" i="7"/>
  <c r="C4434" i="7" l="1"/>
  <c r="D4433" i="7"/>
  <c r="F4433" i="7" s="1"/>
  <c r="F4432" i="7"/>
  <c r="E4433" i="7" l="1"/>
  <c r="C4435" i="7"/>
  <c r="D4434" i="7"/>
  <c r="E4434" i="7" l="1"/>
  <c r="C4436" i="7"/>
  <c r="D4435" i="7"/>
  <c r="F4435" i="7" s="1"/>
  <c r="F4434" i="7"/>
  <c r="E4435" i="7" l="1"/>
  <c r="C4437" i="7"/>
  <c r="D4436" i="7"/>
  <c r="E4436" i="7" s="1"/>
  <c r="F4436" i="7" l="1"/>
  <c r="C4438" i="7"/>
  <c r="D4437" i="7"/>
  <c r="F4437" i="7" s="1"/>
  <c r="C4439" i="7" l="1"/>
  <c r="D4438" i="7"/>
  <c r="E4438" i="7" s="1"/>
  <c r="E4437" i="7"/>
  <c r="F4438" i="7" l="1"/>
  <c r="C4440" i="7"/>
  <c r="D4439" i="7"/>
  <c r="F4439" i="7" s="1"/>
  <c r="C4441" i="7" l="1"/>
  <c r="D4440" i="7"/>
  <c r="E4440" i="7" s="1"/>
  <c r="E4439" i="7"/>
  <c r="F4440" i="7" l="1"/>
  <c r="C4442" i="7"/>
  <c r="D4441" i="7"/>
  <c r="F4441" i="7" s="1"/>
  <c r="C4443" i="7" l="1"/>
  <c r="D4442" i="7"/>
  <c r="E4442" i="7" s="1"/>
  <c r="E4441" i="7"/>
  <c r="C4444" i="7" l="1"/>
  <c r="D4443" i="7"/>
  <c r="F4443" i="7" s="1"/>
  <c r="F4442" i="7"/>
  <c r="E4443" i="7" s="1"/>
  <c r="C4445" i="7" l="1"/>
  <c r="D4444" i="7"/>
  <c r="E4444" i="7" l="1"/>
  <c r="F4444" i="7"/>
  <c r="C4446" i="7"/>
  <c r="D4445" i="7"/>
  <c r="F4445" i="7" s="1"/>
  <c r="E4445" i="7" l="1"/>
  <c r="C4447" i="7"/>
  <c r="D4446" i="7"/>
  <c r="E4446" i="7" s="1"/>
  <c r="F4446" i="7" l="1"/>
  <c r="C4448" i="7"/>
  <c r="D4447" i="7"/>
  <c r="F4447" i="7" s="1"/>
  <c r="E4447" i="7" l="1"/>
  <c r="C4449" i="7"/>
  <c r="D4448" i="7"/>
  <c r="E4448" i="7" s="1"/>
  <c r="F4448" i="7" l="1"/>
  <c r="C4450" i="7"/>
  <c r="D4449" i="7"/>
  <c r="F4449" i="7" s="1"/>
  <c r="C4451" i="7" l="1"/>
  <c r="D4450" i="7"/>
  <c r="E4450" i="7" s="1"/>
  <c r="E4449" i="7"/>
  <c r="C4452" i="7" l="1"/>
  <c r="D4451" i="7"/>
  <c r="F4451" i="7" s="1"/>
  <c r="F4450" i="7"/>
  <c r="E4451" i="7" s="1"/>
  <c r="C4453" i="7" l="1"/>
  <c r="D4452" i="7"/>
  <c r="E4452" i="7" l="1"/>
  <c r="C4454" i="7"/>
  <c r="D4453" i="7"/>
  <c r="F4453" i="7" s="1"/>
  <c r="F4452" i="7"/>
  <c r="E4453" i="7" s="1"/>
  <c r="C4455" i="7" l="1"/>
  <c r="D4454" i="7"/>
  <c r="E4454" i="7" l="1"/>
  <c r="C4456" i="7"/>
  <c r="D4455" i="7"/>
  <c r="F4455" i="7" s="1"/>
  <c r="F4454" i="7"/>
  <c r="E4455" i="7" l="1"/>
  <c r="C4457" i="7"/>
  <c r="D4456" i="7"/>
  <c r="E4456" i="7" s="1"/>
  <c r="F4456" i="7" l="1"/>
  <c r="C4458" i="7"/>
  <c r="D4457" i="7"/>
  <c r="F4457" i="7" s="1"/>
  <c r="C4459" i="7" l="1"/>
  <c r="D4458" i="7"/>
  <c r="E4458" i="7" s="1"/>
  <c r="E4457" i="7"/>
  <c r="C4460" i="7" l="1"/>
  <c r="D4459" i="7"/>
  <c r="F4459" i="7" s="1"/>
  <c r="F4458" i="7"/>
  <c r="E4459" i="7" s="1"/>
  <c r="C4461" i="7" l="1"/>
  <c r="D4460" i="7"/>
  <c r="E4460" i="7" l="1"/>
  <c r="C4462" i="7"/>
  <c r="D4461" i="7"/>
  <c r="F4461" i="7" s="1"/>
  <c r="F4460" i="7"/>
  <c r="E4461" i="7" s="1"/>
  <c r="C4463" i="7" l="1"/>
  <c r="D4462" i="7"/>
  <c r="E4462" i="7" l="1"/>
  <c r="C4464" i="7"/>
  <c r="D4463" i="7"/>
  <c r="F4463" i="7" s="1"/>
  <c r="F4462" i="7"/>
  <c r="E4463" i="7" l="1"/>
  <c r="C4465" i="7"/>
  <c r="D4464" i="7"/>
  <c r="E4464" i="7" s="1"/>
  <c r="C4466" i="7" l="1"/>
  <c r="D4465" i="7"/>
  <c r="F4465" i="7" s="1"/>
  <c r="F4464" i="7"/>
  <c r="E4465" i="7" s="1"/>
  <c r="C4467" i="7" l="1"/>
  <c r="D4466" i="7"/>
  <c r="E4466" i="7" l="1"/>
  <c r="C4468" i="7"/>
  <c r="D4467" i="7"/>
  <c r="F4467" i="7" s="1"/>
  <c r="F4466" i="7"/>
  <c r="E4467" i="7" s="1"/>
  <c r="C4469" i="7" l="1"/>
  <c r="D4468" i="7"/>
  <c r="E4468" i="7" l="1"/>
  <c r="F4468" i="7"/>
  <c r="C4470" i="7"/>
  <c r="D4469" i="7"/>
  <c r="F4469" i="7" s="1"/>
  <c r="C4471" i="7" l="1"/>
  <c r="D4470" i="7"/>
  <c r="E4470" i="7" s="1"/>
  <c r="E4469" i="7"/>
  <c r="F4470" i="7" l="1"/>
  <c r="C4472" i="7"/>
  <c r="D4471" i="7"/>
  <c r="F4471" i="7" s="1"/>
  <c r="C4473" i="7" l="1"/>
  <c r="D4472" i="7"/>
  <c r="E4472" i="7" s="1"/>
  <c r="E4471" i="7"/>
  <c r="C4474" i="7" l="1"/>
  <c r="D4473" i="7"/>
  <c r="F4473" i="7" s="1"/>
  <c r="F4472" i="7"/>
  <c r="E4473" i="7" s="1"/>
  <c r="C4475" i="7" l="1"/>
  <c r="D4474" i="7"/>
  <c r="E4474" i="7" l="1"/>
  <c r="F4474" i="7"/>
  <c r="C4476" i="7"/>
  <c r="D4475" i="7"/>
  <c r="F4475" i="7" s="1"/>
  <c r="C4477" i="7" l="1"/>
  <c r="D4476" i="7"/>
  <c r="E4476" i="7" s="1"/>
  <c r="E4475" i="7"/>
  <c r="C4478" i="7" l="1"/>
  <c r="D4477" i="7"/>
  <c r="F4477" i="7" s="1"/>
  <c r="F4476" i="7"/>
  <c r="E4477" i="7" l="1"/>
  <c r="C4479" i="7"/>
  <c r="D4478" i="7"/>
  <c r="E4478" i="7" s="1"/>
  <c r="F4478" i="7" l="1"/>
  <c r="C4480" i="7"/>
  <c r="D4479" i="7"/>
  <c r="F4479" i="7" s="1"/>
  <c r="C4481" i="7" l="1"/>
  <c r="D4480" i="7"/>
  <c r="E4480" i="7" s="1"/>
  <c r="E4479" i="7"/>
  <c r="F4480" i="7" l="1"/>
  <c r="C4482" i="7"/>
  <c r="D4481" i="7"/>
  <c r="F4481" i="7" s="1"/>
  <c r="C4483" i="7" l="1"/>
  <c r="D4482" i="7"/>
  <c r="E4482" i="7" s="1"/>
  <c r="E4481" i="7"/>
  <c r="F4482" i="7" l="1"/>
  <c r="C4484" i="7"/>
  <c r="D4483" i="7"/>
  <c r="F4483" i="7" s="1"/>
  <c r="C4485" i="7" l="1"/>
  <c r="D4484" i="7"/>
  <c r="E4484" i="7" s="1"/>
  <c r="E4483" i="7"/>
  <c r="F4484" i="7" l="1"/>
  <c r="C4486" i="7"/>
  <c r="D4485" i="7"/>
  <c r="F4485" i="7" s="1"/>
  <c r="C4487" i="7" l="1"/>
  <c r="D4486" i="7"/>
  <c r="E4486" i="7" s="1"/>
  <c r="E4485" i="7"/>
  <c r="F4486" i="7" l="1"/>
  <c r="C4488" i="7"/>
  <c r="D4487" i="7"/>
  <c r="F4487" i="7" s="1"/>
  <c r="C4489" i="7" l="1"/>
  <c r="D4488" i="7"/>
  <c r="E4488" i="7" s="1"/>
  <c r="E4487" i="7"/>
  <c r="F4488" i="7" l="1"/>
  <c r="C4490" i="7"/>
  <c r="D4489" i="7"/>
  <c r="F4489" i="7" s="1"/>
  <c r="C4491" i="7" l="1"/>
  <c r="D4490" i="7"/>
  <c r="E4490" i="7" s="1"/>
  <c r="E4489" i="7"/>
  <c r="F4490" i="7" l="1"/>
  <c r="C4492" i="7"/>
  <c r="D4491" i="7"/>
  <c r="F4491" i="7" s="1"/>
  <c r="C4493" i="7" l="1"/>
  <c r="D4492" i="7"/>
  <c r="E4492" i="7" s="1"/>
  <c r="E4491" i="7"/>
  <c r="F4492" i="7" l="1"/>
  <c r="C4494" i="7"/>
  <c r="D4493" i="7"/>
  <c r="F4493" i="7" s="1"/>
  <c r="C4495" i="7" l="1"/>
  <c r="D4494" i="7"/>
  <c r="E4494" i="7" s="1"/>
  <c r="E4493" i="7"/>
  <c r="F4494" i="7" l="1"/>
  <c r="C4496" i="7"/>
  <c r="D4495" i="7"/>
  <c r="F4495" i="7" s="1"/>
  <c r="C4497" i="7" l="1"/>
  <c r="D4496" i="7"/>
  <c r="E4496" i="7" s="1"/>
  <c r="E4495" i="7"/>
  <c r="F4496" i="7" l="1"/>
  <c r="C4498" i="7"/>
  <c r="D4497" i="7"/>
  <c r="F4497" i="7" s="1"/>
  <c r="C4499" i="7" l="1"/>
  <c r="D4498" i="7"/>
  <c r="E4498" i="7" s="1"/>
  <c r="E4497" i="7"/>
  <c r="F4498" i="7" l="1"/>
  <c r="C4500" i="7"/>
  <c r="D4499" i="7"/>
  <c r="F4499" i="7" s="1"/>
  <c r="C4501" i="7" l="1"/>
  <c r="D4500" i="7"/>
  <c r="E4500" i="7" s="1"/>
  <c r="E4499" i="7"/>
  <c r="F4500" i="7" l="1"/>
  <c r="C4502" i="7"/>
  <c r="D4501" i="7"/>
  <c r="E4501" i="7" l="1"/>
  <c r="F4501" i="7"/>
  <c r="C4503" i="7"/>
  <c r="D4502" i="7"/>
  <c r="F4502" i="7" s="1"/>
  <c r="C4504" i="7" l="1"/>
  <c r="D4503" i="7"/>
  <c r="E4503" i="7" s="1"/>
  <c r="E4502" i="7"/>
  <c r="F4503" i="7" l="1"/>
  <c r="C4505" i="7"/>
  <c r="D4504" i="7"/>
  <c r="F4504" i="7" s="1"/>
  <c r="E4504" i="7" l="1"/>
  <c r="C4506" i="7"/>
  <c r="D4505" i="7"/>
  <c r="E4505" i="7" s="1"/>
  <c r="F4505" i="7" l="1"/>
  <c r="C4507" i="7"/>
  <c r="D4506" i="7"/>
  <c r="F4506" i="7" s="1"/>
  <c r="C4508" i="7" l="1"/>
  <c r="D4507" i="7"/>
  <c r="E4507" i="7" s="1"/>
  <c r="E4506" i="7"/>
  <c r="F4507" i="7" l="1"/>
  <c r="C4509" i="7"/>
  <c r="D4508" i="7"/>
  <c r="F4508" i="7" s="1"/>
  <c r="C4510" i="7" l="1"/>
  <c r="D4509" i="7"/>
  <c r="E4509" i="7" s="1"/>
  <c r="E4508" i="7"/>
  <c r="F4509" i="7" l="1"/>
  <c r="C4511" i="7"/>
  <c r="D4510" i="7"/>
  <c r="F4510" i="7" s="1"/>
  <c r="C4512" i="7" l="1"/>
  <c r="D4511" i="7"/>
  <c r="E4511" i="7" s="1"/>
  <c r="E4510" i="7"/>
  <c r="F4511" i="7" l="1"/>
  <c r="C4513" i="7"/>
  <c r="D4512" i="7"/>
  <c r="F4512" i="7" s="1"/>
  <c r="C4514" i="7" l="1"/>
  <c r="D4513" i="7"/>
  <c r="E4513" i="7" s="1"/>
  <c r="E4512" i="7"/>
  <c r="F4513" i="7" l="1"/>
  <c r="C4515" i="7"/>
  <c r="D4514" i="7"/>
  <c r="F4514" i="7" s="1"/>
  <c r="C4516" i="7" l="1"/>
  <c r="D4515" i="7"/>
  <c r="E4515" i="7" s="1"/>
  <c r="E4514" i="7"/>
  <c r="F4515" i="7" l="1"/>
  <c r="C4517" i="7"/>
  <c r="D4516" i="7"/>
  <c r="F4516" i="7" s="1"/>
  <c r="C4518" i="7" l="1"/>
  <c r="D4517" i="7"/>
  <c r="E4517" i="7" s="1"/>
  <c r="E4516" i="7"/>
  <c r="F4517" i="7" l="1"/>
  <c r="C4519" i="7"/>
  <c r="D4518" i="7"/>
  <c r="F4518" i="7" s="1"/>
  <c r="C4520" i="7" l="1"/>
  <c r="D4519" i="7"/>
  <c r="E4519" i="7" s="1"/>
  <c r="E4518" i="7"/>
  <c r="F4519" i="7" l="1"/>
  <c r="C4521" i="7"/>
  <c r="D4520" i="7"/>
  <c r="F4520" i="7" s="1"/>
  <c r="C4522" i="7" l="1"/>
  <c r="D4521" i="7"/>
  <c r="E4521" i="7" s="1"/>
  <c r="E4520" i="7"/>
  <c r="F4521" i="7" l="1"/>
  <c r="C4523" i="7"/>
  <c r="D4522" i="7"/>
  <c r="F4522" i="7" s="1"/>
  <c r="C4524" i="7" l="1"/>
  <c r="D4523" i="7"/>
  <c r="E4523" i="7" s="1"/>
  <c r="E4522" i="7"/>
  <c r="F4523" i="7" l="1"/>
  <c r="C4525" i="7"/>
  <c r="D4524" i="7"/>
  <c r="F4524" i="7" s="1"/>
  <c r="C4526" i="7" l="1"/>
  <c r="D4525" i="7"/>
  <c r="E4525" i="7" s="1"/>
  <c r="E4524" i="7"/>
  <c r="F4525" i="7" l="1"/>
  <c r="D4526" i="7"/>
  <c r="F4526" i="7" s="1"/>
  <c r="C7" i="8" l="1" a="1"/>
  <c r="C7" i="8" s="1"/>
  <c r="C8" i="8" s="1"/>
  <c r="U2" i="3" s="1"/>
  <c r="E452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<sst xmlns="http://schemas.openxmlformats.org/spreadsheetml/2006/main" count="73" uniqueCount="61">
  <si>
    <t>Tenure Range</t>
  </si>
  <si>
    <t>Average Interest Rate (General)</t>
  </si>
  <si>
    <t>Average Interest Rate (Senior Citizens)</t>
  </si>
  <si>
    <t>7 days – 3 months</t>
  </si>
  <si>
    <t>3 months – 6 months</t>
  </si>
  <si>
    <t>6 months – 1 year</t>
  </si>
  <si>
    <t>1 year – 3 years</t>
  </si>
  <si>
    <t>3 years – 5 years</t>
  </si>
  <si>
    <t>5 years – 10 years</t>
  </si>
  <si>
    <t>Investment</t>
  </si>
  <si>
    <t>Interest Rate</t>
  </si>
  <si>
    <t>Frequency</t>
  </si>
  <si>
    <t>Maturity Amount</t>
  </si>
  <si>
    <t>Category</t>
  </si>
  <si>
    <t>General</t>
  </si>
  <si>
    <t>Duration</t>
  </si>
  <si>
    <t>Year</t>
  </si>
  <si>
    <t>Months</t>
  </si>
  <si>
    <t>Days</t>
  </si>
  <si>
    <t>Annual</t>
  </si>
  <si>
    <t>Semi-Annual</t>
  </si>
  <si>
    <t>Quarterly</t>
  </si>
  <si>
    <t>Monthly</t>
  </si>
  <si>
    <t>Tenure (years)</t>
  </si>
  <si>
    <t>Future Value</t>
  </si>
  <si>
    <t>Principal Investment</t>
  </si>
  <si>
    <t>Monthly SIP Amount</t>
  </si>
  <si>
    <t>Investment Duration (Years)</t>
  </si>
  <si>
    <t>Compounding Frequency</t>
  </si>
  <si>
    <t>Expense Ratio</t>
  </si>
  <si>
    <t>Tax Rate on Gains</t>
  </si>
  <si>
    <t>Periods per Year</t>
  </si>
  <si>
    <t>Lumpsum Future Value</t>
  </si>
  <si>
    <t>SIP Future Value</t>
  </si>
  <si>
    <t>Total Future Value</t>
  </si>
  <si>
    <t>Adjust for Expense Ratio</t>
  </si>
  <si>
    <t>Adjust for Tax</t>
  </si>
  <si>
    <t>Input</t>
  </si>
  <si>
    <t>Output</t>
  </si>
  <si>
    <t>Lumpsum</t>
  </si>
  <si>
    <t>Period</t>
  </si>
  <si>
    <t>SIP Deposit</t>
  </si>
  <si>
    <t>Interest Earned</t>
  </si>
  <si>
    <t>Total Value</t>
  </si>
  <si>
    <t>SIP Schedule</t>
  </si>
  <si>
    <t>Interest Amount</t>
  </si>
  <si>
    <t>FD Amount</t>
  </si>
  <si>
    <t>Interest</t>
  </si>
  <si>
    <t>Future Amount</t>
  </si>
  <si>
    <t>SIP</t>
  </si>
  <si>
    <t>Monthly Payment</t>
  </si>
  <si>
    <t>Total</t>
  </si>
  <si>
    <t>Total Investment</t>
  </si>
  <si>
    <t>After Adjustment</t>
  </si>
  <si>
    <t>Sheet</t>
  </si>
  <si>
    <t>Errors</t>
  </si>
  <si>
    <t>Dashboard</t>
  </si>
  <si>
    <t>FD Calculator</t>
  </si>
  <si>
    <t>Investment Calculator</t>
  </si>
  <si>
    <t>Annual Return(Lumpsum)</t>
  </si>
  <si>
    <t>Annual Return(SIP)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</si>
</sst>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9"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20"/>
      <color theme="0"/>
      <name val="Calibri"/>
      <family val="2"/>
      <scheme val="minor"/>
    </font>
    <font>
      <b/>
      <sz val="11"/>
      <color theme="1"/>
      <name val="Calibri"/>
      <family val="2"/>
      <scheme val="minor"/>
    </font>
    <font>
      <b/>
      <sz val="24"/>
      <color theme="0"/>
      <name val="Calibri"/>
      <family val="2"/>
      <scheme val="minor"/>
    </font>
    <font>
      <b/>
      <sz val="12"/>
      <color theme="0"/>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3"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0" fontId="0" fillId="2" borderId="0" xfId="0" applyFill="1"/>
    <xf numFmtId="0" fontId="0" fillId="2" borderId="1" xfId="0" applyFill="1" applyBorder="1"/>
    <xf numFmtId="0" fontId="2" fillId="3" borderId="1" xfId="0" applyFont="1" applyFill="1" applyBorder="1"/>
    <xf numFmtId="0" fontId="0" fillId="4" borderId="1" xfId="0" applyFill="1" applyBorder="1"/>
    <xf numFmtId="44" fontId="0" fillId="4" borderId="1" xfId="1" applyFont="1" applyFill="1" applyBorder="1" applyAlignment="1"/>
    <xf numFmtId="2" fontId="0" fillId="4" borderId="1" xfId="0" applyNumberFormat="1" applyFill="1" applyBorder="1"/>
    <xf numFmtId="10" fontId="0" fillId="4" borderId="1" xfId="0" applyNumberFormat="1" applyFill="1" applyBorder="1"/>
    <xf numFmtId="0" fontId="3" fillId="3" borderId="1" xfId="0" applyFont="1" applyFill="1" applyBorder="1" applyAlignment="1">
      <alignment horizontal="right"/>
    </xf>
    <xf numFmtId="10" fontId="0" fillId="4" borderId="1" xfId="2" applyNumberFormat="1" applyFont="1" applyFill="1"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44" fontId="0" fillId="4" borderId="1" xfId="1" applyFont="1" applyFill="1" applyBorder="1"/>
    <xf numFmtId="44" fontId="0" fillId="4" borderId="8" xfId="1" applyFont="1" applyFill="1" applyBorder="1"/>
    <xf numFmtId="9" fontId="0" fillId="4" borderId="8" xfId="2" applyFont="1" applyFill="1" applyBorder="1"/>
    <xf numFmtId="164" fontId="0" fillId="4" borderId="11" xfId="0" applyNumberFormat="1" applyFill="1" applyBorder="1"/>
    <xf numFmtId="164" fontId="0" fillId="4" borderId="10" xfId="0" applyNumberFormat="1" applyFill="1" applyBorder="1"/>
    <xf numFmtId="9" fontId="0" fillId="4" borderId="10" xfId="2" applyFont="1" applyFill="1" applyBorder="1"/>
    <xf numFmtId="0" fontId="0" fillId="4" borderId="10" xfId="0" applyFill="1" applyBorder="1"/>
    <xf numFmtId="0" fontId="0" fillId="4" borderId="11" xfId="0" applyFill="1" applyBorder="1"/>
    <xf numFmtId="44" fontId="0" fillId="4" borderId="10" xfId="1" applyFont="1" applyFill="1" applyBorder="1"/>
    <xf numFmtId="0" fontId="5" fillId="4" borderId="12" xfId="0" applyFont="1" applyFill="1" applyBorder="1"/>
    <xf numFmtId="0" fontId="5" fillId="4" borderId="9" xfId="0" applyFont="1" applyFill="1" applyBorder="1"/>
    <xf numFmtId="0" fontId="5" fillId="4" borderId="7" xfId="0" applyFont="1" applyFill="1" applyBorder="1"/>
    <xf numFmtId="9" fontId="3" fillId="2" borderId="0" xfId="2" applyFont="1" applyFill="1"/>
    <xf numFmtId="0" fontId="0" fillId="3" borderId="0" xfId="0" applyFill="1"/>
    <xf numFmtId="0" fontId="2" fillId="3" borderId="0" xfId="0" applyFont="1" applyFill="1"/>
    <xf numFmtId="44" fontId="0" fillId="2" borderId="0" xfId="1" applyFont="1" applyFill="1"/>
    <xf numFmtId="0" fontId="3" fillId="3" borderId="0" xfId="0" applyFont="1" applyFill="1"/>
    <xf numFmtId="0" fontId="3" fillId="3" borderId="1" xfId="0" applyFont="1" applyFill="1" applyBorder="1"/>
    <xf numFmtId="44" fontId="3" fillId="3" borderId="1" xfId="0" applyNumberFormat="1" applyFont="1" applyFill="1" applyBorder="1"/>
    <xf numFmtId="10" fontId="3" fillId="3" borderId="1" xfId="0" applyNumberFormat="1" applyFont="1" applyFill="1" applyBorder="1"/>
    <xf numFmtId="9" fontId="3" fillId="3" borderId="1" xfId="0" applyNumberFormat="1" applyFont="1" applyFill="1" applyBorder="1"/>
    <xf numFmtId="44" fontId="3" fillId="3" borderId="1" xfId="1" applyFont="1" applyFill="1" applyBorder="1"/>
    <xf numFmtId="0" fontId="8" fillId="2" borderId="0" xfId="0" applyFont="1" applyFill="1" applyAlignment="1">
      <alignment horizontal="center"/>
    </xf>
    <xf numFmtId="9" fontId="0" fillId="4" borderId="11" xfId="2" applyFont="1" applyFill="1" applyBorder="1"/>
    <xf numFmtId="164" fontId="0" fillId="2" borderId="0" xfId="0" applyNumberFormat="1" applyFill="1"/>
    <xf numFmtId="44" fontId="0" fillId="2" borderId="0" xfId="0" applyNumberFormat="1" applyFill="1"/>
    <xf numFmtId="0" fontId="2" fillId="3" borderId="1" xfId="0" applyFont="1" applyFill="1" applyBorder="1" applyAlignment="1">
      <alignment horizontal="center"/>
    </xf>
    <xf numFmtId="0" fontId="2" fillId="3" borderId="3" xfId="0" applyFont="1" applyFill="1" applyBorder="1" applyAlignment="1">
      <alignment horizontal="center"/>
    </xf>
    <xf numFmtId="0" fontId="2" fillId="3" borderId="2" xfId="0" applyFont="1" applyFill="1" applyBorder="1" applyAlignment="1">
      <alignment horizontal="center"/>
    </xf>
    <xf numFmtId="0" fontId="7" fillId="3" borderId="1" xfId="0" applyFont="1" applyFill="1" applyBorder="1" applyAlignment="1">
      <alignment horizontal="center"/>
    </xf>
    <xf numFmtId="0" fontId="2" fillId="3" borderId="4"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6" fillId="3" borderId="0" xfId="0" applyFont="1" applyFill="1" applyAlignment="1">
      <alignment horizontal="center"/>
    </xf>
  </cellXfs>
  <cellStyles count="3">
    <cellStyle name="Currency" xfId="1" builtinId="4"/>
    <cellStyle name="Normal" xfId="0" builtinId="0"/>
    <cellStyle name="Percent" xfId="2" builtinId="5"/>
  </cellStyles>
  <dxfs count="1">
    <dxf>
      <fill>
        <patternFill>
          <bgColor theme="3" tint="0.7999816888943144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Investment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1"/>
          <c:order val="1"/>
          <c:spPr>
            <a:solidFill>
              <a:schemeClr val="tx2">
                <a:lumMod val="20000"/>
                <a:lumOff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Dashboard!$G$10:$G$12</c:f>
              <c:strCache>
                <c:ptCount val="3"/>
                <c:pt idx="0">
                  <c:v>Total Investment</c:v>
                </c:pt>
                <c:pt idx="1">
                  <c:v>Future Value</c:v>
                </c:pt>
                <c:pt idx="2">
                  <c:v>After Adjustment</c:v>
                </c:pt>
              </c:strCache>
            </c:strRef>
          </c:cat>
          <c:val>
            <c:numRef>
              <c:f>Dashboard!$I$10:$I$12</c:f>
              <c:numCache>
                <c:formatCode>_("₹"* #,##0.00_);_("₹"* \(#,##0.00\);_("₹"* "-"??_);_(@_)</c:formatCode>
                <c:ptCount val="3"/>
                <c:pt idx="0">
                  <c:v>1100000</c:v>
                </c:pt>
                <c:pt idx="1">
                  <c:v>1600634.8380374163</c:v>
                </c:pt>
                <c:pt idx="2">
                  <c:v>1474897.7130213345</c:v>
                </c:pt>
              </c:numCache>
            </c:numRef>
          </c:val>
          <c:extLst>
            <c:ext xmlns:c16="http://schemas.microsoft.com/office/drawing/2014/chart" uri="{C3380CC4-5D6E-409C-BE32-E72D297353CC}">
              <c16:uniqueId val="{00000001-A75C-4913-AFD2-A4A6B0DDC47E}"/>
            </c:ext>
          </c:extLst>
        </c:ser>
        <c:dLbls>
          <c:dLblPos val="outEnd"/>
          <c:showLegendKey val="0"/>
          <c:showVal val="1"/>
          <c:showCatName val="0"/>
          <c:showSerName val="0"/>
          <c:showPercent val="0"/>
          <c:showBubbleSize val="0"/>
        </c:dLbls>
        <c:gapWidth val="115"/>
        <c:overlap val="-20"/>
        <c:axId val="609774288"/>
        <c:axId val="609769968"/>
        <c:extLst>
          <c:ext xmlns:c15="http://schemas.microsoft.com/office/drawing/2012/chart" uri="{02D57815-91ED-43cb-92C2-25804820EDAC}">
            <c15:filteredBarSeries>
              <c15:ser>
                <c:idx val="0"/>
                <c:order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Dashboard!$G$10:$G$12</c15:sqref>
                        </c15:formulaRef>
                      </c:ext>
                    </c:extLst>
                    <c:strCache>
                      <c:ptCount val="3"/>
                      <c:pt idx="0">
                        <c:v>Total Investment</c:v>
                      </c:pt>
                      <c:pt idx="1">
                        <c:v>Future Value</c:v>
                      </c:pt>
                      <c:pt idx="2">
                        <c:v>After Adjustment</c:v>
                      </c:pt>
                    </c:strCache>
                  </c:strRef>
                </c:cat>
                <c:val>
                  <c:numRef>
                    <c:extLst>
                      <c:ext uri="{02D57815-91ED-43cb-92C2-25804820EDAC}">
                        <c15:formulaRef>
                          <c15:sqref>Dashboard!$H$10:$H$12</c15:sqref>
                        </c15:formulaRef>
                      </c:ext>
                    </c:extLst>
                    <c:numCache>
                      <c:formatCode>General</c:formatCode>
                      <c:ptCount val="3"/>
                    </c:numCache>
                  </c:numRef>
                </c:val>
                <c:extLst>
                  <c:ext xmlns:c16="http://schemas.microsoft.com/office/drawing/2014/chart" uri="{C3380CC4-5D6E-409C-BE32-E72D297353CC}">
                    <c16:uniqueId val="{00000000-A75C-4913-AFD2-A4A6B0DDC47E}"/>
                  </c:ext>
                </c:extLst>
              </c15:ser>
            </c15:filteredBarSeries>
          </c:ext>
        </c:extLst>
      </c:barChart>
      <c:catAx>
        <c:axId val="60977428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769968"/>
        <c:crosses val="autoZero"/>
        <c:auto val="1"/>
        <c:lblAlgn val="ctr"/>
        <c:lblOffset val="100"/>
        <c:noMultiLvlLbl val="0"/>
      </c:catAx>
      <c:valAx>
        <c:axId val="609769968"/>
        <c:scaling>
          <c:orientation val="minMax"/>
        </c:scaling>
        <c:delete val="1"/>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out"/>
        <c:minorTickMark val="none"/>
        <c:tickLblPos val="nextTo"/>
        <c:crossAx val="6097742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SIP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solidFill>
                <a:schemeClr val="accent3">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22-4633-8097-3FF3F53CBB62}"/>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D22-4633-8097-3FF3F53CBB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Dashboard!$I$5:$I$6</c:f>
              <c:strCache>
                <c:ptCount val="2"/>
                <c:pt idx="0">
                  <c:v>Total Investment</c:v>
                </c:pt>
                <c:pt idx="1">
                  <c:v>Future Amount</c:v>
                </c:pt>
              </c:strCache>
            </c:strRef>
          </c:cat>
          <c:val>
            <c:numRef>
              <c:f>Dashboard!$J$5:$J$6</c:f>
              <c:numCache>
                <c:formatCode>_("₹"* #,##0.00_);_("₹"* \(#,##0.00\);_("₹"* "-"??_);_(@_)</c:formatCode>
                <c:ptCount val="2"/>
                <c:pt idx="0">
                  <c:v>900000</c:v>
                </c:pt>
                <c:pt idx="1">
                  <c:v>1237295.4983245982</c:v>
                </c:pt>
              </c:numCache>
            </c:numRef>
          </c:val>
          <c:extLst>
            <c:ext xmlns:c16="http://schemas.microsoft.com/office/drawing/2014/chart" uri="{C3380CC4-5D6E-409C-BE32-E72D297353CC}">
              <c16:uniqueId val="{00000000-3D22-4633-8097-3FF3F53CBB6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Lumpsum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spPr>
            <a:solidFill>
              <a:schemeClr val="accent2">
                <a:lumMod val="60000"/>
                <a:lumOff val="40000"/>
              </a:schemeClr>
            </a:solidFill>
          </c:spPr>
          <c:dPt>
            <c:idx val="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0F-44CC-9A02-DB56E5795725}"/>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3E-43C7-8138-58187E039A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Dashboard!$F$4:$F$5</c:f>
              <c:strCache>
                <c:ptCount val="2"/>
                <c:pt idx="0">
                  <c:v>Investment</c:v>
                </c:pt>
                <c:pt idx="1">
                  <c:v>Future Amount</c:v>
                </c:pt>
              </c:strCache>
            </c:strRef>
          </c:cat>
          <c:val>
            <c:numRef>
              <c:f>Dashboard!$G$4:$G$5</c:f>
              <c:numCache>
                <c:formatCode>_("₹"* #,##0.00_);_("₹"* \(#,##0.00\);_("₹"* "-"??_);_(@_)</c:formatCode>
                <c:ptCount val="2"/>
                <c:pt idx="0">
                  <c:v>200000</c:v>
                </c:pt>
                <c:pt idx="1">
                  <c:v>363339.33971281827</c:v>
                </c:pt>
              </c:numCache>
            </c:numRef>
          </c:val>
          <c:extLst>
            <c:ext xmlns:c16="http://schemas.microsoft.com/office/drawing/2014/chart" uri="{C3380CC4-5D6E-409C-BE32-E72D297353CC}">
              <c16:uniqueId val="{00000000-C00F-44CC-9A02-DB56E579572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Fixed Deposit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Fixed Deposit</a:t>
          </a:r>
        </a:p>
      </cx:txPr>
    </cx:title>
    <cx:plotArea>
      <cx:plotAreaRegion>
        <cx:series layoutId="funnel" uniqueId="{ABA8CA32-B1DB-4BA9-8EB7-96710E7890BA}">
          <cx:spPr>
            <a:solidFill>
              <a:schemeClr val="tx2">
                <a:lumMod val="20000"/>
                <a:lumOff val="80000"/>
              </a:schemeClr>
            </a:solidFill>
          </cx:spPr>
          <cx:data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pin" dx="26" fmlaLink="$F$5" max="30000" page="10" val="9"/>
</file>

<file path=xl/ctrlProps/ctrlProp2.xml><?xml version="1.0" encoding="utf-8"?>
<formControlPr xmlns="http://schemas.microsoft.com/office/spreadsheetml/2009/9/main" objectType="Spin" dx="26" fmlaLink="$G$5" max="12" page="10" val="8"/>
</file>

<file path=xl/ctrlProps/ctrlProp3.xml><?xml version="1.0" encoding="utf-8"?>
<formControlPr xmlns="http://schemas.microsoft.com/office/spreadsheetml/2009/9/main" objectType="Spin" dx="26" fmlaLink="$H$5" max="31" page="10" val="3"/>
</file>

<file path=xl/ctrlProps/ctrlProp4.xml><?xml version="1.0" encoding="utf-8"?>
<formControlPr xmlns="http://schemas.microsoft.com/office/spreadsheetml/2009/9/main" objectType="Spin" dx="26" fmlaLink="$D$7" max="30000" page="10" val="12"/>
</file>

<file path=xl/ctrlProps/ctrlProp5.xml><?xml version="1.0" encoding="utf-8"?>
<formControlPr xmlns="http://schemas.microsoft.com/office/spreadsheetml/2009/9/main" objectType="Spin" dx="26" fmlaLink="$C$8" max="30000" min="1" page="10" val="5"/>
</file>

<file path=xl/ctrlProps/ctrlProp6.xml><?xml version="1.0" encoding="utf-8"?>
<formControlPr xmlns="http://schemas.microsoft.com/office/spreadsheetml/2009/9/main" objectType="Spin" dx="26" fmlaLink="$D$5" max="30000" min="1" page="10" val="12"/>
</file>

<file path=xl/drawings/_rels/drawing1.xml.rels><?xml version="1.0" encoding="UTF-8" standalone="yes"?>
<Relationships xmlns="http://schemas.openxmlformats.org/package/2006/relationships"><Relationship Id="rId3" Type="http://schemas.openxmlformats.org/officeDocument/2006/relationships/hyperlink" Target="#'SIP Schedule'!A1"/><Relationship Id="rId7" Type="http://schemas.openxmlformats.org/officeDocument/2006/relationships/chart" Target="../charts/chart3.xml"/><Relationship Id="rId2" Type="http://schemas.openxmlformats.org/officeDocument/2006/relationships/hyperlink" Target="#'Investment Calculator'!A1"/><Relationship Id="rId1" Type="http://schemas.openxmlformats.org/officeDocument/2006/relationships/hyperlink" Target="#'FD Calculator'!A1"/><Relationship Id="rId6" Type="http://schemas.openxmlformats.org/officeDocument/2006/relationships/chart" Target="../charts/chart2.xml"/><Relationship Id="rId5"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17</xdr:col>
      <xdr:colOff>0</xdr:colOff>
      <xdr:row>2</xdr:row>
      <xdr:rowOff>22859</xdr:rowOff>
    </xdr:from>
    <xdr:to>
      <xdr:col>19</xdr:col>
      <xdr:colOff>251460</xdr:colOff>
      <xdr:row>6</xdr:row>
      <xdr:rowOff>48640</xdr:rowOff>
    </xdr:to>
    <xdr:sp macro="" textlink="">
      <xdr:nvSpPr>
        <xdr:cNvPr id="7" name="Arrow: Right 6">
          <a:hlinkClick xmlns:r="http://schemas.openxmlformats.org/officeDocument/2006/relationships" r:id="rId1"/>
          <a:extLst>
            <a:ext uri="{FF2B5EF4-FFF2-40B4-BE49-F238E27FC236}">
              <a16:creationId xmlns:a16="http://schemas.microsoft.com/office/drawing/2014/main" id="{52473019-8FD6-F981-A845-65712830D031}"/>
            </a:ext>
          </a:extLst>
        </xdr:cNvPr>
        <xdr:cNvSpPr/>
      </xdr:nvSpPr>
      <xdr:spPr>
        <a:xfrm>
          <a:off x="12339484" y="391569"/>
          <a:ext cx="1480492" cy="763200"/>
        </a:xfrm>
        <a:prstGeom prst="rightArrow">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ysClr val="windowText" lastClr="000000"/>
              </a:solidFill>
            </a:rPr>
            <a:t>Fixed Deposit</a:t>
          </a:r>
          <a:endParaRPr lang="en-IN" sz="1100">
            <a:solidFill>
              <a:sysClr val="windowText" lastClr="000000"/>
            </a:solidFill>
          </a:endParaRPr>
        </a:p>
      </xdr:txBody>
    </xdr:sp>
    <xdr:clientData/>
  </xdr:twoCellAnchor>
  <xdr:twoCellAnchor>
    <xdr:from>
      <xdr:col>16</xdr:col>
      <xdr:colOff>317090</xdr:colOff>
      <xdr:row>12</xdr:row>
      <xdr:rowOff>54570</xdr:rowOff>
    </xdr:from>
    <xdr:to>
      <xdr:col>19</xdr:col>
      <xdr:colOff>560930</xdr:colOff>
      <xdr:row>16</xdr:row>
      <xdr:rowOff>79049</xdr:rowOff>
    </xdr:to>
    <xdr:sp macro="" textlink="">
      <xdr:nvSpPr>
        <xdr:cNvPr id="8" name="Arrow: Right 7">
          <a:hlinkClick xmlns:r="http://schemas.openxmlformats.org/officeDocument/2006/relationships" r:id="rId2"/>
          <a:extLst>
            <a:ext uri="{FF2B5EF4-FFF2-40B4-BE49-F238E27FC236}">
              <a16:creationId xmlns:a16="http://schemas.microsoft.com/office/drawing/2014/main" id="{B7E22641-C85B-4DB8-BE18-06C45A9F98FE}"/>
            </a:ext>
          </a:extLst>
        </xdr:cNvPr>
        <xdr:cNvSpPr/>
      </xdr:nvSpPr>
      <xdr:spPr>
        <a:xfrm>
          <a:off x="12042058" y="2279118"/>
          <a:ext cx="2087388" cy="761899"/>
        </a:xfrm>
        <a:prstGeom prst="rightArrow">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ysClr val="windowText" lastClr="000000"/>
              </a:solidFill>
            </a:rPr>
            <a:t>Investment</a:t>
          </a:r>
          <a:r>
            <a:rPr lang="en-IN" sz="1400" baseline="0">
              <a:solidFill>
                <a:sysClr val="windowText" lastClr="000000"/>
              </a:solidFill>
            </a:rPr>
            <a:t> Calculator</a:t>
          </a:r>
          <a:endParaRPr lang="en-IN" sz="1400">
            <a:solidFill>
              <a:sysClr val="windowText" lastClr="000000"/>
            </a:solidFill>
          </a:endParaRPr>
        </a:p>
      </xdr:txBody>
    </xdr:sp>
    <xdr:clientData/>
  </xdr:twoCellAnchor>
  <xdr:twoCellAnchor>
    <xdr:from>
      <xdr:col>17</xdr:col>
      <xdr:colOff>1474</xdr:colOff>
      <xdr:row>19</xdr:row>
      <xdr:rowOff>83819</xdr:rowOff>
    </xdr:from>
    <xdr:to>
      <xdr:col>19</xdr:col>
      <xdr:colOff>259590</xdr:colOff>
      <xdr:row>21</xdr:row>
      <xdr:rowOff>478309</xdr:rowOff>
    </xdr:to>
    <xdr:sp macro="" textlink="">
      <xdr:nvSpPr>
        <xdr:cNvPr id="9" name="Arrow: Right 8">
          <a:hlinkClick xmlns:r="http://schemas.openxmlformats.org/officeDocument/2006/relationships" r:id="rId3"/>
          <a:extLst>
            <a:ext uri="{FF2B5EF4-FFF2-40B4-BE49-F238E27FC236}">
              <a16:creationId xmlns:a16="http://schemas.microsoft.com/office/drawing/2014/main" id="{8DA2B2DB-81A5-4D33-9854-2873634C4C6A}"/>
            </a:ext>
          </a:extLst>
        </xdr:cNvPr>
        <xdr:cNvSpPr/>
      </xdr:nvSpPr>
      <xdr:spPr>
        <a:xfrm>
          <a:off x="12340958" y="4004432"/>
          <a:ext cx="1487148" cy="763200"/>
        </a:xfrm>
        <a:prstGeom prst="rightArrow">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ysClr val="windowText" lastClr="000000"/>
              </a:solidFill>
            </a:rPr>
            <a:t>SIP</a:t>
          </a:r>
          <a:r>
            <a:rPr lang="en-IN" sz="1400" baseline="0">
              <a:solidFill>
                <a:sysClr val="windowText" lastClr="000000"/>
              </a:solidFill>
            </a:rPr>
            <a:t> Schedule</a:t>
          </a:r>
          <a:endParaRPr lang="en-IN" sz="1400">
            <a:solidFill>
              <a:sysClr val="windowText" lastClr="000000"/>
            </a:solidFill>
          </a:endParaRPr>
        </a:p>
      </xdr:txBody>
    </xdr:sp>
    <xdr:clientData/>
  </xdr:twoCellAnchor>
  <xdr:twoCellAnchor>
    <xdr:from>
      <xdr:col>1</xdr:col>
      <xdr:colOff>256903</xdr:colOff>
      <xdr:row>8</xdr:row>
      <xdr:rowOff>10886</xdr:rowOff>
    </xdr:from>
    <xdr:to>
      <xdr:col>4</xdr:col>
      <xdr:colOff>402772</xdr:colOff>
      <xdr:row>22</xdr:row>
      <xdr:rowOff>24580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F7A9EF9A-D560-18C0-FB62-65BEFFF33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1223" y="1519646"/>
              <a:ext cx="2835729" cy="34122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43545</xdr:colOff>
      <xdr:row>12</xdr:row>
      <xdr:rowOff>163287</xdr:rowOff>
    </xdr:from>
    <xdr:to>
      <xdr:col>10</xdr:col>
      <xdr:colOff>43543</xdr:colOff>
      <xdr:row>22</xdr:row>
      <xdr:rowOff>59871</xdr:rowOff>
    </xdr:to>
    <xdr:graphicFrame macro="">
      <xdr:nvGraphicFramePr>
        <xdr:cNvPr id="13" name="Chart 12">
          <a:extLst>
            <a:ext uri="{FF2B5EF4-FFF2-40B4-BE49-F238E27FC236}">
              <a16:creationId xmlns:a16="http://schemas.microsoft.com/office/drawing/2014/main" id="{8F9EFFE7-30BA-4601-2E5B-908D78DAB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184356</xdr:colOff>
      <xdr:row>1</xdr:row>
      <xdr:rowOff>121436</xdr:rowOff>
    </xdr:from>
    <xdr:to>
      <xdr:col>16</xdr:col>
      <xdr:colOff>172065</xdr:colOff>
      <xdr:row>14</xdr:row>
      <xdr:rowOff>12291</xdr:rowOff>
    </xdr:to>
    <xdr:graphicFrame macro="">
      <xdr:nvGraphicFramePr>
        <xdr:cNvPr id="15" name="Chart 14">
          <a:extLst>
            <a:ext uri="{FF2B5EF4-FFF2-40B4-BE49-F238E27FC236}">
              <a16:creationId xmlns:a16="http://schemas.microsoft.com/office/drawing/2014/main" id="{6DD74FD7-279D-2DF3-CFB1-C3A847DA4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190500</xdr:colOff>
      <xdr:row>14</xdr:row>
      <xdr:rowOff>73740</xdr:rowOff>
    </xdr:from>
    <xdr:to>
      <xdr:col>16</xdr:col>
      <xdr:colOff>179003</xdr:colOff>
      <xdr:row>22</xdr:row>
      <xdr:rowOff>75850</xdr:rowOff>
    </xdr:to>
    <xdr:graphicFrame macro="">
      <xdr:nvGraphicFramePr>
        <xdr:cNvPr id="16" name="Chart 15">
          <a:extLst>
            <a:ext uri="{FF2B5EF4-FFF2-40B4-BE49-F238E27FC236}">
              <a16:creationId xmlns:a16="http://schemas.microsoft.com/office/drawing/2014/main" id="{3DB9307C-CCF6-AB18-5C2C-0544886AC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22860</xdr:colOff>
          <xdr:row>4</xdr:row>
          <xdr:rowOff>22860</xdr:rowOff>
        </xdr:from>
        <xdr:to>
          <xdr:col>5</xdr:col>
          <xdr:colOff>327660</xdr:colOff>
          <xdr:row>4</xdr:row>
          <xdr:rowOff>160020</xdr:rowOff>
        </xdr:to>
        <xdr:sp macro="" textlink="">
          <xdr:nvSpPr>
            <xdr:cNvPr id="2053" name="Spinner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22860</xdr:colOff>
          <xdr:row>4</xdr:row>
          <xdr:rowOff>22860</xdr:rowOff>
        </xdr:from>
        <xdr:to>
          <xdr:col>6</xdr:col>
          <xdr:colOff>327660</xdr:colOff>
          <xdr:row>4</xdr:row>
          <xdr:rowOff>160020</xdr:rowOff>
        </xdr:to>
        <xdr:sp macro="" textlink="">
          <xdr:nvSpPr>
            <xdr:cNvPr id="2054" name="Spinner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22860</xdr:colOff>
          <xdr:row>4</xdr:row>
          <xdr:rowOff>22860</xdr:rowOff>
        </xdr:from>
        <xdr:to>
          <xdr:col>7</xdr:col>
          <xdr:colOff>327660</xdr:colOff>
          <xdr:row>4</xdr:row>
          <xdr:rowOff>160020</xdr:rowOff>
        </xdr:to>
        <xdr:sp macro="" textlink="">
          <xdr:nvSpPr>
            <xdr:cNvPr id="2055" name="Spinner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8</xdr:col>
      <xdr:colOff>533400</xdr:colOff>
      <xdr:row>2</xdr:row>
      <xdr:rowOff>15240</xdr:rowOff>
    </xdr:from>
    <xdr:to>
      <xdr:col>11</xdr:col>
      <xdr:colOff>91440</xdr:colOff>
      <xdr:row>4</xdr:row>
      <xdr:rowOff>68580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77023FC-4127-5783-8EF8-C4012885385F}"/>
            </a:ext>
          </a:extLst>
        </xdr:cNvPr>
        <xdr:cNvSpPr/>
      </xdr:nvSpPr>
      <xdr:spPr>
        <a:xfrm>
          <a:off x="6858000" y="381000"/>
          <a:ext cx="1386840" cy="4191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Back to Dashboard</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30480</xdr:colOff>
          <xdr:row>6</xdr:row>
          <xdr:rowOff>22860</xdr:rowOff>
        </xdr:from>
        <xdr:to>
          <xdr:col>2</xdr:col>
          <xdr:colOff>403860</xdr:colOff>
          <xdr:row>6</xdr:row>
          <xdr:rowOff>160020</xdr:rowOff>
        </xdr:to>
        <xdr:sp macro="" textlink="">
          <xdr:nvSpPr>
            <xdr:cNvPr id="8194" name="Spinner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30480</xdr:colOff>
          <xdr:row>7</xdr:row>
          <xdr:rowOff>22860</xdr:rowOff>
        </xdr:from>
        <xdr:to>
          <xdr:col>2</xdr:col>
          <xdr:colOff>403860</xdr:colOff>
          <xdr:row>7</xdr:row>
          <xdr:rowOff>160020</xdr:rowOff>
        </xdr:to>
        <xdr:sp macro="" textlink="">
          <xdr:nvSpPr>
            <xdr:cNvPr id="8199" name="Spinner 7" hidden="1">
              <a:extLst>
                <a:ext uri="{63B3BB69-23CF-44E3-9099-C40C66FF867C}">
                  <a14:compatExt spid="_x0000_s8199"/>
                </a:ext>
                <a:ext uri="{FF2B5EF4-FFF2-40B4-BE49-F238E27FC236}">
                  <a16:creationId xmlns:a16="http://schemas.microsoft.com/office/drawing/2014/main" id="{00000000-0008-0000-0200-000007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441960</xdr:colOff>
      <xdr:row>1</xdr:row>
      <xdr:rowOff>182880</xdr:rowOff>
    </xdr:from>
    <xdr:to>
      <xdr:col>9</xdr:col>
      <xdr:colOff>0</xdr:colOff>
      <xdr:row>3</xdr:row>
      <xdr:rowOff>83820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885AA06-1652-4BC0-A497-7877E77B8469}"/>
            </a:ext>
          </a:extLst>
        </xdr:cNvPr>
        <xdr:cNvSpPr/>
      </xdr:nvSpPr>
      <xdr:spPr>
        <a:xfrm>
          <a:off x="8115300" y="365760"/>
          <a:ext cx="1386840" cy="4191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Back to Dashboard</a:t>
          </a:r>
        </a:p>
      </xdr:txBody>
    </xdr:sp>
    <xdr:clientData/>
  </xdr:twoCellAnchor>
  <mc:AlternateContent xmlns:mc="http://schemas.openxmlformats.org/markup-compatibility/2006">
    <mc:Choice xmlns:a14="http://schemas.microsoft.com/office/drawing/2010/main" Requires="a14">
      <xdr:twoCellAnchor>
        <xdr:from>
          <xdr:col>2</xdr:col>
          <xdr:colOff>22860</xdr:colOff>
          <xdr:row>4</xdr:row>
          <xdr:rowOff>30480</xdr:rowOff>
        </xdr:from>
        <xdr:to>
          <xdr:col>2</xdr:col>
          <xdr:colOff>396240</xdr:colOff>
          <xdr:row>4</xdr:row>
          <xdr:rowOff>167640</xdr:rowOff>
        </xdr:to>
        <xdr:sp macro="" textlink="">
          <xdr:nvSpPr>
            <xdr:cNvPr id="8200" name="Spinner 8" hidden="1">
              <a:extLst>
                <a:ext uri="{63B3BB69-23CF-44E3-9099-C40C66FF867C}">
                  <a14:compatExt spid="_x0000_s8200"/>
                </a:ext>
                <a:ext uri="{FF2B5EF4-FFF2-40B4-BE49-F238E27FC236}">
                  <a16:creationId xmlns:a16="http://schemas.microsoft.com/office/drawing/2014/main" id="{00000000-0008-0000-0200-000008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15240</xdr:colOff>
      <xdr:row>1</xdr:row>
      <xdr:rowOff>7620</xdr:rowOff>
    </xdr:from>
    <xdr:to>
      <xdr:col>9</xdr:col>
      <xdr:colOff>182880</xdr:colOff>
      <xdr:row>2</xdr:row>
      <xdr:rowOff>30480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85476CC-FAFE-4934-84F1-D287D07A2864}"/>
            </a:ext>
          </a:extLst>
        </xdr:cNvPr>
        <xdr:cNvSpPr/>
      </xdr:nvSpPr>
      <xdr:spPr>
        <a:xfrm>
          <a:off x="5280660" y="190500"/>
          <a:ext cx="1386840" cy="4191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Back to Dashboard</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563881</xdr:colOff>
      <xdr:row>1</xdr:row>
      <xdr:rowOff>60960</xdr:rowOff>
    </xdr:from>
    <xdr:ext cx="8214359" cy="609013"/>
    <xdr:sp macro="" textlink="">
      <xdr:nvSpPr>
        <xdr:cNvPr id="2" name="TextBox 1">
          <a:extLst>
            <a:ext uri="{FF2B5EF4-FFF2-40B4-BE49-F238E27FC236}">
              <a16:creationId xmlns:a16="http://schemas.microsoft.com/office/drawing/2014/main" id="{EA66DA5B-4595-B722-951B-E249137D0D58}"/>
            </a:ext>
          </a:extLst>
        </xdr:cNvPr>
        <xdr:cNvSpPr txBox="1"/>
      </xdr:nvSpPr>
      <xdr:spPr>
        <a:xfrm>
          <a:off x="563881" y="243840"/>
          <a:ext cx="8214359" cy="60901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IN"/>
            <a:t>The Investment Calculator helps users plan and track their investments over time. It allows them to enter lumpsum and SIP investments, each with different interest rates and durations. The calculator uses compounding to estimate how much their investments will grow in the future.</a:t>
          </a:r>
          <a:endParaRPr lang="en-IN" sz="1100"/>
        </a:p>
      </xdr:txBody>
    </xdr:sp>
    <xdr:clientData/>
  </xdr:oneCellAnchor>
  <xdr:oneCellAnchor>
    <xdr:from>
      <xdr:col>0</xdr:col>
      <xdr:colOff>563880</xdr:colOff>
      <xdr:row>6</xdr:row>
      <xdr:rowOff>38100</xdr:rowOff>
    </xdr:from>
    <xdr:ext cx="8214359" cy="971356"/>
    <xdr:sp macro="" textlink="">
      <xdr:nvSpPr>
        <xdr:cNvPr id="3" name="TextBox 2">
          <a:extLst>
            <a:ext uri="{FF2B5EF4-FFF2-40B4-BE49-F238E27FC236}">
              <a16:creationId xmlns:a16="http://schemas.microsoft.com/office/drawing/2014/main" id="{1100FC37-38D9-4CDE-9881-48E7305D3DE0}"/>
            </a:ext>
          </a:extLst>
        </xdr:cNvPr>
        <xdr:cNvSpPr txBox="1"/>
      </xdr:nvSpPr>
      <xdr:spPr>
        <a:xfrm>
          <a:off x="563880" y="1135380"/>
          <a:ext cx="8214359" cy="971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IN" b="1"/>
            <a:t>How to Use the Model?</a:t>
          </a:r>
        </a:p>
        <a:p>
          <a:r>
            <a:rPr lang="en-IN" b="1"/>
            <a:t>1.</a:t>
          </a:r>
          <a:r>
            <a:rPr lang="en-IN" b="1" baseline="0"/>
            <a:t> </a:t>
          </a:r>
          <a:r>
            <a:rPr lang="en-IN" b="1"/>
            <a:t>Enter Lumpsum Investments:</a:t>
          </a:r>
          <a:r>
            <a:rPr lang="en-IN"/>
            <a:t> Specify amount, start time, interest rate, and duration.</a:t>
          </a:r>
          <a:br>
            <a:rPr lang="en-IN"/>
          </a:br>
          <a:r>
            <a:rPr lang="en-IN" b="1"/>
            <a:t>2. Enter SIP Investments:</a:t>
          </a:r>
          <a:r>
            <a:rPr lang="en-IN"/>
            <a:t> Define the monthly SIP amount, interest rate, and duration.</a:t>
          </a:r>
          <a:br>
            <a:rPr lang="en-IN"/>
          </a:br>
          <a:r>
            <a:rPr lang="en-IN" b="1"/>
            <a:t>3. Review Future Values:</a:t>
          </a:r>
          <a:r>
            <a:rPr lang="en-IN"/>
            <a:t> The model calculates projected future values for each investment.</a:t>
          </a:r>
          <a:br>
            <a:rPr lang="en-IN"/>
          </a:br>
          <a:r>
            <a:rPr lang="en-IN" b="1"/>
            <a:t>4. Analyze Total Portfolio Value:</a:t>
          </a:r>
          <a:r>
            <a:rPr lang="en-IN"/>
            <a:t> The final sheet displays </a:t>
          </a:r>
          <a:r>
            <a:rPr lang="en-IN" b="0"/>
            <a:t>the total value of all investments </a:t>
          </a:r>
          <a:r>
            <a:rPr lang="en-IN"/>
            <a:t>at the end of the investment period.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3.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FD18-3DD0-4C1C-93B1-A31CAEC29B42}">
  <dimension ref="B2:U24"/>
  <sheetViews>
    <sheetView tabSelected="1" zoomScale="87" workbookViewId="0">
      <selection activeCell="F10" sqref="F10"/>
    </sheetView>
  </sheetViews>
  <sheetFormatPr defaultRowHeight="14.4" x14ac:dyDescent="0.3"/>
  <cols>
    <col min="1" max="1" width="4" style="1" customWidth="1"/>
    <col min="2" max="2" width="8.88671875" style="1"/>
    <col min="3" max="3" width="13.88671875" style="1" bestFit="1" customWidth="1"/>
    <col min="4" max="4" width="16.44140625" style="1" customWidth="1"/>
    <col min="5" max="5" width="8.88671875" style="1"/>
    <col min="6" max="6" width="14.6640625" style="1" bestFit="1" customWidth="1"/>
    <col min="7" max="7" width="15.77734375" style="1" customWidth="1"/>
    <col min="8" max="8" width="2.6640625" style="1" customWidth="1"/>
    <col min="9" max="9" width="16.44140625" style="1" bestFit="1" customWidth="1"/>
    <col min="10" max="10" width="15.21875" style="1" bestFit="1" customWidth="1"/>
    <col min="11" max="16384" width="8.88671875" style="1"/>
  </cols>
  <sheetData>
    <row r="2" spans="2:21" ht="18" x14ac:dyDescent="0.35">
      <c r="B2" s="25"/>
      <c r="C2" s="25"/>
      <c r="D2" s="25"/>
      <c r="E2" s="25"/>
      <c r="F2" s="25"/>
      <c r="G2" s="28"/>
      <c r="H2" s="28"/>
      <c r="I2" s="28"/>
      <c r="J2" s="28"/>
      <c r="K2" s="25"/>
      <c r="L2" s="25"/>
      <c r="M2" s="25"/>
      <c r="N2" s="25"/>
      <c r="O2" s="25"/>
      <c r="P2" s="25"/>
      <c r="Q2" s="25"/>
      <c r="R2" s="25"/>
      <c r="S2" s="25"/>
      <c r="T2" s="25"/>
      <c r="U2" s="34">
        <f>'Audit Report'!C8</f>
        <v>0</v>
      </c>
    </row>
    <row r="3" spans="2:21" x14ac:dyDescent="0.3">
      <c r="B3" s="25"/>
      <c r="C3" s="3" t="s">
        <v>13</v>
      </c>
      <c r="D3" s="29" t="str">
        <f>'FD Calculator'!C3</f>
        <v>General</v>
      </c>
      <c r="E3" s="25"/>
      <c r="F3" s="39" t="s">
        <v>39</v>
      </c>
      <c r="G3" s="40"/>
      <c r="H3" s="25"/>
      <c r="I3" s="38" t="s">
        <v>49</v>
      </c>
      <c r="J3" s="38"/>
      <c r="K3" s="25"/>
      <c r="L3" s="25"/>
      <c r="M3" s="25"/>
      <c r="N3" s="25"/>
      <c r="O3" s="25"/>
      <c r="P3" s="25"/>
      <c r="Q3" s="25"/>
      <c r="R3" s="25"/>
      <c r="S3" s="25"/>
      <c r="T3" s="25"/>
    </row>
    <row r="4" spans="2:21" x14ac:dyDescent="0.3">
      <c r="B4" s="25"/>
      <c r="C4" s="3" t="s">
        <v>46</v>
      </c>
      <c r="D4" s="30">
        <f>'FD Calculator'!C4</f>
        <v>1000000</v>
      </c>
      <c r="E4" s="25"/>
      <c r="F4" s="3" t="s">
        <v>9</v>
      </c>
      <c r="G4" s="33">
        <f>'Investment Calculator'!C4</f>
        <v>200000</v>
      </c>
      <c r="H4" s="25"/>
      <c r="I4" s="3" t="s">
        <v>50</v>
      </c>
      <c r="J4" s="33">
        <f>'Investment Calculator'!C6</f>
        <v>15000</v>
      </c>
      <c r="K4" s="25"/>
      <c r="L4" s="25"/>
      <c r="M4" s="25"/>
      <c r="N4" s="25"/>
      <c r="O4" s="25"/>
      <c r="P4" s="25"/>
      <c r="Q4" s="25"/>
      <c r="R4" s="25"/>
      <c r="S4" s="25"/>
      <c r="T4" s="25"/>
    </row>
    <row r="5" spans="2:21" x14ac:dyDescent="0.3">
      <c r="B5" s="25"/>
      <c r="C5" s="3" t="s">
        <v>47</v>
      </c>
      <c r="D5" s="30">
        <f>'FD Calculator'!C5</f>
        <v>917888.68291267497</v>
      </c>
      <c r="E5" s="25"/>
      <c r="F5" s="3" t="s">
        <v>48</v>
      </c>
      <c r="G5" s="33">
        <f>'Investment Calculator'!F5</f>
        <v>363339.33971281827</v>
      </c>
      <c r="H5" s="25"/>
      <c r="I5" s="3" t="s">
        <v>52</v>
      </c>
      <c r="J5" s="30">
        <f>J4*'Investment Calculator'!C8*'Investment Calculator'!F4</f>
        <v>900000</v>
      </c>
      <c r="K5" s="25"/>
      <c r="L5" s="25"/>
      <c r="M5" s="25"/>
      <c r="N5" s="25"/>
      <c r="O5" s="25"/>
      <c r="P5" s="25"/>
      <c r="Q5" s="25"/>
      <c r="R5" s="25"/>
      <c r="S5" s="25"/>
      <c r="T5" s="25"/>
    </row>
    <row r="6" spans="2:21" x14ac:dyDescent="0.3">
      <c r="B6" s="25"/>
      <c r="C6" s="3" t="s">
        <v>48</v>
      </c>
      <c r="D6" s="30">
        <f>'FD Calculator'!C9</f>
        <v>1917888.682912675</v>
      </c>
      <c r="E6" s="25"/>
      <c r="F6" s="3" t="s">
        <v>10</v>
      </c>
      <c r="G6" s="32">
        <f>'Investment Calculator'!C5</f>
        <v>0.12</v>
      </c>
      <c r="H6" s="25"/>
      <c r="I6" s="3" t="s">
        <v>48</v>
      </c>
      <c r="J6" s="30">
        <f>'Investment Calculator'!F6</f>
        <v>1237295.4983245982</v>
      </c>
      <c r="K6" s="25"/>
      <c r="L6" s="25"/>
      <c r="M6" s="25"/>
      <c r="N6" s="25"/>
      <c r="O6" s="25"/>
      <c r="P6" s="25"/>
      <c r="Q6" s="25"/>
      <c r="R6" s="25"/>
      <c r="S6" s="25"/>
      <c r="T6" s="25"/>
    </row>
    <row r="7" spans="2:21" x14ac:dyDescent="0.3">
      <c r="B7" s="25"/>
      <c r="C7" s="3" t="s">
        <v>10</v>
      </c>
      <c r="D7" s="31">
        <f>'FD Calculator'!C7</f>
        <v>6.7500000000000004E-2</v>
      </c>
      <c r="E7" s="25"/>
      <c r="F7" s="25"/>
      <c r="G7" s="25"/>
      <c r="H7" s="25"/>
      <c r="I7" s="3" t="s">
        <v>10</v>
      </c>
      <c r="J7" s="32">
        <f>'Investment Calculator'!C7</f>
        <v>0.12</v>
      </c>
      <c r="K7" s="25"/>
      <c r="L7" s="25"/>
      <c r="M7" s="25"/>
      <c r="N7" s="25"/>
      <c r="O7" s="25"/>
      <c r="P7" s="25"/>
      <c r="Q7" s="25"/>
      <c r="R7" s="25"/>
      <c r="S7" s="25"/>
      <c r="T7" s="25"/>
    </row>
    <row r="8" spans="2:21" x14ac:dyDescent="0.3">
      <c r="B8" s="25"/>
      <c r="C8" s="25"/>
      <c r="D8" s="25"/>
      <c r="E8" s="25"/>
      <c r="F8" s="25"/>
      <c r="G8" s="25"/>
      <c r="H8" s="25"/>
      <c r="I8" s="25"/>
      <c r="J8" s="25"/>
      <c r="K8" s="25"/>
      <c r="L8" s="25"/>
      <c r="M8" s="25"/>
      <c r="N8" s="25"/>
      <c r="O8" s="25"/>
      <c r="P8" s="25"/>
      <c r="Q8" s="25"/>
      <c r="R8" s="25"/>
      <c r="S8" s="25"/>
      <c r="T8" s="25"/>
    </row>
    <row r="9" spans="2:21" ht="15.6" x14ac:dyDescent="0.3">
      <c r="B9" s="25"/>
      <c r="C9" s="25"/>
      <c r="D9" s="25"/>
      <c r="E9" s="25"/>
      <c r="F9" s="25"/>
      <c r="G9" s="41" t="s">
        <v>51</v>
      </c>
      <c r="H9" s="41"/>
      <c r="I9" s="41"/>
      <c r="J9" s="25"/>
      <c r="K9" s="25"/>
      <c r="L9" s="25"/>
      <c r="M9" s="25"/>
      <c r="N9" s="25"/>
      <c r="O9" s="25"/>
      <c r="P9" s="25"/>
      <c r="Q9" s="25"/>
      <c r="R9" s="25"/>
      <c r="S9" s="25"/>
      <c r="T9" s="25"/>
    </row>
    <row r="10" spans="2:21" x14ac:dyDescent="0.3">
      <c r="B10" s="25"/>
      <c r="C10" s="25"/>
      <c r="D10" s="25"/>
      <c r="E10" s="25"/>
      <c r="F10" s="25"/>
      <c r="G10" s="38" t="s">
        <v>52</v>
      </c>
      <c r="H10" s="38"/>
      <c r="I10" s="30">
        <f>(G4)+(J4*'Investment Calculator'!C8*'Investment Calculator'!F4)</f>
        <v>1100000</v>
      </c>
      <c r="J10" s="25"/>
      <c r="K10" s="25"/>
      <c r="L10" s="25"/>
      <c r="M10" s="25"/>
      <c r="N10" s="25"/>
      <c r="O10" s="25"/>
      <c r="P10" s="25"/>
      <c r="Q10" s="25"/>
      <c r="R10" s="25"/>
      <c r="S10" s="25"/>
      <c r="T10" s="25"/>
    </row>
    <row r="11" spans="2:21" x14ac:dyDescent="0.3">
      <c r="B11" s="25"/>
      <c r="C11" s="25"/>
      <c r="D11" s="25"/>
      <c r="E11" s="25"/>
      <c r="F11" s="25"/>
      <c r="G11" s="38" t="s">
        <v>24</v>
      </c>
      <c r="H11" s="38"/>
      <c r="I11" s="30">
        <f>G5+J6</f>
        <v>1600634.8380374163</v>
      </c>
      <c r="J11" s="25"/>
      <c r="K11" s="25"/>
      <c r="L11" s="25"/>
      <c r="M11" s="25"/>
      <c r="N11" s="25"/>
      <c r="O11" s="25"/>
      <c r="P11" s="25"/>
      <c r="Q11" s="25"/>
      <c r="R11" s="25"/>
      <c r="S11" s="25"/>
      <c r="T11" s="25"/>
    </row>
    <row r="12" spans="2:21" x14ac:dyDescent="0.3">
      <c r="B12" s="25"/>
      <c r="C12" s="25"/>
      <c r="D12" s="25"/>
      <c r="E12" s="25"/>
      <c r="F12" s="25"/>
      <c r="G12" s="38" t="s">
        <v>53</v>
      </c>
      <c r="H12" s="38"/>
      <c r="I12" s="30">
        <f>'Investment Calculator'!F9</f>
        <v>1474897.7130213345</v>
      </c>
      <c r="J12" s="25"/>
      <c r="K12" s="25"/>
      <c r="L12" s="25"/>
      <c r="M12" s="25"/>
      <c r="N12" s="25"/>
      <c r="O12" s="25"/>
      <c r="P12" s="25"/>
      <c r="Q12" s="25"/>
      <c r="R12" s="25"/>
      <c r="S12" s="25"/>
      <c r="T12" s="25"/>
    </row>
    <row r="13" spans="2:21" x14ac:dyDescent="0.3">
      <c r="B13" s="25"/>
      <c r="C13" s="25"/>
      <c r="D13" s="25"/>
      <c r="E13" s="25"/>
      <c r="F13" s="25"/>
      <c r="G13" s="25"/>
      <c r="H13" s="25"/>
      <c r="I13" s="25"/>
      <c r="J13" s="25"/>
      <c r="K13" s="25"/>
      <c r="L13" s="25"/>
      <c r="M13" s="25"/>
      <c r="N13" s="25"/>
      <c r="O13" s="25"/>
      <c r="P13" s="25"/>
      <c r="Q13" s="25"/>
      <c r="R13" s="25"/>
      <c r="S13" s="25"/>
      <c r="T13" s="25"/>
    </row>
    <row r="14" spans="2:21" x14ac:dyDescent="0.3">
      <c r="B14" s="25"/>
      <c r="C14" s="25"/>
      <c r="D14" s="25"/>
      <c r="E14" s="25"/>
      <c r="F14" s="25"/>
      <c r="G14" s="25"/>
      <c r="H14" s="25"/>
      <c r="I14" s="25"/>
      <c r="J14" s="25"/>
      <c r="K14" s="25"/>
      <c r="L14" s="25"/>
      <c r="M14" s="25"/>
      <c r="N14" s="25"/>
      <c r="O14" s="25"/>
      <c r="P14" s="25"/>
      <c r="Q14" s="25"/>
      <c r="R14" s="25"/>
      <c r="S14" s="25"/>
      <c r="T14" s="25"/>
    </row>
    <row r="15" spans="2:21" x14ac:dyDescent="0.3">
      <c r="B15" s="25"/>
      <c r="C15" s="25"/>
      <c r="D15" s="25"/>
      <c r="E15" s="25"/>
      <c r="F15" s="25"/>
      <c r="G15" s="25"/>
      <c r="H15" s="25"/>
      <c r="I15" s="25"/>
      <c r="J15" s="25"/>
      <c r="K15" s="25"/>
      <c r="L15" s="25"/>
      <c r="M15" s="25"/>
      <c r="N15" s="25"/>
      <c r="O15" s="25"/>
      <c r="P15" s="25"/>
      <c r="Q15" s="25"/>
      <c r="R15" s="25"/>
      <c r="S15" s="25"/>
      <c r="T15" s="25"/>
    </row>
    <row r="16" spans="2:21" x14ac:dyDescent="0.3">
      <c r="B16" s="25"/>
      <c r="C16" s="25"/>
      <c r="D16" s="25"/>
      <c r="E16" s="25"/>
      <c r="F16" s="25"/>
      <c r="G16" s="25"/>
      <c r="H16" s="25"/>
      <c r="I16" s="25"/>
      <c r="J16" s="25"/>
      <c r="K16" s="25"/>
      <c r="L16" s="25"/>
      <c r="M16" s="25"/>
      <c r="N16" s="25"/>
      <c r="O16" s="25"/>
      <c r="P16" s="25"/>
      <c r="Q16" s="25"/>
      <c r="R16" s="25"/>
      <c r="S16" s="25"/>
      <c r="T16" s="25"/>
    </row>
    <row r="17" spans="2:20" x14ac:dyDescent="0.3">
      <c r="B17" s="25"/>
      <c r="C17" s="25"/>
      <c r="D17" s="25"/>
      <c r="E17" s="25"/>
      <c r="F17" s="25"/>
      <c r="G17" s="25"/>
      <c r="H17" s="25"/>
      <c r="I17" s="25"/>
      <c r="J17" s="25"/>
      <c r="K17" s="25"/>
      <c r="L17" s="25"/>
      <c r="M17" s="25"/>
      <c r="N17" s="25"/>
      <c r="O17" s="25"/>
      <c r="P17" s="25"/>
      <c r="Q17" s="25"/>
      <c r="R17" s="25"/>
      <c r="S17" s="25"/>
      <c r="T17" s="25"/>
    </row>
    <row r="18" spans="2:20" x14ac:dyDescent="0.3">
      <c r="B18" s="25"/>
      <c r="C18" s="25"/>
      <c r="D18" s="25"/>
      <c r="E18" s="25"/>
      <c r="F18" s="25"/>
      <c r="G18" s="25"/>
      <c r="H18" s="25"/>
      <c r="I18" s="25"/>
      <c r="J18" s="25"/>
      <c r="K18" s="25"/>
      <c r="L18" s="25"/>
      <c r="M18" s="25"/>
      <c r="N18" s="25"/>
      <c r="O18" s="25"/>
      <c r="P18" s="25"/>
      <c r="Q18" s="25"/>
      <c r="R18" s="25"/>
      <c r="S18" s="25"/>
      <c r="T18" s="25"/>
    </row>
    <row r="19" spans="2:20" ht="46.2" customHeight="1" x14ac:dyDescent="0.3">
      <c r="B19" s="25"/>
      <c r="C19" s="25"/>
      <c r="D19" s="25"/>
      <c r="E19" s="25"/>
      <c r="F19" s="25"/>
      <c r="G19" s="25"/>
      <c r="H19" s="25"/>
      <c r="I19" s="25"/>
      <c r="J19" s="25"/>
      <c r="K19" s="25"/>
      <c r="L19" s="25"/>
      <c r="M19" s="25"/>
      <c r="N19" s="25"/>
      <c r="O19" s="25"/>
      <c r="P19" s="25"/>
      <c r="Q19" s="25"/>
      <c r="R19" s="25"/>
      <c r="S19" s="25"/>
      <c r="T19" s="25"/>
    </row>
    <row r="20" spans="2:20" x14ac:dyDescent="0.3">
      <c r="B20" s="25"/>
      <c r="C20" s="25"/>
      <c r="D20" s="25"/>
      <c r="E20" s="25"/>
      <c r="F20" s="25"/>
      <c r="G20" s="25"/>
      <c r="H20" s="25"/>
      <c r="I20" s="25"/>
      <c r="J20" s="25"/>
      <c r="K20" s="25"/>
      <c r="L20" s="25"/>
      <c r="M20" s="25"/>
      <c r="N20" s="25"/>
      <c r="O20" s="25"/>
      <c r="P20" s="25"/>
      <c r="Q20" s="25"/>
      <c r="R20" s="25"/>
      <c r="S20" s="25"/>
      <c r="T20" s="25"/>
    </row>
    <row r="21" spans="2:20" x14ac:dyDescent="0.3">
      <c r="B21" s="25"/>
      <c r="C21" s="25"/>
      <c r="D21" s="25"/>
      <c r="E21" s="25"/>
      <c r="F21" s="25"/>
      <c r="G21" s="25"/>
      <c r="H21" s="25"/>
      <c r="I21" s="25"/>
      <c r="J21" s="25"/>
      <c r="K21" s="25"/>
      <c r="L21" s="25"/>
      <c r="M21" s="25"/>
      <c r="N21" s="25"/>
      <c r="O21" s="25"/>
      <c r="P21" s="25"/>
      <c r="Q21" s="25"/>
      <c r="R21" s="25"/>
      <c r="S21" s="25"/>
      <c r="T21" s="25"/>
    </row>
    <row r="22" spans="2:20" ht="47.4" customHeight="1" x14ac:dyDescent="0.3">
      <c r="B22" s="25"/>
      <c r="C22" s="25"/>
      <c r="D22" s="25"/>
      <c r="E22" s="25"/>
      <c r="F22" s="25"/>
      <c r="G22" s="25"/>
      <c r="H22" s="25"/>
      <c r="I22" s="25"/>
      <c r="J22" s="25"/>
      <c r="K22" s="25"/>
      <c r="L22" s="25"/>
      <c r="M22" s="25"/>
      <c r="N22" s="25"/>
      <c r="O22" s="25"/>
      <c r="P22" s="25"/>
      <c r="Q22" s="25"/>
      <c r="R22" s="25"/>
      <c r="S22" s="25"/>
      <c r="T22" s="25"/>
    </row>
    <row r="23" spans="2:20" x14ac:dyDescent="0.3">
      <c r="B23" s="25"/>
      <c r="C23" s="25"/>
      <c r="D23" s="25"/>
      <c r="E23" s="25"/>
      <c r="F23" s="25"/>
      <c r="G23" s="25"/>
      <c r="H23" s="25"/>
      <c r="I23" s="25"/>
      <c r="J23" s="25"/>
      <c r="K23" s="25"/>
      <c r="L23" s="25"/>
      <c r="M23" s="25"/>
      <c r="N23" s="25"/>
      <c r="O23" s="25"/>
      <c r="P23" s="25"/>
      <c r="Q23" s="25"/>
      <c r="R23" s="25"/>
      <c r="S23" s="25"/>
      <c r="T23" s="25"/>
    </row>
    <row r="24" spans="2:20" x14ac:dyDescent="0.3">
      <c r="B24" s="25"/>
      <c r="C24" s="25"/>
      <c r="D24" s="25"/>
      <c r="E24" s="25"/>
      <c r="F24" s="25"/>
      <c r="G24" s="25"/>
      <c r="H24" s="25"/>
      <c r="I24" s="25"/>
      <c r="J24" s="25"/>
      <c r="K24" s="25"/>
      <c r="L24" s="25"/>
      <c r="M24" s="25"/>
      <c r="N24" s="25"/>
      <c r="O24" s="25"/>
      <c r="P24" s="25"/>
      <c r="Q24" s="25"/>
      <c r="R24" s="25"/>
      <c r="S24" s="25"/>
      <c r="T24" s="25"/>
    </row>
  </sheetData>
  <mergeCells count="6">
    <mergeCell ref="G12:H12"/>
    <mergeCell ref="F3:G3"/>
    <mergeCell ref="I3:J3"/>
    <mergeCell ref="G9:I9"/>
    <mergeCell ref="G10:H10"/>
    <mergeCell ref="G11:H11"/>
  </mergeCells>
  <conditionalFormatting sqref="U2">
    <cfRule type="iconSet" priority="1">
      <iconSet iconSet="3Flags" showValue="0" reverse="1">
        <cfvo type="percent" val="0"/>
        <cfvo type="num" val="0"/>
        <cfvo type="num" val="0" gte="0"/>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5E05-9D5F-4509-A904-3E5868E89845}">
  <dimension ref="B3:H9"/>
  <sheetViews>
    <sheetView zoomScaleNormal="100" workbookViewId="0"/>
  </sheetViews>
  <sheetFormatPr defaultRowHeight="14.4" x14ac:dyDescent="0.3"/>
  <cols>
    <col min="1" max="1" width="8.88671875" style="1"/>
    <col min="2" max="2" width="15.77734375" style="1" bestFit="1" customWidth="1"/>
    <col min="3" max="3" width="13.77734375" style="1" customWidth="1"/>
    <col min="4" max="4" width="18.21875" style="1" bestFit="1" customWidth="1"/>
    <col min="5" max="16384" width="8.88671875" style="1"/>
  </cols>
  <sheetData>
    <row r="3" spans="2:8" x14ac:dyDescent="0.3">
      <c r="B3" s="3" t="s">
        <v>13</v>
      </c>
      <c r="C3" s="4" t="s">
        <v>14</v>
      </c>
      <c r="D3" s="4"/>
      <c r="F3" s="39" t="s">
        <v>15</v>
      </c>
      <c r="G3" s="42"/>
      <c r="H3" s="40"/>
    </row>
    <row r="4" spans="2:8" x14ac:dyDescent="0.3">
      <c r="B4" s="3" t="s">
        <v>9</v>
      </c>
      <c r="C4" s="5">
        <v>1000000</v>
      </c>
      <c r="D4" s="4"/>
      <c r="F4" s="8" t="s">
        <v>16</v>
      </c>
      <c r="G4" s="8" t="s">
        <v>17</v>
      </c>
      <c r="H4" s="8" t="s">
        <v>18</v>
      </c>
    </row>
    <row r="5" spans="2:8" x14ac:dyDescent="0.3">
      <c r="B5" s="3" t="s">
        <v>45</v>
      </c>
      <c r="C5" s="5">
        <f>IFERROR((C9-C4),"")</f>
        <v>917888.68291267497</v>
      </c>
      <c r="D5" s="4"/>
      <c r="F5" s="4">
        <v>9</v>
      </c>
      <c r="G5" s="4">
        <v>8</v>
      </c>
      <c r="H5" s="4">
        <v>3</v>
      </c>
    </row>
    <row r="6" spans="2:8" x14ac:dyDescent="0.3">
      <c r="B6" s="3" t="s">
        <v>23</v>
      </c>
      <c r="C6" s="6">
        <f>(F5) + (G5/12) + (H5/365)</f>
        <v>9.6748858447488573</v>
      </c>
      <c r="D6" s="4" t="str" cm="1">
        <f t="array" ref="D6">_xlfn.IFS(C6&lt;7/365, "Less than 7 days", AND(C6&gt;=7/365, C6&lt;3/12), "7 days – 3 months", AND(C6&gt;=3/12, C6&lt;6/12), "3 months – 6 months",AND(C6&gt;=6/12, C6&lt;1), "6 months – 1 year",AND(C6&gt;=1, C6&lt;3), "1 year – 3 years",AND(C6&gt;=3, C6&lt;5), "3 years – 5 years", AND(C6&gt;=5, C6&lt;=10), "5 years – 10 years",TRUE, "Over 10 years")</f>
        <v>5 years – 10 years</v>
      </c>
    </row>
    <row r="7" spans="2:8" x14ac:dyDescent="0.3">
      <c r="B7" s="3" t="s">
        <v>10</v>
      </c>
      <c r="C7" s="7">
        <f>IFERROR(IF(C3="General",VLOOKUP(D6,'(Reference Table)'!C4:E9,2,0),VLOOKUP(D6,'(Reference Table)'!C3:E9,3,0)),"")</f>
        <v>6.7500000000000004E-2</v>
      </c>
      <c r="D7" s="4"/>
    </row>
    <row r="8" spans="2:8" x14ac:dyDescent="0.3">
      <c r="B8" s="3" t="s">
        <v>11</v>
      </c>
      <c r="C8" s="4">
        <f>VLOOKUP(D8,'(Reference Table)'!G3:I6,2,0)</f>
        <v>12</v>
      </c>
      <c r="D8" s="4" t="s">
        <v>22</v>
      </c>
    </row>
    <row r="9" spans="2:8" x14ac:dyDescent="0.3">
      <c r="B9" s="3" t="s">
        <v>12</v>
      </c>
      <c r="C9" s="12">
        <f>IFERROR(ABS(FV(C7/C8,C6*C8,,C4)),"Please Renew")</f>
        <v>1917888.682912675</v>
      </c>
      <c r="D9" s="4"/>
    </row>
  </sheetData>
  <mergeCells count="1">
    <mergeCell ref="F3:H3"/>
  </mergeCells>
  <dataValidations count="1">
    <dataValidation type="list" allowBlank="1" showInputMessage="1" showErrorMessage="1" errorTitle="Inappropriate Selection" sqref="C3" xr:uid="{2F97D325-5485-4E37-88D1-55944EF518A8}">
      <formula1>"General, Senior Citizen"</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3" r:id="rId3" name="Spinner 5">
              <controlPr defaultSize="0" autoPict="0">
                <anchor moveWithCells="1" sizeWithCells="1">
                  <from>
                    <xdr:col>5</xdr:col>
                    <xdr:colOff>22860</xdr:colOff>
                    <xdr:row>4</xdr:row>
                    <xdr:rowOff>22860</xdr:rowOff>
                  </from>
                  <to>
                    <xdr:col>5</xdr:col>
                    <xdr:colOff>327660</xdr:colOff>
                    <xdr:row>4</xdr:row>
                    <xdr:rowOff>160020</xdr:rowOff>
                  </to>
                </anchor>
              </controlPr>
            </control>
          </mc:Choice>
        </mc:AlternateContent>
        <mc:AlternateContent xmlns:mc="http://schemas.openxmlformats.org/markup-compatibility/2006">
          <mc:Choice Requires="x14">
            <control shapeId="2054" r:id="rId4" name="Spinner 6">
              <controlPr defaultSize="0" autoPict="0">
                <anchor moveWithCells="1" sizeWithCells="1">
                  <from>
                    <xdr:col>6</xdr:col>
                    <xdr:colOff>22860</xdr:colOff>
                    <xdr:row>4</xdr:row>
                    <xdr:rowOff>22860</xdr:rowOff>
                  </from>
                  <to>
                    <xdr:col>6</xdr:col>
                    <xdr:colOff>327660</xdr:colOff>
                    <xdr:row>4</xdr:row>
                    <xdr:rowOff>160020</xdr:rowOff>
                  </to>
                </anchor>
              </controlPr>
            </control>
          </mc:Choice>
        </mc:AlternateContent>
        <mc:AlternateContent xmlns:mc="http://schemas.openxmlformats.org/markup-compatibility/2006">
          <mc:Choice Requires="x14">
            <control shapeId="2055" r:id="rId5" name="Spinner 7">
              <controlPr defaultSize="0" autoPict="0">
                <anchor moveWithCells="1" sizeWithCells="1">
                  <from>
                    <xdr:col>7</xdr:col>
                    <xdr:colOff>22860</xdr:colOff>
                    <xdr:row>4</xdr:row>
                    <xdr:rowOff>22860</xdr:rowOff>
                  </from>
                  <to>
                    <xdr:col>7</xdr:col>
                    <xdr:colOff>327660</xdr:colOff>
                    <xdr:row>4</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Inappropriate Selection" xr:uid="{5012026A-26DF-4172-8BF4-1AEE09E3BCD6}">
          <x14:formula1>
            <xm:f>'(Reference Table)'!$G$3:$G$6</xm:f>
          </x14:formula1>
          <xm:sqref>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C29D-65A4-4D7D-B6EF-A8DD32A3A025}">
  <dimension ref="B2:F12"/>
  <sheetViews>
    <sheetView workbookViewId="0">
      <selection activeCell="E15" sqref="E15"/>
    </sheetView>
  </sheetViews>
  <sheetFormatPr defaultRowHeight="14.4" x14ac:dyDescent="0.3"/>
  <cols>
    <col min="1" max="1" width="8.88671875" style="1"/>
    <col min="2" max="2" width="24.88671875" style="1" bestFit="1" customWidth="1"/>
    <col min="3" max="3" width="13.88671875" style="1" bestFit="1" customWidth="1"/>
    <col min="4" max="4" width="8.88671875" style="1"/>
    <col min="5" max="5" width="21.77734375" style="1" bestFit="1" customWidth="1"/>
    <col min="6" max="6" width="18.21875" style="1" customWidth="1"/>
    <col min="7" max="16384" width="8.88671875" style="1"/>
  </cols>
  <sheetData>
    <row r="2" spans="2:6" ht="15" thickBot="1" x14ac:dyDescent="0.35"/>
    <row r="3" spans="2:6" ht="25.8" x14ac:dyDescent="0.5">
      <c r="B3" s="43" t="s">
        <v>37</v>
      </c>
      <c r="C3" s="44"/>
      <c r="E3" s="43" t="s">
        <v>38</v>
      </c>
      <c r="F3" s="44"/>
    </row>
    <row r="4" spans="2:6" x14ac:dyDescent="0.3">
      <c r="B4" s="21" t="s">
        <v>25</v>
      </c>
      <c r="C4" s="15">
        <v>200000</v>
      </c>
      <c r="E4" s="21" t="s">
        <v>31</v>
      </c>
      <c r="F4" s="19">
        <f>IFERROR(VLOOKUP(C9,'(Reference Table)'!G3:I6,2,FALSE),"")</f>
        <v>12</v>
      </c>
    </row>
    <row r="5" spans="2:6" x14ac:dyDescent="0.3">
      <c r="B5" s="21" t="s">
        <v>59</v>
      </c>
      <c r="C5" s="35">
        <f>D5/100</f>
        <v>0.12</v>
      </c>
      <c r="D5" s="24">
        <v>12</v>
      </c>
      <c r="E5" s="22" t="s">
        <v>32</v>
      </c>
      <c r="F5" s="16">
        <f>ABS(FV(C5/F4,C8*F4,,C4))</f>
        <v>363339.33971281827</v>
      </c>
    </row>
    <row r="6" spans="2:6" x14ac:dyDescent="0.3">
      <c r="B6" s="22" t="s">
        <v>26</v>
      </c>
      <c r="C6" s="16">
        <v>15000</v>
      </c>
      <c r="E6" s="22" t="s">
        <v>33</v>
      </c>
      <c r="F6" s="20">
        <f>ABS(FV(C7/F4,C8*F4,C6,,1))</f>
        <v>1237295.4983245982</v>
      </c>
    </row>
    <row r="7" spans="2:6" x14ac:dyDescent="0.3">
      <c r="B7" s="22" t="s">
        <v>60</v>
      </c>
      <c r="C7" s="17">
        <f>D7/100</f>
        <v>0.12</v>
      </c>
      <c r="D7" s="24">
        <v>12</v>
      </c>
      <c r="E7" s="22" t="s">
        <v>34</v>
      </c>
      <c r="F7" s="20">
        <f>F5 + F6</f>
        <v>1600634.8380374163</v>
      </c>
    </row>
    <row r="8" spans="2:6" x14ac:dyDescent="0.3">
      <c r="B8" s="22" t="s">
        <v>27</v>
      </c>
      <c r="C8" s="18">
        <v>5</v>
      </c>
      <c r="E8" s="22" t="s">
        <v>35</v>
      </c>
      <c r="F8" s="20">
        <f>F7 * (1 - (C10))</f>
        <v>1568622.1412766681</v>
      </c>
    </row>
    <row r="9" spans="2:6" ht="15" thickBot="1" x14ac:dyDescent="0.35">
      <c r="B9" s="22" t="s">
        <v>28</v>
      </c>
      <c r="C9" s="18" t="s">
        <v>22</v>
      </c>
      <c r="E9" s="23" t="s">
        <v>36</v>
      </c>
      <c r="F9" s="13">
        <f>F8-((F8-(C4+(C6*C8*F4)))*C11)</f>
        <v>1474897.7130213345</v>
      </c>
    </row>
    <row r="10" spans="2:6" x14ac:dyDescent="0.3">
      <c r="B10" s="22" t="s">
        <v>29</v>
      </c>
      <c r="C10" s="17">
        <v>0.02</v>
      </c>
      <c r="F10" s="36"/>
    </row>
    <row r="11" spans="2:6" ht="15" thickBot="1" x14ac:dyDescent="0.35">
      <c r="B11" s="23" t="s">
        <v>30</v>
      </c>
      <c r="C11" s="14">
        <v>0.2</v>
      </c>
      <c r="F11" s="37"/>
    </row>
    <row r="12" spans="2:6" x14ac:dyDescent="0.3">
      <c r="F12" s="37"/>
    </row>
  </sheetData>
  <mergeCells count="2">
    <mergeCell ref="E3:F3"/>
    <mergeCell ref="B3:C3"/>
  </mergeCells>
  <dataValidations count="1">
    <dataValidation type="list" allowBlank="1" showInputMessage="1" showErrorMessage="1" sqref="C9" xr:uid="{C3C5E576-0788-45DD-A85E-E3F15D3F4CBA}">
      <formula1>"Annual, Semi-Annual, Quarterly, Monthly"</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4" r:id="rId3" name="Spinner 2">
              <controlPr defaultSize="0" autoPict="0">
                <anchor moveWithCells="1" sizeWithCells="1">
                  <from>
                    <xdr:col>2</xdr:col>
                    <xdr:colOff>30480</xdr:colOff>
                    <xdr:row>6</xdr:row>
                    <xdr:rowOff>22860</xdr:rowOff>
                  </from>
                  <to>
                    <xdr:col>2</xdr:col>
                    <xdr:colOff>403860</xdr:colOff>
                    <xdr:row>6</xdr:row>
                    <xdr:rowOff>160020</xdr:rowOff>
                  </to>
                </anchor>
              </controlPr>
            </control>
          </mc:Choice>
        </mc:AlternateContent>
        <mc:AlternateContent xmlns:mc="http://schemas.openxmlformats.org/markup-compatibility/2006">
          <mc:Choice Requires="x14">
            <control shapeId="8199" r:id="rId4" name="Spinner 7">
              <controlPr defaultSize="0" autoPict="0">
                <anchor moveWithCells="1" sizeWithCells="1">
                  <from>
                    <xdr:col>2</xdr:col>
                    <xdr:colOff>30480</xdr:colOff>
                    <xdr:row>7</xdr:row>
                    <xdr:rowOff>22860</xdr:rowOff>
                  </from>
                  <to>
                    <xdr:col>2</xdr:col>
                    <xdr:colOff>403860</xdr:colOff>
                    <xdr:row>7</xdr:row>
                    <xdr:rowOff>160020</xdr:rowOff>
                  </to>
                </anchor>
              </controlPr>
            </control>
          </mc:Choice>
        </mc:AlternateContent>
        <mc:AlternateContent xmlns:mc="http://schemas.openxmlformats.org/markup-compatibility/2006">
          <mc:Choice Requires="x14">
            <control shapeId="8200" r:id="rId5" name="Spinner 8">
              <controlPr defaultSize="0" autoPict="0">
                <anchor moveWithCells="1" sizeWithCells="1">
                  <from>
                    <xdr:col>2</xdr:col>
                    <xdr:colOff>22860</xdr:colOff>
                    <xdr:row>4</xdr:row>
                    <xdr:rowOff>30480</xdr:rowOff>
                  </from>
                  <to>
                    <xdr:col>2</xdr:col>
                    <xdr:colOff>396240</xdr:colOff>
                    <xdr:row>4</xdr:row>
                    <xdr:rowOff>167640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EE9A-A8E6-4194-A2CB-BAB436653E44}">
  <dimension ref="C2:F4526"/>
  <sheetViews>
    <sheetView workbookViewId="0">
      <selection activeCell="D6" sqref="D6"/>
    </sheetView>
  </sheetViews>
  <sheetFormatPr defaultRowHeight="14.4" x14ac:dyDescent="0.3"/>
  <cols>
    <col min="1" max="3" width="8.88671875" style="1"/>
    <col min="4" max="4" width="13.6640625" style="1" customWidth="1"/>
    <col min="5" max="5" width="13.6640625" style="1" bestFit="1" customWidth="1"/>
    <col min="6" max="6" width="13.88671875" style="1" bestFit="1" customWidth="1"/>
    <col min="7" max="16384" width="8.88671875" style="1"/>
  </cols>
  <sheetData>
    <row r="2" spans="3:6" ht="31.2" x14ac:dyDescent="0.6">
      <c r="C2" s="45" t="s">
        <v>44</v>
      </c>
      <c r="D2" s="45"/>
      <c r="E2" s="45"/>
      <c r="F2" s="45"/>
    </row>
    <row r="4" spans="3:6" x14ac:dyDescent="0.3">
      <c r="C4" s="26" t="s">
        <v>40</v>
      </c>
      <c r="D4" s="26" t="s">
        <v>41</v>
      </c>
      <c r="E4" s="26" t="s">
        <v>42</v>
      </c>
      <c r="F4" s="26" t="s">
        <v>43</v>
      </c>
    </row>
    <row r="5" spans="3:6" x14ac:dyDescent="0.3">
      <c r="C5" s="1">
        <v>1</v>
      </c>
      <c r="D5" s="27">
        <f>IF(C5&lt;='Investment Calculator'!$C$8*'Investment Calculator'!$F$4,'Investment Calculator'!$C$6,"")</f>
        <v>15000</v>
      </c>
      <c r="E5" s="27">
        <f>IFERROR(D5*'Investment Calculator'!C7/'Investment Calculator'!F4,"")</f>
        <v>150</v>
      </c>
      <c r="F5" s="27">
        <f>IFERROR(ABS(FV('Investment Calculator'!$C$7/'Investment Calculator'!$F$4,'SIP Schedule'!C5,'SIP Schedule'!D5,,1)),"")</f>
        <v>15150.000000000013</v>
      </c>
    </row>
    <row r="6" spans="3:6" x14ac:dyDescent="0.3">
      <c r="C6" s="1">
        <f>IF(C5&lt;'Investment Calculator'!$C$8*'Investment Calculator'!$F$4,'SIP Schedule'!C5+1,"")</f>
        <v>2</v>
      </c>
      <c r="D6" s="27">
        <f>IF(C6&lt;='Investment Calculator'!$C$8*'Investment Calculator'!$F$4,'Investment Calculator'!$C$6,"")</f>
        <v>15000</v>
      </c>
      <c r="E6" s="27">
        <f>IFERROR((F5+D6)*'Investment Calculator'!$C$7/'Investment Calculator'!$F$4,"")</f>
        <v>301.50000000000017</v>
      </c>
      <c r="F6" s="27">
        <f>IFERROR(ABS(FV('Investment Calculator'!$C$7/'Investment Calculator'!$F$4,'SIP Schedule'!C6,'SIP Schedule'!D6,,1)),"")</f>
        <v>30451.500000000015</v>
      </c>
    </row>
    <row r="7" spans="3:6" x14ac:dyDescent="0.3">
      <c r="C7" s="1">
        <f>IF(C6&lt;'Investment Calculator'!$C$8*'Investment Calculator'!$F$4,'SIP Schedule'!C6+1,"")</f>
        <v>3</v>
      </c>
      <c r="D7" s="27">
        <f>IF(C7&lt;='Investment Calculator'!$C$8*'Investment Calculator'!$F$4,'Investment Calculator'!$C$6,"")</f>
        <v>15000</v>
      </c>
      <c r="E7" s="27">
        <f>IFERROR((F6+D7)*'Investment Calculator'!$C$7/'Investment Calculator'!$F$4,"")</f>
        <v>454.5150000000001</v>
      </c>
      <c r="F7" s="27">
        <f>IFERROR(ABS(FV('Investment Calculator'!$C$7/'Investment Calculator'!$F$4,'SIP Schedule'!C7,'SIP Schedule'!D7,,1)),"")</f>
        <v>45906.014999999868</v>
      </c>
    </row>
    <row r="8" spans="3:6" x14ac:dyDescent="0.3">
      <c r="C8" s="1">
        <f>IF(C7&lt;'Investment Calculator'!$C$8*'Investment Calculator'!$F$4,'SIP Schedule'!C7+1,"")</f>
        <v>4</v>
      </c>
      <c r="D8" s="27">
        <f>IF(C8&lt;='Investment Calculator'!$C$8*'Investment Calculator'!$F$4,'Investment Calculator'!$C$6,"")</f>
        <v>15000</v>
      </c>
      <c r="E8" s="27">
        <f>IFERROR((F7+D8)*'Investment Calculator'!$C$7/'Investment Calculator'!$F$4,"")</f>
        <v>609.06014999999866</v>
      </c>
      <c r="F8" s="27">
        <f>IFERROR(ABS(FV('Investment Calculator'!$C$7/'Investment Calculator'!$F$4,'SIP Schedule'!C8,'SIP Schedule'!D8,,1)),"")</f>
        <v>61515.075150000033</v>
      </c>
    </row>
    <row r="9" spans="3:6" x14ac:dyDescent="0.3">
      <c r="C9" s="1">
        <f>IF(C8&lt;'Investment Calculator'!$C$8*'Investment Calculator'!$F$4,'SIP Schedule'!C8+1,"")</f>
        <v>5</v>
      </c>
      <c r="D9" s="27">
        <f>IF(C9&lt;='Investment Calculator'!$C$8*'Investment Calculator'!$F$4,'Investment Calculator'!$C$6,"")</f>
        <v>15000</v>
      </c>
      <c r="E9" s="27">
        <f>IFERROR((F8+D9)*'Investment Calculator'!$C$7/'Investment Calculator'!$F$4,"")</f>
        <v>765.1507515000003</v>
      </c>
      <c r="F9" s="27">
        <f>IFERROR(ABS(FV('Investment Calculator'!$C$7/'Investment Calculator'!$F$4,'SIP Schedule'!C9,'SIP Schedule'!D9,,1)),"")</f>
        <v>77280.2259014999</v>
      </c>
    </row>
    <row r="10" spans="3:6" x14ac:dyDescent="0.3">
      <c r="C10" s="1">
        <f>IF(C9&lt;'Investment Calculator'!$C$8*'Investment Calculator'!$F$4,'SIP Schedule'!C9+1,"")</f>
        <v>6</v>
      </c>
      <c r="D10" s="27">
        <f>IF(C10&lt;='Investment Calculator'!$C$8*'Investment Calculator'!$F$4,'Investment Calculator'!$C$6,"")</f>
        <v>15000</v>
      </c>
      <c r="E10" s="27">
        <f>IFERROR((F9+D10)*'Investment Calculator'!$C$7/'Investment Calculator'!$F$4,"")</f>
        <v>922.80225901499898</v>
      </c>
      <c r="F10" s="27">
        <f>IFERROR(ABS(FV('Investment Calculator'!$C$7/'Investment Calculator'!$F$4,'SIP Schedule'!C10,'SIP Schedule'!D10,,1)),"")</f>
        <v>93203.028160515198</v>
      </c>
    </row>
    <row r="11" spans="3:6" x14ac:dyDescent="0.3">
      <c r="C11" s="1">
        <f>IF(C10&lt;'Investment Calculator'!$C$8*'Investment Calculator'!$F$4,'SIP Schedule'!C10+1,"")</f>
        <v>7</v>
      </c>
      <c r="D11" s="27">
        <f>IF(C11&lt;='Investment Calculator'!$C$8*'Investment Calculator'!$F$4,'Investment Calculator'!$C$6,"")</f>
        <v>15000</v>
      </c>
      <c r="E11" s="27">
        <f>IFERROR((F10+D11)*'Investment Calculator'!$C$7/'Investment Calculator'!$F$4,"")</f>
        <v>1082.0302816051519</v>
      </c>
      <c r="F11" s="27">
        <f>IFERROR(ABS(FV('Investment Calculator'!$C$7/'Investment Calculator'!$F$4,'SIP Schedule'!C11,'SIP Schedule'!D11,,1)),"")</f>
        <v>109285.05844211989</v>
      </c>
    </row>
    <row r="12" spans="3:6" x14ac:dyDescent="0.3">
      <c r="C12" s="1">
        <f>IF(C11&lt;'Investment Calculator'!$C$8*'Investment Calculator'!$F$4,'SIP Schedule'!C11+1,"")</f>
        <v>8</v>
      </c>
      <c r="D12" s="27">
        <f>IF(C12&lt;='Investment Calculator'!$C$8*'Investment Calculator'!$F$4,'Investment Calculator'!$C$6,"")</f>
        <v>15000</v>
      </c>
      <c r="E12" s="27">
        <f>IFERROR((F11+D12)*'Investment Calculator'!$C$7/'Investment Calculator'!$F$4,"")</f>
        <v>1242.8505844211988</v>
      </c>
      <c r="F12" s="27">
        <f>IFERROR(ABS(FV('Investment Calculator'!$C$7/'Investment Calculator'!$F$4,'SIP Schedule'!C12,'SIP Schedule'!D12,,1)),"")</f>
        <v>125527.90902654153</v>
      </c>
    </row>
    <row r="13" spans="3:6" x14ac:dyDescent="0.3">
      <c r="C13" s="1">
        <f>IF(C12&lt;'Investment Calculator'!$C$8*'Investment Calculator'!$F$4,'SIP Schedule'!C12+1,"")</f>
        <v>9</v>
      </c>
      <c r="D13" s="27">
        <f>IF(C13&lt;='Investment Calculator'!$C$8*'Investment Calculator'!$F$4,'Investment Calculator'!$C$6,"")</f>
        <v>15000</v>
      </c>
      <c r="E13" s="27">
        <f>IFERROR((F12+D13)*'Investment Calculator'!$C$7/'Investment Calculator'!$F$4,"")</f>
        <v>1405.2790902654151</v>
      </c>
      <c r="F13" s="27">
        <f>IFERROR(ABS(FV('Investment Calculator'!$C$7/'Investment Calculator'!$F$4,'SIP Schedule'!C13,'SIP Schedule'!D13,,1)),"")</f>
        <v>141933.18811680708</v>
      </c>
    </row>
    <row r="14" spans="3:6" x14ac:dyDescent="0.3">
      <c r="C14" s="1">
        <f>IF(C13&lt;'Investment Calculator'!$C$8*'Investment Calculator'!$F$4,'SIP Schedule'!C13+1,"")</f>
        <v>10</v>
      </c>
      <c r="D14" s="27">
        <f>IF(C14&lt;='Investment Calculator'!$C$8*'Investment Calculator'!$F$4,'Investment Calculator'!$C$6,"")</f>
        <v>15000</v>
      </c>
      <c r="E14" s="27">
        <f>IFERROR((F13+D14)*'Investment Calculator'!$C$7/'Investment Calculator'!$F$4,"")</f>
        <v>1569.3318811680708</v>
      </c>
      <c r="F14" s="27">
        <f>IFERROR(ABS(FV('Investment Calculator'!$C$7/'Investment Calculator'!$F$4,'SIP Schedule'!C14,'SIP Schedule'!D14,,1)),"")</f>
        <v>158502.51999797518</v>
      </c>
    </row>
    <row r="15" spans="3:6" x14ac:dyDescent="0.3">
      <c r="C15" s="1">
        <f>IF(C14&lt;'Investment Calculator'!$C$8*'Investment Calculator'!$F$4,'SIP Schedule'!C14+1,"")</f>
        <v>11</v>
      </c>
      <c r="D15" s="27">
        <f>IF(C15&lt;='Investment Calculator'!$C$8*'Investment Calculator'!$F$4,'Investment Calculator'!$C$6,"")</f>
        <v>15000</v>
      </c>
      <c r="E15" s="27">
        <f>IFERROR((F14+D15)*'Investment Calculator'!$C$7/'Investment Calculator'!$F$4,"")</f>
        <v>1735.0251999797517</v>
      </c>
      <c r="F15" s="27">
        <f>IFERROR(ABS(FV('Investment Calculator'!$C$7/'Investment Calculator'!$F$4,'SIP Schedule'!C15,'SIP Schedule'!D15,,1)),"")</f>
        <v>175237.54519795458</v>
      </c>
    </row>
    <row r="16" spans="3:6" x14ac:dyDescent="0.3">
      <c r="C16" s="1">
        <f>IF(C15&lt;'Investment Calculator'!$C$8*'Investment Calculator'!$F$4,'SIP Schedule'!C15+1,"")</f>
        <v>12</v>
      </c>
      <c r="D16" s="27">
        <f>IF(C16&lt;='Investment Calculator'!$C$8*'Investment Calculator'!$F$4,'Investment Calculator'!$C$6,"")</f>
        <v>15000</v>
      </c>
      <c r="E16" s="27">
        <f>IFERROR((F15+D16)*'Investment Calculator'!$C$7/'Investment Calculator'!$F$4,"")</f>
        <v>1902.3754519795457</v>
      </c>
      <c r="F16" s="27">
        <f>IFERROR(ABS(FV('Investment Calculator'!$C$7/'Investment Calculator'!$F$4,'SIP Schedule'!C16,'SIP Schedule'!D16,,1)),"")</f>
        <v>192139.92064993421</v>
      </c>
    </row>
    <row r="17" spans="3:6" x14ac:dyDescent="0.3">
      <c r="C17" s="1">
        <f>IF(C16&lt;'Investment Calculator'!$C$8*'Investment Calculator'!$F$4,'SIP Schedule'!C16+1,"")</f>
        <v>13</v>
      </c>
      <c r="D17" s="27">
        <f>IF(C17&lt;='Investment Calculator'!$C$8*'Investment Calculator'!$F$4,'Investment Calculator'!$C$6,"")</f>
        <v>15000</v>
      </c>
      <c r="E17" s="27">
        <f>IFERROR((F16+D17)*'Investment Calculator'!$C$7/'Investment Calculator'!$F$4,"")</f>
        <v>2071.3992064993422</v>
      </c>
      <c r="F17" s="27">
        <f>IFERROR(ABS(FV('Investment Calculator'!$C$7/'Investment Calculator'!$F$4,'SIP Schedule'!C17,'SIP Schedule'!D17,,1)),"")</f>
        <v>209211.31985643361</v>
      </c>
    </row>
    <row r="18" spans="3:6" x14ac:dyDescent="0.3">
      <c r="C18" s="1">
        <f>IF(C17&lt;'Investment Calculator'!$C$8*'Investment Calculator'!$F$4,'SIP Schedule'!C17+1,"")</f>
        <v>14</v>
      </c>
      <c r="D18" s="27">
        <f>IF(C18&lt;='Investment Calculator'!$C$8*'Investment Calculator'!$F$4,'Investment Calculator'!$C$6,"")</f>
        <v>15000</v>
      </c>
      <c r="E18" s="27">
        <f>IFERROR((F17+D18)*'Investment Calculator'!$C$7/'Investment Calculator'!$F$4,"")</f>
        <v>2242.113198564336</v>
      </c>
      <c r="F18" s="27">
        <f>IFERROR(ABS(FV('Investment Calculator'!$C$7/'Investment Calculator'!$F$4,'SIP Schedule'!C18,'SIP Schedule'!D18,,1)),"")</f>
        <v>226453.43305499817</v>
      </c>
    </row>
    <row r="19" spans="3:6" x14ac:dyDescent="0.3">
      <c r="C19" s="1">
        <f>IF(C18&lt;'Investment Calculator'!$C$8*'Investment Calculator'!$F$4,'SIP Schedule'!C18+1,"")</f>
        <v>15</v>
      </c>
      <c r="D19" s="27">
        <f>IF(C19&lt;='Investment Calculator'!$C$8*'Investment Calculator'!$F$4,'Investment Calculator'!$C$6,"")</f>
        <v>15000</v>
      </c>
      <c r="E19" s="27">
        <f>IFERROR((F18+D19)*'Investment Calculator'!$C$7/'Investment Calculator'!$F$4,"")</f>
        <v>2414.5343305499814</v>
      </c>
      <c r="F19" s="27">
        <f>IFERROR(ABS(FV('Investment Calculator'!$C$7/'Investment Calculator'!$F$4,'SIP Schedule'!C19,'SIP Schedule'!D19,,1)),"")</f>
        <v>243867.96738554767</v>
      </c>
    </row>
    <row r="20" spans="3:6" x14ac:dyDescent="0.3">
      <c r="C20" s="1">
        <f>IF(C19&lt;'Investment Calculator'!$C$8*'Investment Calculator'!$F$4,'SIP Schedule'!C19+1,"")</f>
        <v>16</v>
      </c>
      <c r="D20" s="27">
        <f>IF(C20&lt;='Investment Calculator'!$C$8*'Investment Calculator'!$F$4,'Investment Calculator'!$C$6,"")</f>
        <v>15000</v>
      </c>
      <c r="E20" s="27">
        <f>IFERROR((F19+D20)*'Investment Calculator'!$C$7/'Investment Calculator'!$F$4,"")</f>
        <v>2588.6796738554767</v>
      </c>
      <c r="F20" s="27">
        <f>IFERROR(ABS(FV('Investment Calculator'!$C$7/'Investment Calculator'!$F$4,'SIP Schedule'!C20,'SIP Schedule'!D20,,1)),"")</f>
        <v>261456.64705940368</v>
      </c>
    </row>
    <row r="21" spans="3:6" x14ac:dyDescent="0.3">
      <c r="C21" s="1">
        <f>IF(C20&lt;'Investment Calculator'!$C$8*'Investment Calculator'!$F$4,'SIP Schedule'!C20+1,"")</f>
        <v>17</v>
      </c>
      <c r="D21" s="27">
        <f>IF(C21&lt;='Investment Calculator'!$C$8*'Investment Calculator'!$F$4,'Investment Calculator'!$C$6,"")</f>
        <v>15000</v>
      </c>
      <c r="E21" s="27">
        <f>IFERROR((F20+D21)*'Investment Calculator'!$C$7/'Investment Calculator'!$F$4,"")</f>
        <v>2764.5664705940367</v>
      </c>
      <c r="F21" s="27">
        <f>IFERROR(ABS(FV('Investment Calculator'!$C$7/'Investment Calculator'!$F$4,'SIP Schedule'!C21,'SIP Schedule'!D21,,1)),"")</f>
        <v>279221.2135299978</v>
      </c>
    </row>
    <row r="22" spans="3:6" x14ac:dyDescent="0.3">
      <c r="C22" s="1">
        <f>IF(C21&lt;'Investment Calculator'!$C$8*'Investment Calculator'!$F$4,'SIP Schedule'!C21+1,"")</f>
        <v>18</v>
      </c>
      <c r="D22" s="27">
        <f>IF(C22&lt;='Investment Calculator'!$C$8*'Investment Calculator'!$F$4,'Investment Calculator'!$C$6,"")</f>
        <v>15000</v>
      </c>
      <c r="E22" s="27">
        <f>IFERROR((F21+D22)*'Investment Calculator'!$C$7/'Investment Calculator'!$F$4,"")</f>
        <v>2942.2121352999779</v>
      </c>
      <c r="F22" s="27">
        <f>IFERROR(ABS(FV('Investment Calculator'!$C$7/'Investment Calculator'!$F$4,'SIP Schedule'!C22,'SIP Schedule'!D22,,1)),"")</f>
        <v>297163.42566529784</v>
      </c>
    </row>
    <row r="23" spans="3:6" x14ac:dyDescent="0.3">
      <c r="C23" s="1">
        <f>IF(C22&lt;'Investment Calculator'!$C$8*'Investment Calculator'!$F$4,'SIP Schedule'!C22+1,"")</f>
        <v>19</v>
      </c>
      <c r="D23" s="27">
        <f>IF(C23&lt;='Investment Calculator'!$C$8*'Investment Calculator'!$F$4,'Investment Calculator'!$C$6,"")</f>
        <v>15000</v>
      </c>
      <c r="E23" s="27">
        <f>IFERROR((F22+D23)*'Investment Calculator'!$C$7/'Investment Calculator'!$F$4,"")</f>
        <v>3121.6342566529784</v>
      </c>
      <c r="F23" s="27">
        <f>IFERROR(ABS(FV('Investment Calculator'!$C$7/'Investment Calculator'!$F$4,'SIP Schedule'!C23,'SIP Schedule'!D23,,1)),"")</f>
        <v>315285.05992195033</v>
      </c>
    </row>
    <row r="24" spans="3:6" x14ac:dyDescent="0.3">
      <c r="C24" s="1">
        <f>IF(C23&lt;'Investment Calculator'!$C$8*'Investment Calculator'!$F$4,'SIP Schedule'!C23+1,"")</f>
        <v>20</v>
      </c>
      <c r="D24" s="27">
        <f>IF(C24&lt;='Investment Calculator'!$C$8*'Investment Calculator'!$F$4,'Investment Calculator'!$C$6,"")</f>
        <v>15000</v>
      </c>
      <c r="E24" s="27">
        <f>IFERROR((F23+D24)*'Investment Calculator'!$C$7/'Investment Calculator'!$F$4,"")</f>
        <v>3302.8505992195028</v>
      </c>
      <c r="F24" s="27">
        <f>IFERROR(ABS(FV('Investment Calculator'!$C$7/'Investment Calculator'!$F$4,'SIP Schedule'!C24,'SIP Schedule'!D24,,1)),"")</f>
        <v>333587.91052117007</v>
      </c>
    </row>
    <row r="25" spans="3:6" x14ac:dyDescent="0.3">
      <c r="C25" s="1">
        <f>IF(C24&lt;'Investment Calculator'!$C$8*'Investment Calculator'!$F$4,'SIP Schedule'!C24+1,"")</f>
        <v>21</v>
      </c>
      <c r="D25" s="27">
        <f>IF(C25&lt;='Investment Calculator'!$C$8*'Investment Calculator'!$F$4,'Investment Calculator'!$C$6,"")</f>
        <v>15000</v>
      </c>
      <c r="E25" s="27">
        <f>IFERROR((F24+D25)*'Investment Calculator'!$C$7/'Investment Calculator'!$F$4,"")</f>
        <v>3485.8791052117008</v>
      </c>
      <c r="F25" s="27">
        <f>IFERROR(ABS(FV('Investment Calculator'!$C$7/'Investment Calculator'!$F$4,'SIP Schedule'!C25,'SIP Schedule'!D25,,1)),"")</f>
        <v>352073.78962638159</v>
      </c>
    </row>
    <row r="26" spans="3:6" x14ac:dyDescent="0.3">
      <c r="C26" s="1">
        <f>IF(C25&lt;'Investment Calculator'!$C$8*'Investment Calculator'!$F$4,'SIP Schedule'!C25+1,"")</f>
        <v>22</v>
      </c>
      <c r="D26" s="27">
        <f>IF(C26&lt;='Investment Calculator'!$C$8*'Investment Calculator'!$F$4,'Investment Calculator'!$C$6,"")</f>
        <v>15000</v>
      </c>
      <c r="E26" s="27">
        <f>IFERROR((F25+D26)*'Investment Calculator'!$C$7/'Investment Calculator'!$F$4,"")</f>
        <v>3670.7378962638159</v>
      </c>
      <c r="F26" s="27">
        <f>IFERROR(ABS(FV('Investment Calculator'!$C$7/'Investment Calculator'!$F$4,'SIP Schedule'!C26,'SIP Schedule'!D26,,1)),"")</f>
        <v>370744.52752264589</v>
      </c>
    </row>
    <row r="27" spans="3:6" x14ac:dyDescent="0.3">
      <c r="C27" s="1">
        <f>IF(C26&lt;'Investment Calculator'!$C$8*'Investment Calculator'!$F$4,'SIP Schedule'!C26+1,"")</f>
        <v>23</v>
      </c>
      <c r="D27" s="27">
        <f>IF(C27&lt;='Investment Calculator'!$C$8*'Investment Calculator'!$F$4,'Investment Calculator'!$C$6,"")</f>
        <v>15000</v>
      </c>
      <c r="E27" s="27">
        <f>IFERROR((F26+D27)*'Investment Calculator'!$C$7/'Investment Calculator'!$F$4,"")</f>
        <v>3857.4452752264588</v>
      </c>
      <c r="F27" s="27">
        <f>IFERROR(ABS(FV('Investment Calculator'!$C$7/'Investment Calculator'!$F$4,'SIP Schedule'!C27,'SIP Schedule'!D27,,1)),"")</f>
        <v>389601.97279787203</v>
      </c>
    </row>
    <row r="28" spans="3:6" x14ac:dyDescent="0.3">
      <c r="C28" s="1">
        <f>IF(C27&lt;'Investment Calculator'!$C$8*'Investment Calculator'!$F$4,'SIP Schedule'!C27+1,"")</f>
        <v>24</v>
      </c>
      <c r="D28" s="27">
        <f>IF(C28&lt;='Investment Calculator'!$C$8*'Investment Calculator'!$F$4,'Investment Calculator'!$C$6,"")</f>
        <v>15000</v>
      </c>
      <c r="E28" s="27">
        <f>IFERROR((F27+D28)*'Investment Calculator'!$C$7/'Investment Calculator'!$F$4,"")</f>
        <v>4046.0197279787203</v>
      </c>
      <c r="F28" s="27">
        <f>IFERROR(ABS(FV('Investment Calculator'!$C$7/'Investment Calculator'!$F$4,'SIP Schedule'!C28,'SIP Schedule'!D28,,1)),"")</f>
        <v>408647.99252585118</v>
      </c>
    </row>
    <row r="29" spans="3:6" x14ac:dyDescent="0.3">
      <c r="C29" s="1">
        <f>IF(C28&lt;'Investment Calculator'!$C$8*'Investment Calculator'!$F$4,'SIP Schedule'!C28+1,"")</f>
        <v>25</v>
      </c>
      <c r="D29" s="27">
        <f>IF(C29&lt;='Investment Calculator'!$C$8*'Investment Calculator'!$F$4,'Investment Calculator'!$C$6,"")</f>
        <v>15000</v>
      </c>
      <c r="E29" s="27">
        <f>IFERROR((F28+D29)*'Investment Calculator'!$C$7/'Investment Calculator'!$F$4,"")</f>
        <v>4236.4799252585117</v>
      </c>
      <c r="F29" s="27">
        <f>IFERROR(ABS(FV('Investment Calculator'!$C$7/'Investment Calculator'!$F$4,'SIP Schedule'!C29,'SIP Schedule'!D29,,1)),"")</f>
        <v>427884.47245110985</v>
      </c>
    </row>
    <row r="30" spans="3:6" x14ac:dyDescent="0.3">
      <c r="C30" s="1">
        <f>IF(C29&lt;'Investment Calculator'!$C$8*'Investment Calculator'!$F$4,'SIP Schedule'!C29+1,"")</f>
        <v>26</v>
      </c>
      <c r="D30" s="27">
        <f>IF(C30&lt;='Investment Calculator'!$C$8*'Investment Calculator'!$F$4,'Investment Calculator'!$C$6,"")</f>
        <v>15000</v>
      </c>
      <c r="E30" s="27">
        <f>IFERROR((F29+D30)*'Investment Calculator'!$C$7/'Investment Calculator'!$F$4,"")</f>
        <v>4428.8447245110983</v>
      </c>
      <c r="F30" s="27">
        <f>IFERROR(ABS(FV('Investment Calculator'!$C$7/'Investment Calculator'!$F$4,'SIP Schedule'!C30,'SIP Schedule'!D30,,1)),"")</f>
        <v>447313.31717562093</v>
      </c>
    </row>
    <row r="31" spans="3:6" x14ac:dyDescent="0.3">
      <c r="C31" s="1">
        <f>IF(C30&lt;'Investment Calculator'!$C$8*'Investment Calculator'!$F$4,'SIP Schedule'!C30+1,"")</f>
        <v>27</v>
      </c>
      <c r="D31" s="27">
        <f>IF(C31&lt;='Investment Calculator'!$C$8*'Investment Calculator'!$F$4,'Investment Calculator'!$C$6,"")</f>
        <v>15000</v>
      </c>
      <c r="E31" s="27">
        <f>IFERROR((F30+D31)*'Investment Calculator'!$C$7/'Investment Calculator'!$F$4,"")</f>
        <v>4623.1331717562089</v>
      </c>
      <c r="F31" s="27">
        <f>IFERROR(ABS(FV('Investment Calculator'!$C$7/'Investment Calculator'!$F$4,'SIP Schedule'!C31,'SIP Schedule'!D31,,1)),"")</f>
        <v>466936.45034737652</v>
      </c>
    </row>
    <row r="32" spans="3:6" x14ac:dyDescent="0.3">
      <c r="C32" s="1">
        <f>IF(C31&lt;'Investment Calculator'!$C$8*'Investment Calculator'!$F$4,'SIP Schedule'!C31+1,"")</f>
        <v>28</v>
      </c>
      <c r="D32" s="27">
        <f>IF(C32&lt;='Investment Calculator'!$C$8*'Investment Calculator'!$F$4,'Investment Calculator'!$C$6,"")</f>
        <v>15000</v>
      </c>
      <c r="E32" s="27">
        <f>IFERROR((F31+D32)*'Investment Calculator'!$C$7/'Investment Calculator'!$F$4,"")</f>
        <v>4819.3645034737647</v>
      </c>
      <c r="F32" s="27">
        <f>IFERROR(ABS(FV('Investment Calculator'!$C$7/'Investment Calculator'!$F$4,'SIP Schedule'!C32,'SIP Schedule'!D32,,1)),"")</f>
        <v>486755.8148508505</v>
      </c>
    </row>
    <row r="33" spans="3:6" x14ac:dyDescent="0.3">
      <c r="C33" s="1">
        <f>IF(C32&lt;'Investment Calculator'!$C$8*'Investment Calculator'!$F$4,'SIP Schedule'!C32+1,"")</f>
        <v>29</v>
      </c>
      <c r="D33" s="27">
        <f>IF(C33&lt;='Investment Calculator'!$C$8*'Investment Calculator'!$F$4,'Investment Calculator'!$C$6,"")</f>
        <v>15000</v>
      </c>
      <c r="E33" s="27">
        <f>IFERROR((F32+D33)*'Investment Calculator'!$C$7/'Investment Calculator'!$F$4,"")</f>
        <v>5017.5581485085049</v>
      </c>
      <c r="F33" s="27">
        <f>IFERROR(ABS(FV('Investment Calculator'!$C$7/'Investment Calculator'!$F$4,'SIP Schedule'!C33,'SIP Schedule'!D33,,1)),"")</f>
        <v>506773.37299935898</v>
      </c>
    </row>
    <row r="34" spans="3:6" x14ac:dyDescent="0.3">
      <c r="C34" s="1">
        <f>IF(C33&lt;'Investment Calculator'!$C$8*'Investment Calculator'!$F$4,'SIP Schedule'!C33+1,"")</f>
        <v>30</v>
      </c>
      <c r="D34" s="27">
        <f>IF(C34&lt;='Investment Calculator'!$C$8*'Investment Calculator'!$F$4,'Investment Calculator'!$C$6,"")</f>
        <v>15000</v>
      </c>
      <c r="E34" s="27">
        <f>IFERROR((F33+D34)*'Investment Calculator'!$C$7/'Investment Calculator'!$F$4,"")</f>
        <v>5217.7337299935898</v>
      </c>
      <c r="F34" s="27">
        <f>IFERROR(ABS(FV('Investment Calculator'!$C$7/'Investment Calculator'!$F$4,'SIP Schedule'!C34,'SIP Schedule'!D34,,1)),"")</f>
        <v>526991.10672935296</v>
      </c>
    </row>
    <row r="35" spans="3:6" x14ac:dyDescent="0.3">
      <c r="C35" s="1">
        <f>IF(C34&lt;'Investment Calculator'!$C$8*'Investment Calculator'!$F$4,'SIP Schedule'!C34+1,"")</f>
        <v>31</v>
      </c>
      <c r="D35" s="27">
        <f>IF(C35&lt;='Investment Calculator'!$C$8*'Investment Calculator'!$F$4,'Investment Calculator'!$C$6,"")</f>
        <v>15000</v>
      </c>
      <c r="E35" s="27">
        <f>IFERROR((F34+D35)*'Investment Calculator'!$C$7/'Investment Calculator'!$F$4,"")</f>
        <v>5419.9110672935294</v>
      </c>
      <c r="F35" s="27">
        <f>IFERROR(ABS(FV('Investment Calculator'!$C$7/'Investment Calculator'!$F$4,'SIP Schedule'!C35,'SIP Schedule'!D35,,1)),"")</f>
        <v>547411.01779664576</v>
      </c>
    </row>
    <row r="36" spans="3:6" x14ac:dyDescent="0.3">
      <c r="C36" s="1">
        <f>IF(C35&lt;'Investment Calculator'!$C$8*'Investment Calculator'!$F$4,'SIP Schedule'!C35+1,"")</f>
        <v>32</v>
      </c>
      <c r="D36" s="27">
        <f>IF(C36&lt;='Investment Calculator'!$C$8*'Investment Calculator'!$F$4,'Investment Calculator'!$C$6,"")</f>
        <v>15000</v>
      </c>
      <c r="E36" s="27">
        <f>IFERROR((F35+D36)*'Investment Calculator'!$C$7/'Investment Calculator'!$F$4,"")</f>
        <v>5624.1101779664568</v>
      </c>
      <c r="F36" s="27">
        <f>IFERROR(ABS(FV('Investment Calculator'!$C$7/'Investment Calculator'!$F$4,'SIP Schedule'!C36,'SIP Schedule'!D36,,1)),"")</f>
        <v>568035.12797461275</v>
      </c>
    </row>
    <row r="37" spans="3:6" x14ac:dyDescent="0.3">
      <c r="C37" s="1">
        <f>IF(C36&lt;'Investment Calculator'!$C$8*'Investment Calculator'!$F$4,'SIP Schedule'!C36+1,"")</f>
        <v>33</v>
      </c>
      <c r="D37" s="27">
        <f>IF(C37&lt;='Investment Calculator'!$C$8*'Investment Calculator'!$F$4,'Investment Calculator'!$C$6,"")</f>
        <v>15000</v>
      </c>
      <c r="E37" s="27">
        <f>IFERROR((F36+D37)*'Investment Calculator'!$C$7/'Investment Calculator'!$F$4,"")</f>
        <v>5830.3512797461271</v>
      </c>
      <c r="F37" s="27">
        <f>IFERROR(ABS(FV('Investment Calculator'!$C$7/'Investment Calculator'!$F$4,'SIP Schedule'!C37,'SIP Schedule'!D37,,1)),"")</f>
        <v>588865.47925435903</v>
      </c>
    </row>
    <row r="38" spans="3:6" x14ac:dyDescent="0.3">
      <c r="C38" s="1">
        <f>IF(C37&lt;'Investment Calculator'!$C$8*'Investment Calculator'!$F$4,'SIP Schedule'!C37+1,"")</f>
        <v>34</v>
      </c>
      <c r="D38" s="27">
        <f>IF(C38&lt;='Investment Calculator'!$C$8*'Investment Calculator'!$F$4,'Investment Calculator'!$C$6,"")</f>
        <v>15000</v>
      </c>
      <c r="E38" s="27">
        <f>IFERROR((F37+D38)*'Investment Calculator'!$C$7/'Investment Calculator'!$F$4,"")</f>
        <v>6038.6547925435907</v>
      </c>
      <c r="F38" s="27">
        <f>IFERROR(ABS(FV('Investment Calculator'!$C$7/'Investment Calculator'!$F$4,'SIP Schedule'!C38,'SIP Schedule'!D38,,1)),"")</f>
        <v>609904.13404690265</v>
      </c>
    </row>
    <row r="39" spans="3:6" x14ac:dyDescent="0.3">
      <c r="C39" s="1">
        <f>IF(C38&lt;'Investment Calculator'!$C$8*'Investment Calculator'!$F$4,'SIP Schedule'!C38+1,"")</f>
        <v>35</v>
      </c>
      <c r="D39" s="27">
        <f>IF(C39&lt;='Investment Calculator'!$C$8*'Investment Calculator'!$F$4,'Investment Calculator'!$C$6,"")</f>
        <v>15000</v>
      </c>
      <c r="E39" s="27">
        <f>IFERROR((F38+D39)*'Investment Calculator'!$C$7/'Investment Calculator'!$F$4,"")</f>
        <v>6249.0413404690262</v>
      </c>
      <c r="F39" s="27">
        <f>IFERROR(ABS(FV('Investment Calculator'!$C$7/'Investment Calculator'!$F$4,'SIP Schedule'!C39,'SIP Schedule'!D39,,1)),"")</f>
        <v>631153.17538737133</v>
      </c>
    </row>
    <row r="40" spans="3:6" x14ac:dyDescent="0.3">
      <c r="C40" s="1">
        <f>IF(C39&lt;'Investment Calculator'!$C$8*'Investment Calculator'!$F$4,'SIP Schedule'!C39+1,"")</f>
        <v>36</v>
      </c>
      <c r="D40" s="27">
        <f>IF(C40&lt;='Investment Calculator'!$C$8*'Investment Calculator'!$F$4,'Investment Calculator'!$C$6,"")</f>
        <v>15000</v>
      </c>
      <c r="E40" s="27">
        <f>IFERROR((F39+D40)*'Investment Calculator'!$C$7/'Investment Calculator'!$F$4,"")</f>
        <v>6461.5317538737136</v>
      </c>
      <c r="F40" s="27">
        <f>IFERROR(ABS(FV('Investment Calculator'!$C$7/'Investment Calculator'!$F$4,'SIP Schedule'!C40,'SIP Schedule'!D40,,1)),"")</f>
        <v>652614.70714124525</v>
      </c>
    </row>
    <row r="41" spans="3:6" x14ac:dyDescent="0.3">
      <c r="C41" s="1">
        <f>IF(C40&lt;'Investment Calculator'!$C$8*'Investment Calculator'!$F$4,'SIP Schedule'!C40+1,"")</f>
        <v>37</v>
      </c>
      <c r="D41" s="27">
        <f>IF(C41&lt;='Investment Calculator'!$C$8*'Investment Calculator'!$F$4,'Investment Calculator'!$C$6,"")</f>
        <v>15000</v>
      </c>
      <c r="E41" s="27">
        <f>IFERROR((F40+D41)*'Investment Calculator'!$C$7/'Investment Calculator'!$F$4,"")</f>
        <v>6676.1470714124525</v>
      </c>
      <c r="F41" s="27">
        <f>IFERROR(ABS(FV('Investment Calculator'!$C$7/'Investment Calculator'!$F$4,'SIP Schedule'!C41,'SIP Schedule'!D41,,1)),"")</f>
        <v>674290.85421265766</v>
      </c>
    </row>
    <row r="42" spans="3:6" x14ac:dyDescent="0.3">
      <c r="C42" s="1">
        <f>IF(C41&lt;'Investment Calculator'!$C$8*'Investment Calculator'!$F$4,'SIP Schedule'!C41+1,"")</f>
        <v>38</v>
      </c>
      <c r="D42" s="27">
        <f>IF(C42&lt;='Investment Calculator'!$C$8*'Investment Calculator'!$F$4,'Investment Calculator'!$C$6,"")</f>
        <v>15000</v>
      </c>
      <c r="E42" s="27">
        <f>IFERROR((F41+D42)*'Investment Calculator'!$C$7/'Investment Calculator'!$F$4,"")</f>
        <v>6892.9085421265763</v>
      </c>
      <c r="F42" s="27">
        <f>IFERROR(ABS(FV('Investment Calculator'!$C$7/'Investment Calculator'!$F$4,'SIP Schedule'!C42,'SIP Schedule'!D42,,1)),"")</f>
        <v>696183.76275478455</v>
      </c>
    </row>
    <row r="43" spans="3:6" x14ac:dyDescent="0.3">
      <c r="C43" s="1">
        <f>IF(C42&lt;'Investment Calculator'!$C$8*'Investment Calculator'!$F$4,'SIP Schedule'!C42+1,"")</f>
        <v>39</v>
      </c>
      <c r="D43" s="27">
        <f>IF(C43&lt;='Investment Calculator'!$C$8*'Investment Calculator'!$F$4,'Investment Calculator'!$C$6,"")</f>
        <v>15000</v>
      </c>
      <c r="E43" s="27">
        <f>IFERROR((F42+D43)*'Investment Calculator'!$C$7/'Investment Calculator'!$F$4,"")</f>
        <v>7111.8376275478449</v>
      </c>
      <c r="F43" s="27">
        <f>IFERROR(ABS(FV('Investment Calculator'!$C$7/'Investment Calculator'!$F$4,'SIP Schedule'!C43,'SIP Schedule'!D43,,1)),"")</f>
        <v>718295.60038233176</v>
      </c>
    </row>
    <row r="44" spans="3:6" x14ac:dyDescent="0.3">
      <c r="C44" s="1">
        <f>IF(C43&lt;'Investment Calculator'!$C$8*'Investment Calculator'!$F$4,'SIP Schedule'!C43+1,"")</f>
        <v>40</v>
      </c>
      <c r="D44" s="27">
        <f>IF(C44&lt;='Investment Calculator'!$C$8*'Investment Calculator'!$F$4,'Investment Calculator'!$C$6,"")</f>
        <v>15000</v>
      </c>
      <c r="E44" s="27">
        <f>IFERROR((F43+D44)*'Investment Calculator'!$C$7/'Investment Calculator'!$F$4,"")</f>
        <v>7332.9560038233176</v>
      </c>
      <c r="F44" s="27">
        <f>IFERROR(ABS(FV('Investment Calculator'!$C$7/'Investment Calculator'!$F$4,'SIP Schedule'!C44,'SIP Schedule'!D44,,1)),"")</f>
        <v>740628.55638615566</v>
      </c>
    </row>
    <row r="45" spans="3:6" x14ac:dyDescent="0.3">
      <c r="C45" s="1">
        <f>IF(C44&lt;'Investment Calculator'!$C$8*'Investment Calculator'!$F$4,'SIP Schedule'!C44+1,"")</f>
        <v>41</v>
      </c>
      <c r="D45" s="27">
        <f>IF(C45&lt;='Investment Calculator'!$C$8*'Investment Calculator'!$F$4,'Investment Calculator'!$C$6,"")</f>
        <v>15000</v>
      </c>
      <c r="E45" s="27">
        <f>IFERROR((F44+D45)*'Investment Calculator'!$C$7/'Investment Calculator'!$F$4,"")</f>
        <v>7556.2855638615556</v>
      </c>
      <c r="F45" s="27">
        <f>IFERROR(ABS(FV('Investment Calculator'!$C$7/'Investment Calculator'!$F$4,'SIP Schedule'!C45,'SIP Schedule'!D45,,1)),"")</f>
        <v>763184.84195001738</v>
      </c>
    </row>
    <row r="46" spans="3:6" x14ac:dyDescent="0.3">
      <c r="C46" s="1">
        <f>IF(C45&lt;'Investment Calculator'!$C$8*'Investment Calculator'!$F$4,'SIP Schedule'!C45+1,"")</f>
        <v>42</v>
      </c>
      <c r="D46" s="27">
        <f>IF(C46&lt;='Investment Calculator'!$C$8*'Investment Calculator'!$F$4,'Investment Calculator'!$C$6,"")</f>
        <v>15000</v>
      </c>
      <c r="E46" s="27">
        <f>IFERROR((F45+D46)*'Investment Calculator'!$C$7/'Investment Calculator'!$F$4,"")</f>
        <v>7781.8484195001729</v>
      </c>
      <c r="F46" s="27">
        <f>IFERROR(ABS(FV('Investment Calculator'!$C$7/'Investment Calculator'!$F$4,'SIP Schedule'!C46,'SIP Schedule'!D46,,1)),"")</f>
        <v>785966.69036951789</v>
      </c>
    </row>
    <row r="47" spans="3:6" x14ac:dyDescent="0.3">
      <c r="C47" s="1">
        <f>IF(C46&lt;'Investment Calculator'!$C$8*'Investment Calculator'!$F$4,'SIP Schedule'!C46+1,"")</f>
        <v>43</v>
      </c>
      <c r="D47" s="27">
        <f>IF(C47&lt;='Investment Calculator'!$C$8*'Investment Calculator'!$F$4,'Investment Calculator'!$C$6,"")</f>
        <v>15000</v>
      </c>
      <c r="E47" s="27">
        <f>IFERROR((F46+D47)*'Investment Calculator'!$C$7/'Investment Calculator'!$F$4,"")</f>
        <v>8009.6669036951789</v>
      </c>
      <c r="F47" s="27">
        <f>IFERROR(ABS(FV('Investment Calculator'!$C$7/'Investment Calculator'!$F$4,'SIP Schedule'!C47,'SIP Schedule'!D47,,1)),"")</f>
        <v>808976.3572732124</v>
      </c>
    </row>
    <row r="48" spans="3:6" x14ac:dyDescent="0.3">
      <c r="C48" s="1">
        <f>IF(C47&lt;'Investment Calculator'!$C$8*'Investment Calculator'!$F$4,'SIP Schedule'!C47+1,"")</f>
        <v>44</v>
      </c>
      <c r="D48" s="27">
        <f>IF(C48&lt;='Investment Calculator'!$C$8*'Investment Calculator'!$F$4,'Investment Calculator'!$C$6,"")</f>
        <v>15000</v>
      </c>
      <c r="E48" s="27">
        <f>IFERROR((F47+D48)*'Investment Calculator'!$C$7/'Investment Calculator'!$F$4,"")</f>
        <v>8239.7635727321231</v>
      </c>
      <c r="F48" s="27">
        <f>IFERROR(ABS(FV('Investment Calculator'!$C$7/'Investment Calculator'!$F$4,'SIP Schedule'!C48,'SIP Schedule'!D48,,1)),"")</f>
        <v>832216.12084594462</v>
      </c>
    </row>
    <row r="49" spans="3:6" x14ac:dyDescent="0.3">
      <c r="C49" s="1">
        <f>IF(C48&lt;'Investment Calculator'!$C$8*'Investment Calculator'!$F$4,'SIP Schedule'!C48+1,"")</f>
        <v>45</v>
      </c>
      <c r="D49" s="27">
        <f>IF(C49&lt;='Investment Calculator'!$C$8*'Investment Calculator'!$F$4,'Investment Calculator'!$C$6,"")</f>
        <v>15000</v>
      </c>
      <c r="E49" s="27">
        <f>IFERROR((F48+D49)*'Investment Calculator'!$C$7/'Investment Calculator'!$F$4,"")</f>
        <v>8472.1612084594453</v>
      </c>
      <c r="F49" s="27">
        <f>IFERROR(ABS(FV('Investment Calculator'!$C$7/'Investment Calculator'!$F$4,'SIP Schedule'!C49,'SIP Schedule'!D49,,1)),"")</f>
        <v>855688.28205440415</v>
      </c>
    </row>
    <row r="50" spans="3:6" x14ac:dyDescent="0.3">
      <c r="C50" s="1">
        <f>IF(C49&lt;'Investment Calculator'!$C$8*'Investment Calculator'!$F$4,'SIP Schedule'!C49+1,"")</f>
        <v>46</v>
      </c>
      <c r="D50" s="27">
        <f>IF(C50&lt;='Investment Calculator'!$C$8*'Investment Calculator'!$F$4,'Investment Calculator'!$C$6,"")</f>
        <v>15000</v>
      </c>
      <c r="E50" s="27">
        <f>IFERROR((F49+D50)*'Investment Calculator'!$C$7/'Investment Calculator'!$F$4,"")</f>
        <v>8706.8828205440423</v>
      </c>
      <c r="F50" s="27">
        <f>IFERROR(ABS(FV('Investment Calculator'!$C$7/'Investment Calculator'!$F$4,'SIP Schedule'!C50,'SIP Schedule'!D50,,1)),"")</f>
        <v>879395.16487494856</v>
      </c>
    </row>
    <row r="51" spans="3:6" x14ac:dyDescent="0.3">
      <c r="C51" s="1">
        <f>IF(C50&lt;'Investment Calculator'!$C$8*'Investment Calculator'!$F$4,'SIP Schedule'!C50+1,"")</f>
        <v>47</v>
      </c>
      <c r="D51" s="27">
        <f>IF(C51&lt;='Investment Calculator'!$C$8*'Investment Calculator'!$F$4,'Investment Calculator'!$C$6,"")</f>
        <v>15000</v>
      </c>
      <c r="E51" s="27">
        <f>IFERROR((F50+D51)*'Investment Calculator'!$C$7/'Investment Calculator'!$F$4,"")</f>
        <v>8943.9516487494857</v>
      </c>
      <c r="F51" s="27">
        <f>IFERROR(ABS(FV('Investment Calculator'!$C$7/'Investment Calculator'!$F$4,'SIP Schedule'!C51,'SIP Schedule'!D51,,1)),"")</f>
        <v>903339.11652369727</v>
      </c>
    </row>
    <row r="52" spans="3:6" x14ac:dyDescent="0.3">
      <c r="C52" s="1">
        <f>IF(C51&lt;'Investment Calculator'!$C$8*'Investment Calculator'!$F$4,'SIP Schedule'!C51+1,"")</f>
        <v>48</v>
      </c>
      <c r="D52" s="27">
        <f>IF(C52&lt;='Investment Calculator'!$C$8*'Investment Calculator'!$F$4,'Investment Calculator'!$C$6,"")</f>
        <v>15000</v>
      </c>
      <c r="E52" s="27">
        <f>IFERROR((F51+D52)*'Investment Calculator'!$C$7/'Investment Calculator'!$F$4,"")</f>
        <v>9183.3911652369734</v>
      </c>
      <c r="F52" s="27">
        <f>IFERROR(ABS(FV('Investment Calculator'!$C$7/'Investment Calculator'!$F$4,'SIP Schedule'!C52,'SIP Schedule'!D52,,1)),"")</f>
        <v>927522.50768893491</v>
      </c>
    </row>
    <row r="53" spans="3:6" x14ac:dyDescent="0.3">
      <c r="C53" s="1">
        <f>IF(C52&lt;'Investment Calculator'!$C$8*'Investment Calculator'!$F$4,'SIP Schedule'!C52+1,"")</f>
        <v>49</v>
      </c>
      <c r="D53" s="27">
        <f>IF(C53&lt;='Investment Calculator'!$C$8*'Investment Calculator'!$F$4,'Investment Calculator'!$C$6,"")</f>
        <v>15000</v>
      </c>
      <c r="E53" s="27">
        <f>IFERROR((F52+D53)*'Investment Calculator'!$C$7/'Investment Calculator'!$F$4,"")</f>
        <v>9425.2250768893482</v>
      </c>
      <c r="F53" s="27">
        <f>IFERROR(ABS(FV('Investment Calculator'!$C$7/'Investment Calculator'!$F$4,'SIP Schedule'!C53,'SIP Schedule'!D53,,1)),"")</f>
        <v>951947.73276582442</v>
      </c>
    </row>
    <row r="54" spans="3:6" x14ac:dyDescent="0.3">
      <c r="C54" s="1">
        <f>IF(C53&lt;'Investment Calculator'!$C$8*'Investment Calculator'!$F$4,'SIP Schedule'!C53+1,"")</f>
        <v>50</v>
      </c>
      <c r="D54" s="27">
        <f>IF(C54&lt;='Investment Calculator'!$C$8*'Investment Calculator'!$F$4,'Investment Calculator'!$C$6,"")</f>
        <v>15000</v>
      </c>
      <c r="E54" s="27">
        <f>IFERROR((F53+D54)*'Investment Calculator'!$C$7/'Investment Calculator'!$F$4,"")</f>
        <v>9669.4773276582437</v>
      </c>
      <c r="F54" s="27">
        <f>IFERROR(ABS(FV('Investment Calculator'!$C$7/'Investment Calculator'!$F$4,'SIP Schedule'!C54,'SIP Schedule'!D54,,1)),"")</f>
        <v>976617.2100934831</v>
      </c>
    </row>
    <row r="55" spans="3:6" x14ac:dyDescent="0.3">
      <c r="C55" s="1">
        <f>IF(C54&lt;'Investment Calculator'!$C$8*'Investment Calculator'!$F$4,'SIP Schedule'!C54+1,"")</f>
        <v>51</v>
      </c>
      <c r="D55" s="27">
        <f>IF(C55&lt;='Investment Calculator'!$C$8*'Investment Calculator'!$F$4,'Investment Calculator'!$C$6,"")</f>
        <v>15000</v>
      </c>
      <c r="E55" s="27">
        <f>IFERROR((F54+D55)*'Investment Calculator'!$C$7/'Investment Calculator'!$F$4,"")</f>
        <v>9916.1721009348312</v>
      </c>
      <c r="F55" s="27">
        <f>IFERROR(ABS(FV('Investment Calculator'!$C$7/'Investment Calculator'!$F$4,'SIP Schedule'!C55,'SIP Schedule'!D55,,1)),"")</f>
        <v>1001533.3821944172</v>
      </c>
    </row>
    <row r="56" spans="3:6" x14ac:dyDescent="0.3">
      <c r="C56" s="1">
        <f>IF(C55&lt;'Investment Calculator'!$C$8*'Investment Calculator'!$F$4,'SIP Schedule'!C55+1,"")</f>
        <v>52</v>
      </c>
      <c r="D56" s="27">
        <f>IF(C56&lt;='Investment Calculator'!$C$8*'Investment Calculator'!$F$4,'Investment Calculator'!$C$6,"")</f>
        <v>15000</v>
      </c>
      <c r="E56" s="27">
        <f>IFERROR((F55+D56)*'Investment Calculator'!$C$7/'Investment Calculator'!$F$4,"")</f>
        <v>10165.33382194417</v>
      </c>
      <c r="F56" s="27">
        <f>IFERROR(ABS(FV('Investment Calculator'!$C$7/'Investment Calculator'!$F$4,'SIP Schedule'!C56,'SIP Schedule'!D56,,1)),"")</f>
        <v>1026698.7160163615</v>
      </c>
    </row>
    <row r="57" spans="3:6" x14ac:dyDescent="0.3">
      <c r="C57" s="1">
        <f>IF(C56&lt;'Investment Calculator'!$C$8*'Investment Calculator'!$F$4,'SIP Schedule'!C56+1,"")</f>
        <v>53</v>
      </c>
      <c r="D57" s="27">
        <f>IF(C57&lt;='Investment Calculator'!$C$8*'Investment Calculator'!$F$4,'Investment Calculator'!$C$6,"")</f>
        <v>15000</v>
      </c>
      <c r="E57" s="27">
        <f>IFERROR((F56+D57)*'Investment Calculator'!$C$7/'Investment Calculator'!$F$4,"")</f>
        <v>10416.987160163615</v>
      </c>
      <c r="F57" s="27">
        <f>IFERROR(ABS(FV('Investment Calculator'!$C$7/'Investment Calculator'!$F$4,'SIP Schedule'!C57,'SIP Schedule'!D57,,1)),"")</f>
        <v>1052115.7031765247</v>
      </c>
    </row>
    <row r="58" spans="3:6" x14ac:dyDescent="0.3">
      <c r="C58" s="1">
        <f>IF(C57&lt;'Investment Calculator'!$C$8*'Investment Calculator'!$F$4,'SIP Schedule'!C57+1,"")</f>
        <v>54</v>
      </c>
      <c r="D58" s="27">
        <f>IF(C58&lt;='Investment Calculator'!$C$8*'Investment Calculator'!$F$4,'Investment Calculator'!$C$6,"")</f>
        <v>15000</v>
      </c>
      <c r="E58" s="27">
        <f>IFERROR((F57+D58)*'Investment Calculator'!$C$7/'Investment Calculator'!$F$4,"")</f>
        <v>10671.157031765246</v>
      </c>
      <c r="F58" s="27">
        <f>IFERROR(ABS(FV('Investment Calculator'!$C$7/'Investment Calculator'!$F$4,'SIP Schedule'!C58,'SIP Schedule'!D58,,1)),"")</f>
        <v>1077786.8602082909</v>
      </c>
    </row>
    <row r="59" spans="3:6" x14ac:dyDescent="0.3">
      <c r="C59" s="1">
        <f>IF(C58&lt;'Investment Calculator'!$C$8*'Investment Calculator'!$F$4,'SIP Schedule'!C58+1,"")</f>
        <v>55</v>
      </c>
      <c r="D59" s="27">
        <f>IF(C59&lt;='Investment Calculator'!$C$8*'Investment Calculator'!$F$4,'Investment Calculator'!$C$6,"")</f>
        <v>15000</v>
      </c>
      <c r="E59" s="27">
        <f>IFERROR((F58+D59)*'Investment Calculator'!$C$7/'Investment Calculator'!$F$4,"")</f>
        <v>10927.86860208291</v>
      </c>
      <c r="F59" s="27">
        <f>IFERROR(ABS(FV('Investment Calculator'!$C$7/'Investment Calculator'!$F$4,'SIP Schedule'!C59,'SIP Schedule'!D59,,1)),"")</f>
        <v>1103714.7288103732</v>
      </c>
    </row>
    <row r="60" spans="3:6" x14ac:dyDescent="0.3">
      <c r="C60" s="1">
        <f>IF(C59&lt;'Investment Calculator'!$C$8*'Investment Calculator'!$F$4,'SIP Schedule'!C59+1,"")</f>
        <v>56</v>
      </c>
      <c r="D60" s="27">
        <f>IF(C60&lt;='Investment Calculator'!$C$8*'Investment Calculator'!$F$4,'Investment Calculator'!$C$6,"")</f>
        <v>15000</v>
      </c>
      <c r="E60" s="27">
        <f>IFERROR((F59+D60)*'Investment Calculator'!$C$7/'Investment Calculator'!$F$4,"")</f>
        <v>11187.147288103732</v>
      </c>
      <c r="F60" s="27">
        <f>IFERROR(ABS(FV('Investment Calculator'!$C$7/'Investment Calculator'!$F$4,'SIP Schedule'!C60,'SIP Schedule'!D60,,1)),"")</f>
        <v>1129901.8760984775</v>
      </c>
    </row>
    <row r="61" spans="3:6" x14ac:dyDescent="0.3">
      <c r="C61" s="1">
        <f>IF(C60&lt;'Investment Calculator'!$C$8*'Investment Calculator'!$F$4,'SIP Schedule'!C60+1,"")</f>
        <v>57</v>
      </c>
      <c r="D61" s="27">
        <f>IF(C61&lt;='Investment Calculator'!$C$8*'Investment Calculator'!$F$4,'Investment Calculator'!$C$6,"")</f>
        <v>15000</v>
      </c>
      <c r="E61" s="27">
        <f>IFERROR((F60+D61)*'Investment Calculator'!$C$7/'Investment Calculator'!$F$4,"")</f>
        <v>11449.018760984776</v>
      </c>
      <c r="F61" s="27">
        <f>IFERROR(ABS(FV('Investment Calculator'!$C$7/'Investment Calculator'!$F$4,'SIP Schedule'!C61,'SIP Schedule'!D61,,1)),"")</f>
        <v>1156350.8948594625</v>
      </c>
    </row>
    <row r="62" spans="3:6" x14ac:dyDescent="0.3">
      <c r="C62" s="1">
        <f>IF(C61&lt;'Investment Calculator'!$C$8*'Investment Calculator'!$F$4,'SIP Schedule'!C61+1,"")</f>
        <v>58</v>
      </c>
      <c r="D62" s="27">
        <f>IF(C62&lt;='Investment Calculator'!$C$8*'Investment Calculator'!$F$4,'Investment Calculator'!$C$6,"")</f>
        <v>15000</v>
      </c>
      <c r="E62" s="27">
        <f>IFERROR((F61+D62)*'Investment Calculator'!$C$7/'Investment Calculator'!$F$4,"")</f>
        <v>11713.508948594625</v>
      </c>
      <c r="F62" s="27">
        <f>IFERROR(ABS(FV('Investment Calculator'!$C$7/'Investment Calculator'!$F$4,'SIP Schedule'!C62,'SIP Schedule'!D62,,1)),"")</f>
        <v>1183064.4038080571</v>
      </c>
    </row>
    <row r="63" spans="3:6" x14ac:dyDescent="0.3">
      <c r="C63" s="1">
        <f>IF(C62&lt;'Investment Calculator'!$C$8*'Investment Calculator'!$F$4,'SIP Schedule'!C62+1,"")</f>
        <v>59</v>
      </c>
      <c r="D63" s="27">
        <f>IF(C63&lt;='Investment Calculator'!$C$8*'Investment Calculator'!$F$4,'Investment Calculator'!$C$6,"")</f>
        <v>15000</v>
      </c>
      <c r="E63" s="27">
        <f>IFERROR((F62+D63)*'Investment Calculator'!$C$7/'Investment Calculator'!$F$4,"")</f>
        <v>11980.644038080571</v>
      </c>
      <c r="F63" s="27">
        <f>IFERROR(ABS(FV('Investment Calculator'!$C$7/'Investment Calculator'!$F$4,'SIP Schedule'!C63,'SIP Schedule'!D63,,1)),"")</f>
        <v>1210045.0478461366</v>
      </c>
    </row>
    <row r="64" spans="3:6" x14ac:dyDescent="0.3">
      <c r="C64" s="1">
        <f>IF(C63&lt;'Investment Calculator'!$C$8*'Investment Calculator'!$F$4,'SIP Schedule'!C63+1,"")</f>
        <v>60</v>
      </c>
      <c r="D64" s="27">
        <f>IF(C64&lt;='Investment Calculator'!$C$8*'Investment Calculator'!$F$4,'Investment Calculator'!$C$6,"")</f>
        <v>15000</v>
      </c>
      <c r="E64" s="27">
        <f>IFERROR((F63+D64)*'Investment Calculator'!$C$7/'Investment Calculator'!$F$4,"")</f>
        <v>12250.450478461365</v>
      </c>
      <c r="F64" s="27">
        <f>IFERROR(ABS(FV('Investment Calculator'!$C$7/'Investment Calculator'!$F$4,'SIP Schedule'!C64,'SIP Schedule'!D64,,1)),"")</f>
        <v>1237295.4983245982</v>
      </c>
    </row>
    <row r="65" spans="3:6" x14ac:dyDescent="0.3">
      <c r="C65" s="1" t="str">
        <f>IF(C64&lt;'Investment Calculator'!$C$8*'Investment Calculator'!$F$4,'SIP Schedule'!C64+1,"")</f>
        <v/>
      </c>
      <c r="D65" s="27" t="str">
        <f>IF(C65&lt;='Investment Calculator'!$C$8*'Investment Calculator'!$F$4,'Investment Calculator'!$C$6,"")</f>
        <v/>
      </c>
      <c r="E65" s="27" t="str">
        <f>IFERROR((F64+D65)*'Investment Calculator'!$C$7/'Investment Calculator'!$F$4,"")</f>
        <v/>
      </c>
      <c r="F65" s="27" t="str">
        <f>IFERROR(ABS(FV('Investment Calculator'!$C$7/'Investment Calculator'!$F$4,'SIP Schedule'!C65,'SIP Schedule'!D65,,1)),"")</f>
        <v/>
      </c>
    </row>
    <row r="66" spans="3:6" x14ac:dyDescent="0.3">
      <c r="C66" s="1" t="str">
        <f>IF(C65&lt;'Investment Calculator'!$C$8*'Investment Calculator'!$F$4,'SIP Schedule'!C65+1,"")</f>
        <v/>
      </c>
      <c r="D66" s="27" t="str">
        <f>IF(C66&lt;='Investment Calculator'!$C$8*'Investment Calculator'!$F$4,'Investment Calculator'!$C$6,"")</f>
        <v/>
      </c>
      <c r="E66" s="27" t="str">
        <f>IFERROR((F65+D66)*'Investment Calculator'!$C$7/'Investment Calculator'!$F$4,"")</f>
        <v/>
      </c>
      <c r="F66" s="27" t="str">
        <f>IFERROR(ABS(FV('Investment Calculator'!$C$7/'Investment Calculator'!$F$4,'SIP Schedule'!C66,'SIP Schedule'!D66,,1)),"")</f>
        <v/>
      </c>
    </row>
    <row r="67" spans="3:6" x14ac:dyDescent="0.3">
      <c r="C67" s="1" t="str">
        <f>IF(C66&lt;'Investment Calculator'!$C$8*'Investment Calculator'!$F$4,'SIP Schedule'!C66+1,"")</f>
        <v/>
      </c>
      <c r="D67" s="27" t="str">
        <f>IF(C67&lt;='Investment Calculator'!$C$8*'Investment Calculator'!$F$4,'Investment Calculator'!$C$6,"")</f>
        <v/>
      </c>
      <c r="E67" s="27" t="str">
        <f>IFERROR((F66+D67)*'Investment Calculator'!$C$7/'Investment Calculator'!$F$4,"")</f>
        <v/>
      </c>
      <c r="F67" s="27" t="str">
        <f>IFERROR(ABS(FV('Investment Calculator'!$C$7/'Investment Calculator'!$F$4,'SIP Schedule'!C67,'SIP Schedule'!D67,,1)),"")</f>
        <v/>
      </c>
    </row>
    <row r="68" spans="3:6" x14ac:dyDescent="0.3">
      <c r="C68" s="1" t="str">
        <f>IF(C67&lt;'Investment Calculator'!$C$8*'Investment Calculator'!$F$4,'SIP Schedule'!C67+1,"")</f>
        <v/>
      </c>
      <c r="D68" s="27" t="str">
        <f>IF(C68&lt;='Investment Calculator'!$C$8*'Investment Calculator'!$F$4,'Investment Calculator'!$C$6,"")</f>
        <v/>
      </c>
      <c r="E68" s="27" t="str">
        <f>IFERROR((F67+D68)*'Investment Calculator'!$C$7/'Investment Calculator'!$F$4,"")</f>
        <v/>
      </c>
      <c r="F68" s="27" t="str">
        <f>IFERROR(ABS(FV('Investment Calculator'!$C$7/'Investment Calculator'!$F$4,'SIP Schedule'!C68,'SIP Schedule'!D68,,1)),"")</f>
        <v/>
      </c>
    </row>
    <row r="69" spans="3:6" x14ac:dyDescent="0.3">
      <c r="C69" s="1" t="str">
        <f>IF(C68&lt;'Investment Calculator'!$C$8*'Investment Calculator'!$F$4,'SIP Schedule'!C68+1,"")</f>
        <v/>
      </c>
      <c r="D69" s="27" t="str">
        <f>IF(C69&lt;='Investment Calculator'!$C$8*'Investment Calculator'!$F$4,'Investment Calculator'!$C$6,"")</f>
        <v/>
      </c>
      <c r="E69" s="27" t="str">
        <f>IFERROR((F68+D69)*'Investment Calculator'!$C$7/'Investment Calculator'!$F$4,"")</f>
        <v/>
      </c>
      <c r="F69" s="27" t="str">
        <f>IFERROR(ABS(FV('Investment Calculator'!$C$7/'Investment Calculator'!$F$4,'SIP Schedule'!C69,'SIP Schedule'!D69,,1)),"")</f>
        <v/>
      </c>
    </row>
    <row r="70" spans="3:6" x14ac:dyDescent="0.3">
      <c r="C70" s="1" t="str">
        <f>IF(C69&lt;'Investment Calculator'!$C$8*'Investment Calculator'!$F$4,'SIP Schedule'!C69+1,"")</f>
        <v/>
      </c>
      <c r="D70" s="27" t="str">
        <f>IF(C70&lt;='Investment Calculator'!$C$8*'Investment Calculator'!$F$4,'Investment Calculator'!$C$6,"")</f>
        <v/>
      </c>
      <c r="E70" s="27" t="str">
        <f>IFERROR((F69+D70)*'Investment Calculator'!$C$7/'Investment Calculator'!$F$4,"")</f>
        <v/>
      </c>
      <c r="F70" s="27" t="str">
        <f>IFERROR(ABS(FV('Investment Calculator'!$C$7/'Investment Calculator'!$F$4,'SIP Schedule'!C70,'SIP Schedule'!D70,,1)),"")</f>
        <v/>
      </c>
    </row>
    <row r="71" spans="3:6" x14ac:dyDescent="0.3">
      <c r="C71" s="1" t="str">
        <f>IF(C70&lt;'Investment Calculator'!$C$8*'Investment Calculator'!$F$4,'SIP Schedule'!C70+1,"")</f>
        <v/>
      </c>
      <c r="D71" s="27" t="str">
        <f>IF(C71&lt;='Investment Calculator'!$C$8*'Investment Calculator'!$F$4,'Investment Calculator'!$C$6,"")</f>
        <v/>
      </c>
      <c r="E71" s="27" t="str">
        <f>IFERROR((F70+D71)*'Investment Calculator'!$C$7/'Investment Calculator'!$F$4,"")</f>
        <v/>
      </c>
      <c r="F71" s="27" t="str">
        <f>IFERROR(ABS(FV('Investment Calculator'!$C$7/'Investment Calculator'!$F$4,'SIP Schedule'!C71,'SIP Schedule'!D71,,1)),"")</f>
        <v/>
      </c>
    </row>
    <row r="72" spans="3:6" x14ac:dyDescent="0.3">
      <c r="C72" s="1" t="str">
        <f>IF(C71&lt;'Investment Calculator'!$C$8*'Investment Calculator'!$F$4,'SIP Schedule'!C71+1,"")</f>
        <v/>
      </c>
      <c r="D72" s="27" t="str">
        <f>IF(C72&lt;='Investment Calculator'!$C$8*'Investment Calculator'!$F$4,'Investment Calculator'!$C$6,"")</f>
        <v/>
      </c>
      <c r="E72" s="27" t="str">
        <f>IFERROR((F71+D72)*'Investment Calculator'!$C$7/'Investment Calculator'!$F$4,"")</f>
        <v/>
      </c>
      <c r="F72" s="27" t="str">
        <f>IFERROR(ABS(FV('Investment Calculator'!$C$7/'Investment Calculator'!$F$4,'SIP Schedule'!C72,'SIP Schedule'!D72,,1)),"")</f>
        <v/>
      </c>
    </row>
    <row r="73" spans="3:6" x14ac:dyDescent="0.3">
      <c r="C73" s="1" t="str">
        <f>IF(C72&lt;'Investment Calculator'!$C$8*'Investment Calculator'!$F$4,'SIP Schedule'!C72+1,"")</f>
        <v/>
      </c>
      <c r="D73" s="27" t="str">
        <f>IF(C73&lt;='Investment Calculator'!$C$8*'Investment Calculator'!$F$4,'Investment Calculator'!$C$6,"")</f>
        <v/>
      </c>
      <c r="E73" s="27" t="str">
        <f>IFERROR((F72+D73)*'Investment Calculator'!$C$7/'Investment Calculator'!$F$4,"")</f>
        <v/>
      </c>
      <c r="F73" s="27" t="str">
        <f>IFERROR(ABS(FV('Investment Calculator'!$C$7/'Investment Calculator'!$F$4,'SIP Schedule'!C73,'SIP Schedule'!D73,,1)),"")</f>
        <v/>
      </c>
    </row>
    <row r="74" spans="3:6" x14ac:dyDescent="0.3">
      <c r="C74" s="1" t="str">
        <f>IF(C73&lt;'Investment Calculator'!$C$8*'Investment Calculator'!$F$4,'SIP Schedule'!C73+1,"")</f>
        <v/>
      </c>
      <c r="D74" s="27" t="str">
        <f>IF(C74&lt;='Investment Calculator'!$C$8*'Investment Calculator'!$F$4,'Investment Calculator'!$C$6,"")</f>
        <v/>
      </c>
      <c r="E74" s="27" t="str">
        <f>IFERROR((F73+D74)*'Investment Calculator'!$C$7/'Investment Calculator'!$F$4,"")</f>
        <v/>
      </c>
      <c r="F74" s="27" t="str">
        <f>IFERROR(ABS(FV('Investment Calculator'!$C$7/'Investment Calculator'!$F$4,'SIP Schedule'!C74,'SIP Schedule'!D74,,1)),"")</f>
        <v/>
      </c>
    </row>
    <row r="75" spans="3:6" x14ac:dyDescent="0.3">
      <c r="C75" s="1" t="str">
        <f>IF(C74&lt;'Investment Calculator'!$C$8*'Investment Calculator'!$F$4,'SIP Schedule'!C74+1,"")</f>
        <v/>
      </c>
      <c r="D75" s="27" t="str">
        <f>IF(C75&lt;='Investment Calculator'!$C$8*'Investment Calculator'!$F$4,'Investment Calculator'!$C$6,"")</f>
        <v/>
      </c>
      <c r="E75" s="27" t="str">
        <f>IFERROR((F74+D75)*'Investment Calculator'!$C$7/'Investment Calculator'!$F$4,"")</f>
        <v/>
      </c>
      <c r="F75" s="27" t="str">
        <f>IFERROR(ABS(FV('Investment Calculator'!$C$7/'Investment Calculator'!$F$4,'SIP Schedule'!C75,'SIP Schedule'!D75,,1)),"")</f>
        <v/>
      </c>
    </row>
    <row r="76" spans="3:6" x14ac:dyDescent="0.3">
      <c r="C76" s="1" t="str">
        <f>IF(C75&lt;'Investment Calculator'!$C$8*'Investment Calculator'!$F$4,'SIP Schedule'!C75+1,"")</f>
        <v/>
      </c>
      <c r="D76" s="27" t="str">
        <f>IF(C76&lt;='Investment Calculator'!$C$8*'Investment Calculator'!$F$4,'Investment Calculator'!$C$6,"")</f>
        <v/>
      </c>
      <c r="E76" s="27" t="str">
        <f>IFERROR((F75+D76)*'Investment Calculator'!$C$7/'Investment Calculator'!$F$4,"")</f>
        <v/>
      </c>
      <c r="F76" s="27" t="str">
        <f>IFERROR(ABS(FV('Investment Calculator'!$C$7/'Investment Calculator'!$F$4,'SIP Schedule'!C76,'SIP Schedule'!D76,,1)),"")</f>
        <v/>
      </c>
    </row>
    <row r="77" spans="3:6" x14ac:dyDescent="0.3">
      <c r="C77" s="1" t="str">
        <f>IF(C76&lt;'Investment Calculator'!$C$8*'Investment Calculator'!$F$4,'SIP Schedule'!C76+1,"")</f>
        <v/>
      </c>
      <c r="D77" s="27" t="str">
        <f>IF(C77&lt;='Investment Calculator'!$C$8*'Investment Calculator'!$F$4,'Investment Calculator'!$C$6,"")</f>
        <v/>
      </c>
      <c r="E77" s="27" t="str">
        <f>IFERROR((F76+D77)*'Investment Calculator'!$C$7/'Investment Calculator'!$F$4,"")</f>
        <v/>
      </c>
      <c r="F77" s="27" t="str">
        <f>IFERROR(ABS(FV('Investment Calculator'!$C$7/'Investment Calculator'!$F$4,'SIP Schedule'!C77,'SIP Schedule'!D77,,1)),"")</f>
        <v/>
      </c>
    </row>
    <row r="78" spans="3:6" x14ac:dyDescent="0.3">
      <c r="C78" s="1" t="str">
        <f>IF(C77&lt;'Investment Calculator'!$C$8*'Investment Calculator'!$F$4,'SIP Schedule'!C77+1,"")</f>
        <v/>
      </c>
      <c r="D78" s="27" t="str">
        <f>IF(C78&lt;='Investment Calculator'!$C$8*'Investment Calculator'!$F$4,'Investment Calculator'!$C$6,"")</f>
        <v/>
      </c>
      <c r="E78" s="27" t="str">
        <f>IFERROR((F77+D78)*'Investment Calculator'!$C$7/'Investment Calculator'!$F$4,"")</f>
        <v/>
      </c>
      <c r="F78" s="27" t="str">
        <f>IFERROR(ABS(FV('Investment Calculator'!$C$7/'Investment Calculator'!$F$4,'SIP Schedule'!C78,'SIP Schedule'!D78,,1)),"")</f>
        <v/>
      </c>
    </row>
    <row r="79" spans="3:6" x14ac:dyDescent="0.3">
      <c r="C79" s="1" t="str">
        <f>IF(C78&lt;'Investment Calculator'!$C$8*'Investment Calculator'!$F$4,'SIP Schedule'!C78+1,"")</f>
        <v/>
      </c>
      <c r="D79" s="27" t="str">
        <f>IF(C79&lt;='Investment Calculator'!$C$8*'Investment Calculator'!$F$4,'Investment Calculator'!$C$6,"")</f>
        <v/>
      </c>
      <c r="E79" s="27" t="str">
        <f>IFERROR((F78+D79)*'Investment Calculator'!$C$7/'Investment Calculator'!$F$4,"")</f>
        <v/>
      </c>
      <c r="F79" s="27" t="str">
        <f>IFERROR(ABS(FV('Investment Calculator'!$C$7/'Investment Calculator'!$F$4,'SIP Schedule'!C79,'SIP Schedule'!D79,,1)),"")</f>
        <v/>
      </c>
    </row>
    <row r="80" spans="3:6" x14ac:dyDescent="0.3">
      <c r="C80" s="1" t="str">
        <f>IF(C79&lt;'Investment Calculator'!$C$8*'Investment Calculator'!$F$4,'SIP Schedule'!C79+1,"")</f>
        <v/>
      </c>
      <c r="D80" s="27" t="str">
        <f>IF(C80&lt;='Investment Calculator'!$C$8*'Investment Calculator'!$F$4,'Investment Calculator'!$C$6,"")</f>
        <v/>
      </c>
      <c r="E80" s="27" t="str">
        <f>IFERROR((F79+D80)*'Investment Calculator'!$C$7/'Investment Calculator'!$F$4,"")</f>
        <v/>
      </c>
      <c r="F80" s="27" t="str">
        <f>IFERROR(ABS(FV('Investment Calculator'!$C$7/'Investment Calculator'!$F$4,'SIP Schedule'!C80,'SIP Schedule'!D80,,1)),"")</f>
        <v/>
      </c>
    </row>
    <row r="81" spans="3:6" x14ac:dyDescent="0.3">
      <c r="C81" s="1" t="str">
        <f>IF(C80&lt;'Investment Calculator'!$C$8*'Investment Calculator'!$F$4,'SIP Schedule'!C80+1,"")</f>
        <v/>
      </c>
      <c r="D81" s="27" t="str">
        <f>IF(C81&lt;='Investment Calculator'!$C$8*'Investment Calculator'!$F$4,'Investment Calculator'!$C$6,"")</f>
        <v/>
      </c>
      <c r="E81" s="27" t="str">
        <f>IFERROR((F80+D81)*'Investment Calculator'!$C$7/'Investment Calculator'!$F$4,"")</f>
        <v/>
      </c>
      <c r="F81" s="27" t="str">
        <f>IFERROR(ABS(FV('Investment Calculator'!$C$7/'Investment Calculator'!$F$4,'SIP Schedule'!C81,'SIP Schedule'!D81,,1)),"")</f>
        <v/>
      </c>
    </row>
    <row r="82" spans="3:6" x14ac:dyDescent="0.3">
      <c r="C82" s="1" t="str">
        <f>IF(C81&lt;'Investment Calculator'!$C$8*'Investment Calculator'!$F$4,'SIP Schedule'!C81+1,"")</f>
        <v/>
      </c>
      <c r="D82" s="27" t="str">
        <f>IF(C82&lt;='Investment Calculator'!$C$8*'Investment Calculator'!$F$4,'Investment Calculator'!$C$6,"")</f>
        <v/>
      </c>
      <c r="E82" s="27" t="str">
        <f>IFERROR((F81+D82)*'Investment Calculator'!$C$7/'Investment Calculator'!$F$4,"")</f>
        <v/>
      </c>
      <c r="F82" s="27" t="str">
        <f>IFERROR(ABS(FV('Investment Calculator'!$C$7/'Investment Calculator'!$F$4,'SIP Schedule'!C82,'SIP Schedule'!D82,,1)),"")</f>
        <v/>
      </c>
    </row>
    <row r="83" spans="3:6" x14ac:dyDescent="0.3">
      <c r="C83" s="1" t="str">
        <f>IF(C82&lt;'Investment Calculator'!$C$8*'Investment Calculator'!$F$4,'SIP Schedule'!C82+1,"")</f>
        <v/>
      </c>
      <c r="D83" s="27" t="str">
        <f>IF(C83&lt;='Investment Calculator'!$C$8*'Investment Calculator'!$F$4,'Investment Calculator'!$C$6,"")</f>
        <v/>
      </c>
      <c r="E83" s="27" t="str">
        <f>IFERROR((F82+D83)*'Investment Calculator'!$C$7/'Investment Calculator'!$F$4,"")</f>
        <v/>
      </c>
      <c r="F83" s="27" t="str">
        <f>IFERROR(ABS(FV('Investment Calculator'!$C$7/'Investment Calculator'!$F$4,'SIP Schedule'!C83,'SIP Schedule'!D83,,1)),"")</f>
        <v/>
      </c>
    </row>
    <row r="84" spans="3:6" x14ac:dyDescent="0.3">
      <c r="C84" s="1" t="str">
        <f>IF(C83&lt;'Investment Calculator'!$C$8*'Investment Calculator'!$F$4,'SIP Schedule'!C83+1,"")</f>
        <v/>
      </c>
      <c r="D84" s="27" t="str">
        <f>IF(C84&lt;='Investment Calculator'!$C$8*'Investment Calculator'!$F$4,'Investment Calculator'!$C$6,"")</f>
        <v/>
      </c>
      <c r="E84" s="27" t="str">
        <f>IFERROR((F83+D84)*'Investment Calculator'!$C$7/'Investment Calculator'!$F$4,"")</f>
        <v/>
      </c>
      <c r="F84" s="27" t="str">
        <f>IFERROR(ABS(FV('Investment Calculator'!$C$7/'Investment Calculator'!$F$4,'SIP Schedule'!C84,'SIP Schedule'!D84,,1)),"")</f>
        <v/>
      </c>
    </row>
    <row r="85" spans="3:6" x14ac:dyDescent="0.3">
      <c r="C85" s="1" t="str">
        <f>IF(C84&lt;'Investment Calculator'!$C$8*'Investment Calculator'!$F$4,'SIP Schedule'!C84+1,"")</f>
        <v/>
      </c>
      <c r="D85" s="27" t="str">
        <f>IF(C85&lt;='Investment Calculator'!$C$8*'Investment Calculator'!$F$4,'Investment Calculator'!$C$6,"")</f>
        <v/>
      </c>
      <c r="E85" s="27" t="str">
        <f>IFERROR((F84+D85)*'Investment Calculator'!$C$7/'Investment Calculator'!$F$4,"")</f>
        <v/>
      </c>
      <c r="F85" s="27" t="str">
        <f>IFERROR(ABS(FV('Investment Calculator'!$C$7/'Investment Calculator'!$F$4,'SIP Schedule'!C85,'SIP Schedule'!D85,,1)),"")</f>
        <v/>
      </c>
    </row>
    <row r="86" spans="3:6" x14ac:dyDescent="0.3">
      <c r="C86" s="1" t="str">
        <f>IF(C85&lt;'Investment Calculator'!$C$8*'Investment Calculator'!$F$4,'SIP Schedule'!C85+1,"")</f>
        <v/>
      </c>
      <c r="D86" s="27" t="str">
        <f>IF(C86&lt;='Investment Calculator'!$C$8*'Investment Calculator'!$F$4,'Investment Calculator'!$C$6,"")</f>
        <v/>
      </c>
      <c r="E86" s="27" t="str">
        <f>IFERROR((F85+D86)*'Investment Calculator'!$C$7/'Investment Calculator'!$F$4,"")</f>
        <v/>
      </c>
      <c r="F86" s="27" t="str">
        <f>IFERROR(ABS(FV('Investment Calculator'!$C$7/'Investment Calculator'!$F$4,'SIP Schedule'!C86,'SIP Schedule'!D86,,1)),"")</f>
        <v/>
      </c>
    </row>
    <row r="87" spans="3:6" x14ac:dyDescent="0.3">
      <c r="C87" s="1" t="str">
        <f>IF(C86&lt;'Investment Calculator'!$C$8*'Investment Calculator'!$F$4,'SIP Schedule'!C86+1,"")</f>
        <v/>
      </c>
      <c r="D87" s="27" t="str">
        <f>IF(C87&lt;='Investment Calculator'!$C$8*'Investment Calculator'!$F$4,'Investment Calculator'!$C$6,"")</f>
        <v/>
      </c>
      <c r="E87" s="27" t="str">
        <f>IFERROR((F86+D87)*'Investment Calculator'!$C$7/'Investment Calculator'!$F$4,"")</f>
        <v/>
      </c>
      <c r="F87" s="27" t="str">
        <f>IFERROR(ABS(FV('Investment Calculator'!$C$7/'Investment Calculator'!$F$4,'SIP Schedule'!C87,'SIP Schedule'!D87,,1)),"")</f>
        <v/>
      </c>
    </row>
    <row r="88" spans="3:6" x14ac:dyDescent="0.3">
      <c r="C88" s="1" t="str">
        <f>IF(C87&lt;'Investment Calculator'!$C$8*'Investment Calculator'!$F$4,'SIP Schedule'!C87+1,"")</f>
        <v/>
      </c>
      <c r="D88" s="27" t="str">
        <f>IF(C88&lt;='Investment Calculator'!$C$8*'Investment Calculator'!$F$4,'Investment Calculator'!$C$6,"")</f>
        <v/>
      </c>
      <c r="E88" s="27" t="str">
        <f>IFERROR((F87+D88)*'Investment Calculator'!$C$7/'Investment Calculator'!$F$4,"")</f>
        <v/>
      </c>
      <c r="F88" s="27" t="str">
        <f>IFERROR(ABS(FV('Investment Calculator'!$C$7/'Investment Calculator'!$F$4,'SIP Schedule'!C88,'SIP Schedule'!D88,,1)),"")</f>
        <v/>
      </c>
    </row>
    <row r="89" spans="3:6" x14ac:dyDescent="0.3">
      <c r="C89" s="1" t="str">
        <f>IF(C88&lt;'Investment Calculator'!$C$8*'Investment Calculator'!$F$4,'SIP Schedule'!C88+1,"")</f>
        <v/>
      </c>
      <c r="D89" s="27" t="str">
        <f>IF(C89&lt;='Investment Calculator'!$C$8*'Investment Calculator'!$F$4,'Investment Calculator'!$C$6,"")</f>
        <v/>
      </c>
      <c r="E89" s="27" t="str">
        <f>IFERROR((F88+D89)*'Investment Calculator'!$C$7/'Investment Calculator'!$F$4,"")</f>
        <v/>
      </c>
      <c r="F89" s="27" t="str">
        <f>IFERROR(ABS(FV('Investment Calculator'!$C$7/'Investment Calculator'!$F$4,'SIP Schedule'!C89,'SIP Schedule'!D89,,1)),"")</f>
        <v/>
      </c>
    </row>
    <row r="90" spans="3:6" x14ac:dyDescent="0.3">
      <c r="C90" s="1" t="str">
        <f>IF(C89&lt;'Investment Calculator'!$C$8*'Investment Calculator'!$F$4,'SIP Schedule'!C89+1,"")</f>
        <v/>
      </c>
      <c r="D90" s="27" t="str">
        <f>IF(C90&lt;='Investment Calculator'!$C$8*'Investment Calculator'!$F$4,'Investment Calculator'!$C$6,"")</f>
        <v/>
      </c>
      <c r="E90" s="27" t="str">
        <f>IFERROR((F89+D90)*'Investment Calculator'!$C$7/'Investment Calculator'!$F$4,"")</f>
        <v/>
      </c>
      <c r="F90" s="27" t="str">
        <f>IFERROR(ABS(FV('Investment Calculator'!$C$7/'Investment Calculator'!$F$4,'SIP Schedule'!C90,'SIP Schedule'!D90,,1)),"")</f>
        <v/>
      </c>
    </row>
    <row r="91" spans="3:6" x14ac:dyDescent="0.3">
      <c r="C91" s="1" t="str">
        <f>IF(C90&lt;'Investment Calculator'!$C$8*'Investment Calculator'!$F$4,'SIP Schedule'!C90+1,"")</f>
        <v/>
      </c>
      <c r="D91" s="27" t="str">
        <f>IF(C91&lt;='Investment Calculator'!$C$8*'Investment Calculator'!$F$4,'Investment Calculator'!$C$6,"")</f>
        <v/>
      </c>
      <c r="E91" s="27" t="str">
        <f>IFERROR((F90+D91)*'Investment Calculator'!$C$7/'Investment Calculator'!$F$4,"")</f>
        <v/>
      </c>
      <c r="F91" s="27" t="str">
        <f>IFERROR(ABS(FV('Investment Calculator'!$C$7/'Investment Calculator'!$F$4,'SIP Schedule'!C91,'SIP Schedule'!D91,,1)),"")</f>
        <v/>
      </c>
    </row>
    <row r="92" spans="3:6" x14ac:dyDescent="0.3">
      <c r="C92" s="1" t="str">
        <f>IF(C91&lt;'Investment Calculator'!$C$8*'Investment Calculator'!$F$4,'SIP Schedule'!C91+1,"")</f>
        <v/>
      </c>
      <c r="D92" s="27" t="str">
        <f>IF(C92&lt;='Investment Calculator'!$C$8*'Investment Calculator'!$F$4,'Investment Calculator'!$C$6,"")</f>
        <v/>
      </c>
      <c r="E92" s="27" t="str">
        <f>IFERROR((F91+D92)*'Investment Calculator'!$C$7/'Investment Calculator'!$F$4,"")</f>
        <v/>
      </c>
      <c r="F92" s="27" t="str">
        <f>IFERROR(ABS(FV('Investment Calculator'!$C$7/'Investment Calculator'!$F$4,'SIP Schedule'!C92,'SIP Schedule'!D92,,1)),"")</f>
        <v/>
      </c>
    </row>
    <row r="93" spans="3:6" x14ac:dyDescent="0.3">
      <c r="C93" s="1" t="str">
        <f>IF(C92&lt;'Investment Calculator'!$C$8*'Investment Calculator'!$F$4,'SIP Schedule'!C92+1,"")</f>
        <v/>
      </c>
      <c r="D93" s="27" t="str">
        <f>IF(C93&lt;='Investment Calculator'!$C$8*'Investment Calculator'!$F$4,'Investment Calculator'!$C$6,"")</f>
        <v/>
      </c>
      <c r="E93" s="27" t="str">
        <f>IFERROR((F92+D93)*'Investment Calculator'!$C$7/'Investment Calculator'!$F$4,"")</f>
        <v/>
      </c>
      <c r="F93" s="27" t="str">
        <f>IFERROR(ABS(FV('Investment Calculator'!$C$7/'Investment Calculator'!$F$4,'SIP Schedule'!C93,'SIP Schedule'!D93,,1)),"")</f>
        <v/>
      </c>
    </row>
    <row r="94" spans="3:6" x14ac:dyDescent="0.3">
      <c r="C94" s="1" t="str">
        <f>IF(C93&lt;'Investment Calculator'!$C$8*'Investment Calculator'!$F$4,'SIP Schedule'!C93+1,"")</f>
        <v/>
      </c>
      <c r="D94" s="27" t="str">
        <f>IF(C94&lt;='Investment Calculator'!$C$8*'Investment Calculator'!$F$4,'Investment Calculator'!$C$6,"")</f>
        <v/>
      </c>
      <c r="E94" s="27" t="str">
        <f>IFERROR((F93+D94)*'Investment Calculator'!$C$7/'Investment Calculator'!$F$4,"")</f>
        <v/>
      </c>
      <c r="F94" s="27" t="str">
        <f>IFERROR(ABS(FV('Investment Calculator'!$C$7/'Investment Calculator'!$F$4,'SIP Schedule'!C94,'SIP Schedule'!D94,,1)),"")</f>
        <v/>
      </c>
    </row>
    <row r="95" spans="3:6" x14ac:dyDescent="0.3">
      <c r="C95" s="1" t="str">
        <f>IF(C94&lt;'Investment Calculator'!$C$8*'Investment Calculator'!$F$4,'SIP Schedule'!C94+1,"")</f>
        <v/>
      </c>
      <c r="D95" s="27" t="str">
        <f>IF(C95&lt;='Investment Calculator'!$C$8*'Investment Calculator'!$F$4,'Investment Calculator'!$C$6,"")</f>
        <v/>
      </c>
      <c r="E95" s="27" t="str">
        <f>IFERROR((F94+D95)*'Investment Calculator'!$C$7/'Investment Calculator'!$F$4,"")</f>
        <v/>
      </c>
      <c r="F95" s="27" t="str">
        <f>IFERROR(ABS(FV('Investment Calculator'!$C$7/'Investment Calculator'!$F$4,'SIP Schedule'!C95,'SIP Schedule'!D95,,1)),"")</f>
        <v/>
      </c>
    </row>
    <row r="96" spans="3:6" x14ac:dyDescent="0.3">
      <c r="C96" s="1" t="str">
        <f>IF(C95&lt;'Investment Calculator'!$C$8*'Investment Calculator'!$F$4,'SIP Schedule'!C95+1,"")</f>
        <v/>
      </c>
      <c r="D96" s="27" t="str">
        <f>IF(C96&lt;='Investment Calculator'!$C$8*'Investment Calculator'!$F$4,'Investment Calculator'!$C$6,"")</f>
        <v/>
      </c>
      <c r="E96" s="27" t="str">
        <f>IFERROR((F95+D96)*'Investment Calculator'!$C$7/'Investment Calculator'!$F$4,"")</f>
        <v/>
      </c>
      <c r="F96" s="27" t="str">
        <f>IFERROR(ABS(FV('Investment Calculator'!$C$7/'Investment Calculator'!$F$4,'SIP Schedule'!C96,'SIP Schedule'!D96,,1)),"")</f>
        <v/>
      </c>
    </row>
    <row r="97" spans="3:6" x14ac:dyDescent="0.3">
      <c r="C97" s="1" t="str">
        <f>IF(C96&lt;'Investment Calculator'!$C$8*'Investment Calculator'!$F$4,'SIP Schedule'!C96+1,"")</f>
        <v/>
      </c>
      <c r="D97" s="27" t="str">
        <f>IF(C97&lt;='Investment Calculator'!$C$8*'Investment Calculator'!$F$4,'Investment Calculator'!$C$6,"")</f>
        <v/>
      </c>
      <c r="E97" s="27" t="str">
        <f>IFERROR((F96+D97)*'Investment Calculator'!$C$7/'Investment Calculator'!$F$4,"")</f>
        <v/>
      </c>
      <c r="F97" s="27" t="str">
        <f>IFERROR(ABS(FV('Investment Calculator'!$C$7/'Investment Calculator'!$F$4,'SIP Schedule'!C97,'SIP Schedule'!D97,,1)),"")</f>
        <v/>
      </c>
    </row>
    <row r="98" spans="3:6" x14ac:dyDescent="0.3">
      <c r="C98" s="1" t="str">
        <f>IF(C97&lt;'Investment Calculator'!$C$8*'Investment Calculator'!$F$4,'SIP Schedule'!C97+1,"")</f>
        <v/>
      </c>
      <c r="D98" s="27" t="str">
        <f>IF(C98&lt;='Investment Calculator'!$C$8*'Investment Calculator'!$F$4,'Investment Calculator'!$C$6,"")</f>
        <v/>
      </c>
      <c r="E98" s="27" t="str">
        <f>IFERROR((F97+D98)*'Investment Calculator'!$C$7/'Investment Calculator'!$F$4,"")</f>
        <v/>
      </c>
      <c r="F98" s="27" t="str">
        <f>IFERROR(ABS(FV('Investment Calculator'!$C$7/'Investment Calculator'!$F$4,'SIP Schedule'!C98,'SIP Schedule'!D98,,1)),"")</f>
        <v/>
      </c>
    </row>
    <row r="99" spans="3:6" x14ac:dyDescent="0.3">
      <c r="C99" s="1" t="str">
        <f>IF(C98&lt;'Investment Calculator'!$C$8*'Investment Calculator'!$F$4,'SIP Schedule'!C98+1,"")</f>
        <v/>
      </c>
      <c r="D99" s="27" t="str">
        <f>IF(C99&lt;='Investment Calculator'!$C$8*'Investment Calculator'!$F$4,'Investment Calculator'!$C$6,"")</f>
        <v/>
      </c>
      <c r="E99" s="27" t="str">
        <f>IFERROR((F98+D99)*'Investment Calculator'!$C$7/'Investment Calculator'!$F$4,"")</f>
        <v/>
      </c>
      <c r="F99" s="27" t="str">
        <f>IFERROR(ABS(FV('Investment Calculator'!$C$7/'Investment Calculator'!$F$4,'SIP Schedule'!C99,'SIP Schedule'!D99,,1)),"")</f>
        <v/>
      </c>
    </row>
    <row r="100" spans="3:6" x14ac:dyDescent="0.3">
      <c r="C100" s="1" t="str">
        <f>IF(C99&lt;'Investment Calculator'!$C$8*'Investment Calculator'!$F$4,'SIP Schedule'!C99+1,"")</f>
        <v/>
      </c>
      <c r="D100" s="27" t="str">
        <f>IF(C100&lt;='Investment Calculator'!$C$8*'Investment Calculator'!$F$4,'Investment Calculator'!$C$6,"")</f>
        <v/>
      </c>
      <c r="E100" s="27" t="str">
        <f>IFERROR((F99+D100)*'Investment Calculator'!$C$7/'Investment Calculator'!$F$4,"")</f>
        <v/>
      </c>
      <c r="F100" s="27" t="str">
        <f>IFERROR(ABS(FV('Investment Calculator'!$C$7/'Investment Calculator'!$F$4,'SIP Schedule'!C100,'SIP Schedule'!D100,,1)),"")</f>
        <v/>
      </c>
    </row>
    <row r="101" spans="3:6" x14ac:dyDescent="0.3">
      <c r="C101" s="1" t="str">
        <f>IF(C100&lt;'Investment Calculator'!$C$8*'Investment Calculator'!$F$4,'SIP Schedule'!C100+1,"")</f>
        <v/>
      </c>
      <c r="D101" s="27" t="str">
        <f>IF(C101&lt;='Investment Calculator'!$C$8*'Investment Calculator'!$F$4,'Investment Calculator'!$C$6,"")</f>
        <v/>
      </c>
      <c r="E101" s="27" t="str">
        <f>IFERROR((F100+D101)*'Investment Calculator'!$C$7/'Investment Calculator'!$F$4,"")</f>
        <v/>
      </c>
      <c r="F101" s="27" t="str">
        <f>IFERROR(ABS(FV('Investment Calculator'!$C$7/'Investment Calculator'!$F$4,'SIP Schedule'!C101,'SIP Schedule'!D101,,1)),"")</f>
        <v/>
      </c>
    </row>
    <row r="102" spans="3:6" x14ac:dyDescent="0.3">
      <c r="C102" s="1" t="str">
        <f>IF(C101&lt;'Investment Calculator'!$C$8*'Investment Calculator'!$F$4,'SIP Schedule'!C101+1,"")</f>
        <v/>
      </c>
      <c r="D102" s="27" t="str">
        <f>IF(C102&lt;='Investment Calculator'!$C$8*'Investment Calculator'!$F$4,'Investment Calculator'!$C$6,"")</f>
        <v/>
      </c>
      <c r="E102" s="27" t="str">
        <f>IFERROR((F101+D102)*'Investment Calculator'!$C$7/'Investment Calculator'!$F$4,"")</f>
        <v/>
      </c>
      <c r="F102" s="27" t="str">
        <f>IFERROR(ABS(FV('Investment Calculator'!$C$7/'Investment Calculator'!$F$4,'SIP Schedule'!C102,'SIP Schedule'!D102,,1)),"")</f>
        <v/>
      </c>
    </row>
    <row r="103" spans="3:6" x14ac:dyDescent="0.3">
      <c r="C103" s="1" t="str">
        <f>IF(C102&lt;'Investment Calculator'!$C$8*'Investment Calculator'!$F$4,'SIP Schedule'!C102+1,"")</f>
        <v/>
      </c>
      <c r="D103" s="27" t="str">
        <f>IF(C103&lt;='Investment Calculator'!$C$8*'Investment Calculator'!$F$4,'Investment Calculator'!$C$6,"")</f>
        <v/>
      </c>
      <c r="E103" s="27" t="str">
        <f>IFERROR((F102+D103)*'Investment Calculator'!$C$7/'Investment Calculator'!$F$4,"")</f>
        <v/>
      </c>
      <c r="F103" s="27" t="str">
        <f>IFERROR(ABS(FV('Investment Calculator'!$C$7/'Investment Calculator'!$F$4,'SIP Schedule'!C103,'SIP Schedule'!D103,,1)),"")</f>
        <v/>
      </c>
    </row>
    <row r="104" spans="3:6" x14ac:dyDescent="0.3">
      <c r="C104" s="1" t="str">
        <f>IF(C103&lt;'Investment Calculator'!$C$8*'Investment Calculator'!$F$4,'SIP Schedule'!C103+1,"")</f>
        <v/>
      </c>
      <c r="D104" s="27" t="str">
        <f>IF(C104&lt;='Investment Calculator'!$C$8*'Investment Calculator'!$F$4,'Investment Calculator'!$C$6,"")</f>
        <v/>
      </c>
      <c r="E104" s="27" t="str">
        <f>IFERROR((F103+D104)*'Investment Calculator'!$C$7/'Investment Calculator'!$F$4,"")</f>
        <v/>
      </c>
      <c r="F104" s="27" t="str">
        <f>IFERROR(ABS(FV('Investment Calculator'!$C$7/'Investment Calculator'!$F$4,'SIP Schedule'!C104,'SIP Schedule'!D104,,1)),"")</f>
        <v/>
      </c>
    </row>
    <row r="105" spans="3:6" x14ac:dyDescent="0.3">
      <c r="C105" s="1" t="str">
        <f>IF(C104&lt;'Investment Calculator'!$C$8*'Investment Calculator'!$F$4,'SIP Schedule'!C104+1,"")</f>
        <v/>
      </c>
      <c r="D105" s="27" t="str">
        <f>IF(C105&lt;='Investment Calculator'!$C$8*'Investment Calculator'!$F$4,'Investment Calculator'!$C$6,"")</f>
        <v/>
      </c>
      <c r="E105" s="27" t="str">
        <f>IFERROR((F104+D105)*'Investment Calculator'!$C$7/'Investment Calculator'!$F$4,"")</f>
        <v/>
      </c>
      <c r="F105" s="27" t="str">
        <f>IFERROR(ABS(FV('Investment Calculator'!$C$7/'Investment Calculator'!$F$4,'SIP Schedule'!C105,'SIP Schedule'!D105,,1)),"")</f>
        <v/>
      </c>
    </row>
    <row r="106" spans="3:6" x14ac:dyDescent="0.3">
      <c r="C106" s="1" t="str">
        <f>IF(C105&lt;'Investment Calculator'!$C$8*'Investment Calculator'!$F$4,'SIP Schedule'!C105+1,"")</f>
        <v/>
      </c>
      <c r="D106" s="27" t="str">
        <f>IF(C106&lt;='Investment Calculator'!$C$8*'Investment Calculator'!$F$4,'Investment Calculator'!$C$6,"")</f>
        <v/>
      </c>
      <c r="E106" s="27" t="str">
        <f>IFERROR((F105+D106)*'Investment Calculator'!$C$7/'Investment Calculator'!$F$4,"")</f>
        <v/>
      </c>
      <c r="F106" s="27" t="str">
        <f>IFERROR(ABS(FV('Investment Calculator'!$C$7/'Investment Calculator'!$F$4,'SIP Schedule'!C106,'SIP Schedule'!D106,,1)),"")</f>
        <v/>
      </c>
    </row>
    <row r="107" spans="3:6" x14ac:dyDescent="0.3">
      <c r="C107" s="1" t="str">
        <f>IF(C106&lt;'Investment Calculator'!$C$8*'Investment Calculator'!$F$4,'SIP Schedule'!C106+1,"")</f>
        <v/>
      </c>
      <c r="D107" s="27" t="str">
        <f>IF(C107&lt;='Investment Calculator'!$C$8*'Investment Calculator'!$F$4,'Investment Calculator'!$C$6,"")</f>
        <v/>
      </c>
      <c r="E107" s="27" t="str">
        <f>IFERROR((F106+D107)*'Investment Calculator'!$C$7/'Investment Calculator'!$F$4,"")</f>
        <v/>
      </c>
      <c r="F107" s="27" t="str">
        <f>IFERROR(ABS(FV('Investment Calculator'!$C$7/'Investment Calculator'!$F$4,'SIP Schedule'!C107,'SIP Schedule'!D107,,1)),"")</f>
        <v/>
      </c>
    </row>
    <row r="108" spans="3:6" x14ac:dyDescent="0.3">
      <c r="C108" s="1" t="str">
        <f>IF(C107&lt;'Investment Calculator'!$C$8*'Investment Calculator'!$F$4,'SIP Schedule'!C107+1,"")</f>
        <v/>
      </c>
      <c r="D108" s="27" t="str">
        <f>IF(C108&lt;='Investment Calculator'!$C$8*'Investment Calculator'!$F$4,'Investment Calculator'!$C$6,"")</f>
        <v/>
      </c>
      <c r="E108" s="27" t="str">
        <f>IFERROR((F107+D108)*'Investment Calculator'!$C$7/'Investment Calculator'!$F$4,"")</f>
        <v/>
      </c>
      <c r="F108" s="27" t="str">
        <f>IFERROR(ABS(FV('Investment Calculator'!$C$7/'Investment Calculator'!$F$4,'SIP Schedule'!C108,'SIP Schedule'!D108,,1)),"")</f>
        <v/>
      </c>
    </row>
    <row r="109" spans="3:6" x14ac:dyDescent="0.3">
      <c r="C109" s="1" t="str">
        <f>IF(C108&lt;'Investment Calculator'!$C$8*'Investment Calculator'!$F$4,'SIP Schedule'!C108+1,"")</f>
        <v/>
      </c>
      <c r="D109" s="27" t="str">
        <f>IF(C109&lt;='Investment Calculator'!$C$8*'Investment Calculator'!$F$4,'Investment Calculator'!$C$6,"")</f>
        <v/>
      </c>
      <c r="E109" s="27" t="str">
        <f>IFERROR((F108+D109)*'Investment Calculator'!$C$7/'Investment Calculator'!$F$4,"")</f>
        <v/>
      </c>
      <c r="F109" s="27" t="str">
        <f>IFERROR(ABS(FV('Investment Calculator'!$C$7/'Investment Calculator'!$F$4,'SIP Schedule'!C109,'SIP Schedule'!D109,,1)),"")</f>
        <v/>
      </c>
    </row>
    <row r="110" spans="3:6" x14ac:dyDescent="0.3">
      <c r="C110" s="1" t="str">
        <f>IF(C109&lt;'Investment Calculator'!$C$8*'Investment Calculator'!$F$4,'SIP Schedule'!C109+1,"")</f>
        <v/>
      </c>
      <c r="D110" s="27" t="str">
        <f>IF(C110&lt;='Investment Calculator'!$C$8*'Investment Calculator'!$F$4,'Investment Calculator'!$C$6,"")</f>
        <v/>
      </c>
      <c r="E110" s="27" t="str">
        <f>IFERROR((F109+D110)*'Investment Calculator'!$C$7/'Investment Calculator'!$F$4,"")</f>
        <v/>
      </c>
      <c r="F110" s="27" t="str">
        <f>IFERROR(ABS(FV('Investment Calculator'!$C$7/'Investment Calculator'!$F$4,'SIP Schedule'!C110,'SIP Schedule'!D110,,1)),"")</f>
        <v/>
      </c>
    </row>
    <row r="111" spans="3:6" x14ac:dyDescent="0.3">
      <c r="C111" s="1" t="str">
        <f>IF(C110&lt;'Investment Calculator'!$C$8*'Investment Calculator'!$F$4,'SIP Schedule'!C110+1,"")</f>
        <v/>
      </c>
      <c r="D111" s="27" t="str">
        <f>IF(C111&lt;='Investment Calculator'!$C$8*'Investment Calculator'!$F$4,'Investment Calculator'!$C$6,"")</f>
        <v/>
      </c>
      <c r="E111" s="27" t="str">
        <f>IFERROR((F110+D111)*'Investment Calculator'!$C$7/'Investment Calculator'!$F$4,"")</f>
        <v/>
      </c>
      <c r="F111" s="27" t="str">
        <f>IFERROR(ABS(FV('Investment Calculator'!$C$7/'Investment Calculator'!$F$4,'SIP Schedule'!C111,'SIP Schedule'!D111,,1)),"")</f>
        <v/>
      </c>
    </row>
    <row r="112" spans="3:6" x14ac:dyDescent="0.3">
      <c r="C112" s="1" t="str">
        <f>IF(C111&lt;'Investment Calculator'!$C$8*'Investment Calculator'!$F$4,'SIP Schedule'!C111+1,"")</f>
        <v/>
      </c>
      <c r="D112" s="27" t="str">
        <f>IF(C112&lt;='Investment Calculator'!$C$8*'Investment Calculator'!$F$4,'Investment Calculator'!$C$6,"")</f>
        <v/>
      </c>
      <c r="E112" s="27" t="str">
        <f>IFERROR((F111+D112)*'Investment Calculator'!$C$7/'Investment Calculator'!$F$4,"")</f>
        <v/>
      </c>
      <c r="F112" s="27" t="str">
        <f>IFERROR(ABS(FV('Investment Calculator'!$C$7/'Investment Calculator'!$F$4,'SIP Schedule'!C112,'SIP Schedule'!D112,,1)),"")</f>
        <v/>
      </c>
    </row>
    <row r="113" spans="3:6" x14ac:dyDescent="0.3">
      <c r="C113" s="1" t="str">
        <f>IF(C112&lt;'Investment Calculator'!$C$8*'Investment Calculator'!$F$4,'SIP Schedule'!C112+1,"")</f>
        <v/>
      </c>
      <c r="D113" s="27" t="str">
        <f>IF(C113&lt;='Investment Calculator'!$C$8*'Investment Calculator'!$F$4,'Investment Calculator'!$C$6,"")</f>
        <v/>
      </c>
      <c r="E113" s="27" t="str">
        <f>IFERROR((F112+D113)*'Investment Calculator'!$C$7/'Investment Calculator'!$F$4,"")</f>
        <v/>
      </c>
      <c r="F113" s="27" t="str">
        <f>IFERROR(ABS(FV('Investment Calculator'!$C$7/'Investment Calculator'!$F$4,'SIP Schedule'!C113,'SIP Schedule'!D113,,1)),"")</f>
        <v/>
      </c>
    </row>
    <row r="114" spans="3:6" x14ac:dyDescent="0.3">
      <c r="C114" s="1" t="str">
        <f>IF(C113&lt;'Investment Calculator'!$C$8*'Investment Calculator'!$F$4,'SIP Schedule'!C113+1,"")</f>
        <v/>
      </c>
      <c r="D114" s="27" t="str">
        <f>IF(C114&lt;='Investment Calculator'!$C$8*'Investment Calculator'!$F$4,'Investment Calculator'!$C$6,"")</f>
        <v/>
      </c>
      <c r="E114" s="27" t="str">
        <f>IFERROR((F113+D114)*'Investment Calculator'!$C$7/'Investment Calculator'!$F$4,"")</f>
        <v/>
      </c>
      <c r="F114" s="27" t="str">
        <f>IFERROR(ABS(FV('Investment Calculator'!$C$7/'Investment Calculator'!$F$4,'SIP Schedule'!C114,'SIP Schedule'!D114,,1)),"")</f>
        <v/>
      </c>
    </row>
    <row r="115" spans="3:6" x14ac:dyDescent="0.3">
      <c r="C115" s="1" t="str">
        <f>IF(C114&lt;'Investment Calculator'!$C$8*'Investment Calculator'!$F$4,'SIP Schedule'!C114+1,"")</f>
        <v/>
      </c>
      <c r="D115" s="27" t="str">
        <f>IF(C115&lt;='Investment Calculator'!$C$8*'Investment Calculator'!$F$4,'Investment Calculator'!$C$6,"")</f>
        <v/>
      </c>
      <c r="E115" s="27" t="str">
        <f>IFERROR((F114+D115)*'Investment Calculator'!$C$7/'Investment Calculator'!$F$4,"")</f>
        <v/>
      </c>
      <c r="F115" s="27" t="str">
        <f>IFERROR(ABS(FV('Investment Calculator'!$C$7/'Investment Calculator'!$F$4,'SIP Schedule'!C115,'SIP Schedule'!D115,,1)),"")</f>
        <v/>
      </c>
    </row>
    <row r="116" spans="3:6" x14ac:dyDescent="0.3">
      <c r="C116" s="1" t="str">
        <f>IF(C115&lt;'Investment Calculator'!$C$8*'Investment Calculator'!$F$4,'SIP Schedule'!C115+1,"")</f>
        <v/>
      </c>
      <c r="D116" s="27" t="str">
        <f>IF(C116&lt;='Investment Calculator'!$C$8*'Investment Calculator'!$F$4,'Investment Calculator'!$C$6,"")</f>
        <v/>
      </c>
      <c r="E116" s="27" t="str">
        <f>IFERROR((F115+D116)*'Investment Calculator'!$C$7/'Investment Calculator'!$F$4,"")</f>
        <v/>
      </c>
      <c r="F116" s="27" t="str">
        <f>IFERROR(ABS(FV('Investment Calculator'!$C$7/'Investment Calculator'!$F$4,'SIP Schedule'!C116,'SIP Schedule'!D116,,1)),"")</f>
        <v/>
      </c>
    </row>
    <row r="117" spans="3:6" x14ac:dyDescent="0.3">
      <c r="C117" s="1" t="str">
        <f>IF(C116&lt;'Investment Calculator'!$C$8*'Investment Calculator'!$F$4,'SIP Schedule'!C116+1,"")</f>
        <v/>
      </c>
      <c r="D117" s="27" t="str">
        <f>IF(C117&lt;='Investment Calculator'!$C$8*'Investment Calculator'!$F$4,'Investment Calculator'!$C$6,"")</f>
        <v/>
      </c>
      <c r="E117" s="27" t="str">
        <f>IFERROR((F116+D117)*'Investment Calculator'!$C$7/'Investment Calculator'!$F$4,"")</f>
        <v/>
      </c>
      <c r="F117" s="27" t="str">
        <f>IFERROR(ABS(FV('Investment Calculator'!$C$7/'Investment Calculator'!$F$4,'SIP Schedule'!C117,'SIP Schedule'!D117,,1)),"")</f>
        <v/>
      </c>
    </row>
    <row r="118" spans="3:6" x14ac:dyDescent="0.3">
      <c r="C118" s="1" t="str">
        <f>IF(C117&lt;'Investment Calculator'!$C$8*'Investment Calculator'!$F$4,'SIP Schedule'!C117+1,"")</f>
        <v/>
      </c>
      <c r="D118" s="27" t="str">
        <f>IF(C118&lt;='Investment Calculator'!$C$8*'Investment Calculator'!$F$4,'Investment Calculator'!$C$6,"")</f>
        <v/>
      </c>
      <c r="E118" s="27" t="str">
        <f>IFERROR((F117+D118)*'Investment Calculator'!$C$7/'Investment Calculator'!$F$4,"")</f>
        <v/>
      </c>
      <c r="F118" s="27" t="str">
        <f>IFERROR(ABS(FV('Investment Calculator'!$C$7/'Investment Calculator'!$F$4,'SIP Schedule'!C118,'SIP Schedule'!D118,,1)),"")</f>
        <v/>
      </c>
    </row>
    <row r="119" spans="3:6" x14ac:dyDescent="0.3">
      <c r="C119" s="1" t="str">
        <f>IF(C118&lt;'Investment Calculator'!$C$8*'Investment Calculator'!$F$4,'SIP Schedule'!C118+1,"")</f>
        <v/>
      </c>
      <c r="D119" s="27" t="str">
        <f>IF(C119&lt;='Investment Calculator'!$C$8*'Investment Calculator'!$F$4,'Investment Calculator'!$C$6,"")</f>
        <v/>
      </c>
      <c r="E119" s="27" t="str">
        <f>IFERROR((F118+D119)*'Investment Calculator'!$C$7/'Investment Calculator'!$F$4,"")</f>
        <v/>
      </c>
      <c r="F119" s="27" t="str">
        <f>IFERROR(ABS(FV('Investment Calculator'!$C$7/'Investment Calculator'!$F$4,'SIP Schedule'!C119,'SIP Schedule'!D119,,1)),"")</f>
        <v/>
      </c>
    </row>
    <row r="120" spans="3:6" x14ac:dyDescent="0.3">
      <c r="C120" s="1" t="str">
        <f>IF(C119&lt;'Investment Calculator'!$C$8*'Investment Calculator'!$F$4,'SIP Schedule'!C119+1,"")</f>
        <v/>
      </c>
      <c r="D120" s="27" t="str">
        <f>IF(C120&lt;='Investment Calculator'!$C$8*'Investment Calculator'!$F$4,'Investment Calculator'!$C$6,"")</f>
        <v/>
      </c>
      <c r="E120" s="27" t="str">
        <f>IFERROR((F119+D120)*'Investment Calculator'!$C$7/'Investment Calculator'!$F$4,"")</f>
        <v/>
      </c>
      <c r="F120" s="27" t="str">
        <f>IFERROR(ABS(FV('Investment Calculator'!$C$7/'Investment Calculator'!$F$4,'SIP Schedule'!C120,'SIP Schedule'!D120,,1)),"")</f>
        <v/>
      </c>
    </row>
    <row r="121" spans="3:6" x14ac:dyDescent="0.3">
      <c r="C121" s="1" t="str">
        <f>IF(C120&lt;'Investment Calculator'!$C$8*'Investment Calculator'!$F$4,'SIP Schedule'!C120+1,"")</f>
        <v/>
      </c>
      <c r="D121" s="27" t="str">
        <f>IF(C121&lt;='Investment Calculator'!$C$8*'Investment Calculator'!$F$4,'Investment Calculator'!$C$6,"")</f>
        <v/>
      </c>
      <c r="E121" s="27" t="str">
        <f>IFERROR((F120+D121)*'Investment Calculator'!$C$7/'Investment Calculator'!$F$4,"")</f>
        <v/>
      </c>
      <c r="F121" s="27" t="str">
        <f>IFERROR(ABS(FV('Investment Calculator'!$C$7/'Investment Calculator'!$F$4,'SIP Schedule'!C121,'SIP Schedule'!D121,,1)),"")</f>
        <v/>
      </c>
    </row>
    <row r="122" spans="3:6" x14ac:dyDescent="0.3">
      <c r="C122" s="1" t="str">
        <f>IF(C121&lt;'Investment Calculator'!$C$8*'Investment Calculator'!$F$4,'SIP Schedule'!C121+1,"")</f>
        <v/>
      </c>
      <c r="D122" s="27" t="str">
        <f>IF(C122&lt;='Investment Calculator'!$C$8*'Investment Calculator'!$F$4,'Investment Calculator'!$C$6,"")</f>
        <v/>
      </c>
      <c r="E122" s="27" t="str">
        <f>IFERROR((F121+D122)*'Investment Calculator'!$C$7/'Investment Calculator'!$F$4,"")</f>
        <v/>
      </c>
      <c r="F122" s="27" t="str">
        <f>IFERROR(ABS(FV('Investment Calculator'!$C$7/'Investment Calculator'!$F$4,'SIP Schedule'!C122,'SIP Schedule'!D122,,1)),"")</f>
        <v/>
      </c>
    </row>
    <row r="123" spans="3:6" x14ac:dyDescent="0.3">
      <c r="C123" s="1" t="str">
        <f>IF(C122&lt;'Investment Calculator'!$C$8*'Investment Calculator'!$F$4,'SIP Schedule'!C122+1,"")</f>
        <v/>
      </c>
      <c r="D123" s="27" t="str">
        <f>IF(C123&lt;='Investment Calculator'!$C$8*'Investment Calculator'!$F$4,'Investment Calculator'!$C$6,"")</f>
        <v/>
      </c>
      <c r="E123" s="27" t="str">
        <f>IFERROR((F122+D123)*'Investment Calculator'!$C$7/'Investment Calculator'!$F$4,"")</f>
        <v/>
      </c>
      <c r="F123" s="27" t="str">
        <f>IFERROR(ABS(FV('Investment Calculator'!$C$7/'Investment Calculator'!$F$4,'SIP Schedule'!C123,'SIP Schedule'!D123,,1)),"")</f>
        <v/>
      </c>
    </row>
    <row r="124" spans="3:6" x14ac:dyDescent="0.3">
      <c r="C124" s="1" t="str">
        <f>IF(C123&lt;'Investment Calculator'!$C$8*'Investment Calculator'!$F$4,'SIP Schedule'!C123+1,"")</f>
        <v/>
      </c>
      <c r="D124" s="27" t="str">
        <f>IF(C124&lt;='Investment Calculator'!$C$8*'Investment Calculator'!$F$4,'Investment Calculator'!$C$6,"")</f>
        <v/>
      </c>
      <c r="E124" s="27" t="str">
        <f>IFERROR((F123+D124)*'Investment Calculator'!$C$7/'Investment Calculator'!$F$4,"")</f>
        <v/>
      </c>
      <c r="F124" s="27" t="str">
        <f>IFERROR(ABS(FV('Investment Calculator'!$C$7/'Investment Calculator'!$F$4,'SIP Schedule'!C124,'SIP Schedule'!D124,,1)),"")</f>
        <v/>
      </c>
    </row>
    <row r="125" spans="3:6" x14ac:dyDescent="0.3">
      <c r="C125" s="1" t="str">
        <f>IF(C124&lt;'Investment Calculator'!$C$8*'Investment Calculator'!$F$4,'SIP Schedule'!C124+1,"")</f>
        <v/>
      </c>
      <c r="D125" s="27" t="str">
        <f>IF(C125&lt;='Investment Calculator'!$C$8*'Investment Calculator'!$F$4,'Investment Calculator'!$C$6,"")</f>
        <v/>
      </c>
      <c r="E125" s="27" t="str">
        <f>IFERROR((F124+D125)*'Investment Calculator'!$C$7/'Investment Calculator'!$F$4,"")</f>
        <v/>
      </c>
      <c r="F125" s="27" t="str">
        <f>IFERROR(ABS(FV('Investment Calculator'!$C$7/'Investment Calculator'!$F$4,'SIP Schedule'!C125,'SIP Schedule'!D125,,1)),"")</f>
        <v/>
      </c>
    </row>
    <row r="126" spans="3:6" x14ac:dyDescent="0.3">
      <c r="C126" s="1" t="str">
        <f>IF(C125&lt;'Investment Calculator'!$C$8*'Investment Calculator'!$F$4,'SIP Schedule'!C125+1,"")</f>
        <v/>
      </c>
      <c r="D126" s="27" t="str">
        <f>IF(C126&lt;='Investment Calculator'!$C$8*'Investment Calculator'!$F$4,'Investment Calculator'!$C$6,"")</f>
        <v/>
      </c>
      <c r="E126" s="27" t="str">
        <f>IFERROR((F125+D126)*'Investment Calculator'!$C$7/'Investment Calculator'!$F$4,"")</f>
        <v/>
      </c>
      <c r="F126" s="27" t="str">
        <f>IFERROR(ABS(FV('Investment Calculator'!$C$7/'Investment Calculator'!$F$4,'SIP Schedule'!C126,'SIP Schedule'!D126,,1)),"")</f>
        <v/>
      </c>
    </row>
    <row r="127" spans="3:6" x14ac:dyDescent="0.3">
      <c r="C127" s="1" t="str">
        <f>IF(C126&lt;'Investment Calculator'!$C$8*'Investment Calculator'!$F$4,'SIP Schedule'!C126+1,"")</f>
        <v/>
      </c>
      <c r="D127" s="27" t="str">
        <f>IF(C127&lt;='Investment Calculator'!$C$8*'Investment Calculator'!$F$4,'Investment Calculator'!$C$6,"")</f>
        <v/>
      </c>
      <c r="E127" s="27" t="str">
        <f>IFERROR((F126+D127)*'Investment Calculator'!$C$7/'Investment Calculator'!$F$4,"")</f>
        <v/>
      </c>
      <c r="F127" s="27" t="str">
        <f>IFERROR(ABS(FV('Investment Calculator'!$C$7/'Investment Calculator'!$F$4,'SIP Schedule'!C127,'SIP Schedule'!D127,,1)),"")</f>
        <v/>
      </c>
    </row>
    <row r="128" spans="3:6" x14ac:dyDescent="0.3">
      <c r="C128" s="1" t="str">
        <f>IF(C127&lt;'Investment Calculator'!$C$8*'Investment Calculator'!$F$4,'SIP Schedule'!C127+1,"")</f>
        <v/>
      </c>
      <c r="D128" s="27" t="str">
        <f>IF(C128&lt;='Investment Calculator'!$C$8*'Investment Calculator'!$F$4,'Investment Calculator'!$C$6,"")</f>
        <v/>
      </c>
      <c r="E128" s="27" t="str">
        <f>IFERROR((F127+D128)*'Investment Calculator'!$C$7/'Investment Calculator'!$F$4,"")</f>
        <v/>
      </c>
      <c r="F128" s="27" t="str">
        <f>IFERROR(ABS(FV('Investment Calculator'!$C$7/'Investment Calculator'!$F$4,'SIP Schedule'!C128,'SIP Schedule'!D128,,1)),"")</f>
        <v/>
      </c>
    </row>
    <row r="129" spans="3:6" x14ac:dyDescent="0.3">
      <c r="C129" s="1" t="str">
        <f>IF(C128&lt;'Investment Calculator'!$C$8*'Investment Calculator'!$F$4,'SIP Schedule'!C128+1,"")</f>
        <v/>
      </c>
      <c r="D129" s="27" t="str">
        <f>IF(C129&lt;='Investment Calculator'!$C$8*'Investment Calculator'!$F$4,'Investment Calculator'!$C$6,"")</f>
        <v/>
      </c>
      <c r="E129" s="27" t="str">
        <f>IFERROR((F128+D129)*'Investment Calculator'!$C$7/'Investment Calculator'!$F$4,"")</f>
        <v/>
      </c>
      <c r="F129" s="27" t="str">
        <f>IFERROR(ABS(FV('Investment Calculator'!$C$7/'Investment Calculator'!$F$4,'SIP Schedule'!C129,'SIP Schedule'!D129,,1)),"")</f>
        <v/>
      </c>
    </row>
    <row r="130" spans="3:6" x14ac:dyDescent="0.3">
      <c r="C130" s="1" t="str">
        <f>IF(C129&lt;'Investment Calculator'!$C$8*'Investment Calculator'!$F$4,'SIP Schedule'!C129+1,"")</f>
        <v/>
      </c>
      <c r="D130" s="27" t="str">
        <f>IF(C130&lt;='Investment Calculator'!$C$8*'Investment Calculator'!$F$4,'Investment Calculator'!$C$6,"")</f>
        <v/>
      </c>
      <c r="E130" s="27" t="str">
        <f>IFERROR((F129+D130)*'Investment Calculator'!$C$7/'Investment Calculator'!$F$4,"")</f>
        <v/>
      </c>
      <c r="F130" s="27" t="str">
        <f>IFERROR(ABS(FV('Investment Calculator'!$C$7/'Investment Calculator'!$F$4,'SIP Schedule'!C130,'SIP Schedule'!D130,,1)),"")</f>
        <v/>
      </c>
    </row>
    <row r="131" spans="3:6" x14ac:dyDescent="0.3">
      <c r="C131" s="1" t="str">
        <f>IF(C130&lt;'Investment Calculator'!$C$8*'Investment Calculator'!$F$4,'SIP Schedule'!C130+1,"")</f>
        <v/>
      </c>
      <c r="D131" s="27" t="str">
        <f>IF(C131&lt;='Investment Calculator'!$C$8*'Investment Calculator'!$F$4,'Investment Calculator'!$C$6,"")</f>
        <v/>
      </c>
      <c r="E131" s="27" t="str">
        <f>IFERROR((F130+D131)*'Investment Calculator'!$C$7/'Investment Calculator'!$F$4,"")</f>
        <v/>
      </c>
      <c r="F131" s="27" t="str">
        <f>IFERROR(ABS(FV('Investment Calculator'!$C$7/'Investment Calculator'!$F$4,'SIP Schedule'!C131,'SIP Schedule'!D131,,1)),"")</f>
        <v/>
      </c>
    </row>
    <row r="132" spans="3:6" x14ac:dyDescent="0.3">
      <c r="C132" s="1" t="str">
        <f>IF(C131&lt;'Investment Calculator'!$C$8*'Investment Calculator'!$F$4,'SIP Schedule'!C131+1,"")</f>
        <v/>
      </c>
      <c r="D132" s="27" t="str">
        <f>IF(C132&lt;='Investment Calculator'!$C$8*'Investment Calculator'!$F$4,'Investment Calculator'!$C$6,"")</f>
        <v/>
      </c>
      <c r="E132" s="27" t="str">
        <f>IFERROR((F131+D132)*'Investment Calculator'!$C$7/'Investment Calculator'!$F$4,"")</f>
        <v/>
      </c>
      <c r="F132" s="27" t="str">
        <f>IFERROR(ABS(FV('Investment Calculator'!$C$7/'Investment Calculator'!$F$4,'SIP Schedule'!C132,'SIP Schedule'!D132,,1)),"")</f>
        <v/>
      </c>
    </row>
    <row r="133" spans="3:6" x14ac:dyDescent="0.3">
      <c r="C133" s="1" t="str">
        <f>IF(C132&lt;'Investment Calculator'!$C$8*'Investment Calculator'!$F$4,'SIP Schedule'!C132+1,"")</f>
        <v/>
      </c>
      <c r="D133" s="27" t="str">
        <f>IF(C133&lt;='Investment Calculator'!$C$8*'Investment Calculator'!$F$4,'Investment Calculator'!$C$6,"")</f>
        <v/>
      </c>
      <c r="E133" s="27" t="str">
        <f>IFERROR((F132+D133)*'Investment Calculator'!$C$7/'Investment Calculator'!$F$4,"")</f>
        <v/>
      </c>
      <c r="F133" s="27" t="str">
        <f>IFERROR(ABS(FV('Investment Calculator'!$C$7/'Investment Calculator'!$F$4,'SIP Schedule'!C133,'SIP Schedule'!D133,,1)),"")</f>
        <v/>
      </c>
    </row>
    <row r="134" spans="3:6" x14ac:dyDescent="0.3">
      <c r="C134" s="1" t="str">
        <f>IF(C133&lt;'Investment Calculator'!$C$8*'Investment Calculator'!$F$4,'SIP Schedule'!C133+1,"")</f>
        <v/>
      </c>
      <c r="D134" s="27" t="str">
        <f>IF(C134&lt;='Investment Calculator'!$C$8*'Investment Calculator'!$F$4,'Investment Calculator'!$C$6,"")</f>
        <v/>
      </c>
      <c r="E134" s="27" t="str">
        <f>IFERROR((F133+D134)*'Investment Calculator'!$C$7/'Investment Calculator'!$F$4,"")</f>
        <v/>
      </c>
      <c r="F134" s="27" t="str">
        <f>IFERROR(ABS(FV('Investment Calculator'!$C$7/'Investment Calculator'!$F$4,'SIP Schedule'!C134,'SIP Schedule'!D134,,1)),"")</f>
        <v/>
      </c>
    </row>
    <row r="135" spans="3:6" x14ac:dyDescent="0.3">
      <c r="C135" s="1" t="str">
        <f>IF(C134&lt;'Investment Calculator'!$C$8*'Investment Calculator'!$F$4,'SIP Schedule'!C134+1,"")</f>
        <v/>
      </c>
      <c r="D135" s="27" t="str">
        <f>IF(C135&lt;='Investment Calculator'!$C$8*'Investment Calculator'!$F$4,'Investment Calculator'!$C$6,"")</f>
        <v/>
      </c>
      <c r="E135" s="27" t="str">
        <f>IFERROR((F134+D135)*'Investment Calculator'!$C$7/'Investment Calculator'!$F$4,"")</f>
        <v/>
      </c>
      <c r="F135" s="27" t="str">
        <f>IFERROR(ABS(FV('Investment Calculator'!$C$7/'Investment Calculator'!$F$4,'SIP Schedule'!C135,'SIP Schedule'!D135,,1)),"")</f>
        <v/>
      </c>
    </row>
    <row r="136" spans="3:6" x14ac:dyDescent="0.3">
      <c r="C136" s="1" t="str">
        <f>IF(C135&lt;'Investment Calculator'!$C$8*'Investment Calculator'!$F$4,'SIP Schedule'!C135+1,"")</f>
        <v/>
      </c>
      <c r="D136" s="27" t="str">
        <f>IF(C136&lt;='Investment Calculator'!$C$8*'Investment Calculator'!$F$4,'Investment Calculator'!$C$6,"")</f>
        <v/>
      </c>
      <c r="E136" s="27" t="str">
        <f>IFERROR((F135+D136)*'Investment Calculator'!$C$7/'Investment Calculator'!$F$4,"")</f>
        <v/>
      </c>
      <c r="F136" s="27" t="str">
        <f>IFERROR(ABS(FV('Investment Calculator'!$C$7/'Investment Calculator'!$F$4,'SIP Schedule'!C136,'SIP Schedule'!D136,,1)),"")</f>
        <v/>
      </c>
    </row>
    <row r="137" spans="3:6" x14ac:dyDescent="0.3">
      <c r="C137" s="1" t="str">
        <f>IF(C136&lt;'Investment Calculator'!$C$8*'Investment Calculator'!$F$4,'SIP Schedule'!C136+1,"")</f>
        <v/>
      </c>
      <c r="D137" s="27" t="str">
        <f>IF(C137&lt;='Investment Calculator'!$C$8*'Investment Calculator'!$F$4,'Investment Calculator'!$C$6,"")</f>
        <v/>
      </c>
      <c r="E137" s="27" t="str">
        <f>IFERROR((F136+D137)*'Investment Calculator'!$C$7/'Investment Calculator'!$F$4,"")</f>
        <v/>
      </c>
      <c r="F137" s="27" t="str">
        <f>IFERROR(ABS(FV('Investment Calculator'!$C$7/'Investment Calculator'!$F$4,'SIP Schedule'!C137,'SIP Schedule'!D137,,1)),"")</f>
        <v/>
      </c>
    </row>
    <row r="138" spans="3:6" x14ac:dyDescent="0.3">
      <c r="C138" s="1" t="str">
        <f>IF(C137&lt;'Investment Calculator'!$C$8*'Investment Calculator'!$F$4,'SIP Schedule'!C137+1,"")</f>
        <v/>
      </c>
      <c r="D138" s="27" t="str">
        <f>IF(C138&lt;='Investment Calculator'!$C$8*'Investment Calculator'!$F$4,'Investment Calculator'!$C$6,"")</f>
        <v/>
      </c>
      <c r="E138" s="27" t="str">
        <f>IFERROR((F137+D138)*'Investment Calculator'!$C$7/'Investment Calculator'!$F$4,"")</f>
        <v/>
      </c>
      <c r="F138" s="27" t="str">
        <f>IFERROR(ABS(FV('Investment Calculator'!$C$7/'Investment Calculator'!$F$4,'SIP Schedule'!C138,'SIP Schedule'!D138,,1)),"")</f>
        <v/>
      </c>
    </row>
    <row r="139" spans="3:6" x14ac:dyDescent="0.3">
      <c r="C139" s="1" t="str">
        <f>IF(C138&lt;'Investment Calculator'!$C$8*'Investment Calculator'!$F$4,'SIP Schedule'!C138+1,"")</f>
        <v/>
      </c>
      <c r="D139" s="27" t="str">
        <f>IF(C139&lt;='Investment Calculator'!$C$8*'Investment Calculator'!$F$4,'Investment Calculator'!$C$6,"")</f>
        <v/>
      </c>
      <c r="E139" s="27" t="str">
        <f>IFERROR((F138+D139)*'Investment Calculator'!$C$7/'Investment Calculator'!$F$4,"")</f>
        <v/>
      </c>
      <c r="F139" s="27" t="str">
        <f>IFERROR(ABS(FV('Investment Calculator'!$C$7/'Investment Calculator'!$F$4,'SIP Schedule'!C139,'SIP Schedule'!D139,,1)),"")</f>
        <v/>
      </c>
    </row>
    <row r="140" spans="3:6" x14ac:dyDescent="0.3">
      <c r="C140" s="1" t="str">
        <f>IF(C139&lt;'Investment Calculator'!$C$8*'Investment Calculator'!$F$4,'SIP Schedule'!C139+1,"")</f>
        <v/>
      </c>
      <c r="D140" s="27" t="str">
        <f>IF(C140&lt;='Investment Calculator'!$C$8*'Investment Calculator'!$F$4,'Investment Calculator'!$C$6,"")</f>
        <v/>
      </c>
      <c r="E140" s="27" t="str">
        <f>IFERROR((F139+D140)*'Investment Calculator'!$C$7/'Investment Calculator'!$F$4,"")</f>
        <v/>
      </c>
      <c r="F140" s="27" t="str">
        <f>IFERROR(ABS(FV('Investment Calculator'!$C$7/'Investment Calculator'!$F$4,'SIP Schedule'!C140,'SIP Schedule'!D140,,1)),"")</f>
        <v/>
      </c>
    </row>
    <row r="141" spans="3:6" x14ac:dyDescent="0.3">
      <c r="C141" s="1" t="str">
        <f>IF(C140&lt;'Investment Calculator'!$C$8*'Investment Calculator'!$F$4,'SIP Schedule'!C140+1,"")</f>
        <v/>
      </c>
      <c r="D141" s="27" t="str">
        <f>IF(C141&lt;='Investment Calculator'!$C$8*'Investment Calculator'!$F$4,'Investment Calculator'!$C$6,"")</f>
        <v/>
      </c>
      <c r="E141" s="27" t="str">
        <f>IFERROR((F140+D141)*'Investment Calculator'!$C$7/'Investment Calculator'!$F$4,"")</f>
        <v/>
      </c>
      <c r="F141" s="27" t="str">
        <f>IFERROR(ABS(FV('Investment Calculator'!$C$7/'Investment Calculator'!$F$4,'SIP Schedule'!C141,'SIP Schedule'!D141,,1)),"")</f>
        <v/>
      </c>
    </row>
    <row r="142" spans="3:6" x14ac:dyDescent="0.3">
      <c r="C142" s="1" t="str">
        <f>IF(C141&lt;'Investment Calculator'!$C$8*'Investment Calculator'!$F$4,'SIP Schedule'!C141+1,"")</f>
        <v/>
      </c>
      <c r="D142" s="27" t="str">
        <f>IF(C142&lt;='Investment Calculator'!$C$8*'Investment Calculator'!$F$4,'Investment Calculator'!$C$6,"")</f>
        <v/>
      </c>
      <c r="E142" s="27" t="str">
        <f>IFERROR((F141+D142)*'Investment Calculator'!$C$7/'Investment Calculator'!$F$4,"")</f>
        <v/>
      </c>
      <c r="F142" s="27" t="str">
        <f>IFERROR(ABS(FV('Investment Calculator'!$C$7/'Investment Calculator'!$F$4,'SIP Schedule'!C142,'SIP Schedule'!D142,,1)),"")</f>
        <v/>
      </c>
    </row>
    <row r="143" spans="3:6" x14ac:dyDescent="0.3">
      <c r="C143" s="1" t="str">
        <f>IF(C142&lt;'Investment Calculator'!$C$8*'Investment Calculator'!$F$4,'SIP Schedule'!C142+1,"")</f>
        <v/>
      </c>
      <c r="D143" s="27" t="str">
        <f>IF(C143&lt;='Investment Calculator'!$C$8*'Investment Calculator'!$F$4,'Investment Calculator'!$C$6,"")</f>
        <v/>
      </c>
      <c r="E143" s="27" t="str">
        <f>IFERROR((F142+D143)*'Investment Calculator'!$C$7/'Investment Calculator'!$F$4,"")</f>
        <v/>
      </c>
      <c r="F143" s="27" t="str">
        <f>IFERROR(ABS(FV('Investment Calculator'!$C$7/'Investment Calculator'!$F$4,'SIP Schedule'!C143,'SIP Schedule'!D143,,1)),"")</f>
        <v/>
      </c>
    </row>
    <row r="144" spans="3:6" x14ac:dyDescent="0.3">
      <c r="C144" s="1" t="str">
        <f>IF(C143&lt;'Investment Calculator'!$C$8*'Investment Calculator'!$F$4,'SIP Schedule'!C143+1,"")</f>
        <v/>
      </c>
      <c r="D144" s="27" t="str">
        <f>IF(C144&lt;='Investment Calculator'!$C$8*'Investment Calculator'!$F$4,'Investment Calculator'!$C$6,"")</f>
        <v/>
      </c>
      <c r="E144" s="27" t="str">
        <f>IFERROR((F143+D144)*'Investment Calculator'!$C$7/'Investment Calculator'!$F$4,"")</f>
        <v/>
      </c>
      <c r="F144" s="27" t="str">
        <f>IFERROR(ABS(FV('Investment Calculator'!$C$7/'Investment Calculator'!$F$4,'SIP Schedule'!C144,'SIP Schedule'!D144,,1)),"")</f>
        <v/>
      </c>
    </row>
    <row r="145" spans="3:6" x14ac:dyDescent="0.3">
      <c r="C145" s="1" t="str">
        <f>IF(C144&lt;'Investment Calculator'!$C$8*'Investment Calculator'!$F$4,'SIP Schedule'!C144+1,"")</f>
        <v/>
      </c>
      <c r="D145" s="27" t="str">
        <f>IF(C145&lt;='Investment Calculator'!$C$8*'Investment Calculator'!$F$4,'Investment Calculator'!$C$6,"")</f>
        <v/>
      </c>
      <c r="E145" s="27" t="str">
        <f>IFERROR((F144+D145)*'Investment Calculator'!$C$7/'Investment Calculator'!$F$4,"")</f>
        <v/>
      </c>
      <c r="F145" s="27" t="str">
        <f>IFERROR(ABS(FV('Investment Calculator'!$C$7/'Investment Calculator'!$F$4,'SIP Schedule'!C145,'SIP Schedule'!D145,,1)),"")</f>
        <v/>
      </c>
    </row>
    <row r="146" spans="3:6" x14ac:dyDescent="0.3">
      <c r="C146" s="1" t="str">
        <f>IF(C145&lt;'Investment Calculator'!$C$8*'Investment Calculator'!$F$4,'SIP Schedule'!C145+1,"")</f>
        <v/>
      </c>
      <c r="D146" s="27" t="str">
        <f>IF(C146&lt;='Investment Calculator'!$C$8*'Investment Calculator'!$F$4,'Investment Calculator'!$C$6,"")</f>
        <v/>
      </c>
      <c r="E146" s="27" t="str">
        <f>IFERROR((F145+D146)*'Investment Calculator'!$C$7/'Investment Calculator'!$F$4,"")</f>
        <v/>
      </c>
      <c r="F146" s="27" t="str">
        <f>IFERROR(ABS(FV('Investment Calculator'!$C$7/'Investment Calculator'!$F$4,'SIP Schedule'!C146,'SIP Schedule'!D146,,1)),"")</f>
        <v/>
      </c>
    </row>
    <row r="147" spans="3:6" x14ac:dyDescent="0.3">
      <c r="C147" s="1" t="str">
        <f>IF(C146&lt;'Investment Calculator'!$C$8*'Investment Calculator'!$F$4,'SIP Schedule'!C146+1,"")</f>
        <v/>
      </c>
      <c r="D147" s="27" t="str">
        <f>IF(C147&lt;='Investment Calculator'!$C$8*'Investment Calculator'!$F$4,'Investment Calculator'!$C$6,"")</f>
        <v/>
      </c>
      <c r="E147" s="27" t="str">
        <f>IFERROR((F146+D147)*'Investment Calculator'!$C$7/'Investment Calculator'!$F$4,"")</f>
        <v/>
      </c>
      <c r="F147" s="27" t="str">
        <f>IFERROR(ABS(FV('Investment Calculator'!$C$7/'Investment Calculator'!$F$4,'SIP Schedule'!C147,'SIP Schedule'!D147,,1)),"")</f>
        <v/>
      </c>
    </row>
    <row r="148" spans="3:6" x14ac:dyDescent="0.3">
      <c r="C148" s="1" t="str">
        <f>IF(C147&lt;'Investment Calculator'!$C$8*'Investment Calculator'!$F$4,'SIP Schedule'!C147+1,"")</f>
        <v/>
      </c>
      <c r="D148" s="27" t="str">
        <f>IF(C148&lt;='Investment Calculator'!$C$8*'Investment Calculator'!$F$4,'Investment Calculator'!$C$6,"")</f>
        <v/>
      </c>
      <c r="E148" s="27" t="str">
        <f>IFERROR((F147+D148)*'Investment Calculator'!$C$7/'Investment Calculator'!$F$4,"")</f>
        <v/>
      </c>
      <c r="F148" s="27" t="str">
        <f>IFERROR(ABS(FV('Investment Calculator'!$C$7/'Investment Calculator'!$F$4,'SIP Schedule'!C148,'SIP Schedule'!D148,,1)),"")</f>
        <v/>
      </c>
    </row>
    <row r="149" spans="3:6" x14ac:dyDescent="0.3">
      <c r="C149" s="1" t="str">
        <f>IF(C148&lt;'Investment Calculator'!$C$8*'Investment Calculator'!$F$4,'SIP Schedule'!C148+1,"")</f>
        <v/>
      </c>
      <c r="D149" s="27" t="str">
        <f>IF(C149&lt;='Investment Calculator'!$C$8*'Investment Calculator'!$F$4,'Investment Calculator'!$C$6,"")</f>
        <v/>
      </c>
      <c r="E149" s="27" t="str">
        <f>IFERROR((F148+D149)*'Investment Calculator'!$C$7/'Investment Calculator'!$F$4,"")</f>
        <v/>
      </c>
      <c r="F149" s="27" t="str">
        <f>IFERROR(ABS(FV('Investment Calculator'!$C$7/'Investment Calculator'!$F$4,'SIP Schedule'!C149,'SIP Schedule'!D149,,1)),"")</f>
        <v/>
      </c>
    </row>
    <row r="150" spans="3:6" x14ac:dyDescent="0.3">
      <c r="C150" s="1" t="str">
        <f>IF(C149&lt;'Investment Calculator'!$C$8*'Investment Calculator'!$F$4,'SIP Schedule'!C149+1,"")</f>
        <v/>
      </c>
      <c r="D150" s="27" t="str">
        <f>IF(C150&lt;='Investment Calculator'!$C$8*'Investment Calculator'!$F$4,'Investment Calculator'!$C$6,"")</f>
        <v/>
      </c>
      <c r="E150" s="27" t="str">
        <f>IFERROR((F149+D150)*'Investment Calculator'!$C$7/'Investment Calculator'!$F$4,"")</f>
        <v/>
      </c>
      <c r="F150" s="27" t="str">
        <f>IFERROR(ABS(FV('Investment Calculator'!$C$7/'Investment Calculator'!$F$4,'SIP Schedule'!C150,'SIP Schedule'!D150,,1)),"")</f>
        <v/>
      </c>
    </row>
    <row r="151" spans="3:6" x14ac:dyDescent="0.3">
      <c r="C151" s="1" t="str">
        <f>IF(C150&lt;'Investment Calculator'!$C$8*'Investment Calculator'!$F$4,'SIP Schedule'!C150+1,"")</f>
        <v/>
      </c>
      <c r="D151" s="27" t="str">
        <f>IF(C151&lt;='Investment Calculator'!$C$8*'Investment Calculator'!$F$4,'Investment Calculator'!$C$6,"")</f>
        <v/>
      </c>
      <c r="E151" s="27" t="str">
        <f>IFERROR((F150+D151)*'Investment Calculator'!$C$7/'Investment Calculator'!$F$4,"")</f>
        <v/>
      </c>
      <c r="F151" s="27" t="str">
        <f>IFERROR(ABS(FV('Investment Calculator'!$C$7/'Investment Calculator'!$F$4,'SIP Schedule'!C151,'SIP Schedule'!D151,,1)),"")</f>
        <v/>
      </c>
    </row>
    <row r="152" spans="3:6" x14ac:dyDescent="0.3">
      <c r="C152" s="1" t="str">
        <f>IF(C151&lt;'Investment Calculator'!$C$8*'Investment Calculator'!$F$4,'SIP Schedule'!C151+1,"")</f>
        <v/>
      </c>
      <c r="D152" s="27" t="str">
        <f>IF(C152&lt;='Investment Calculator'!$C$8*'Investment Calculator'!$F$4,'Investment Calculator'!$C$6,"")</f>
        <v/>
      </c>
      <c r="E152" s="27" t="str">
        <f>IFERROR((F151+D152)*'Investment Calculator'!$C$7/'Investment Calculator'!$F$4,"")</f>
        <v/>
      </c>
      <c r="F152" s="27" t="str">
        <f>IFERROR(ABS(FV('Investment Calculator'!$C$7/'Investment Calculator'!$F$4,'SIP Schedule'!C152,'SIP Schedule'!D152,,1)),"")</f>
        <v/>
      </c>
    </row>
    <row r="153" spans="3:6" x14ac:dyDescent="0.3">
      <c r="C153" s="1" t="str">
        <f>IF(C152&lt;'Investment Calculator'!$C$8*'Investment Calculator'!$F$4,'SIP Schedule'!C152+1,"")</f>
        <v/>
      </c>
      <c r="D153" s="27" t="str">
        <f>IF(C153&lt;='Investment Calculator'!$C$8*'Investment Calculator'!$F$4,'Investment Calculator'!$C$6,"")</f>
        <v/>
      </c>
      <c r="E153" s="27" t="str">
        <f>IFERROR((F152+D153)*'Investment Calculator'!$C$7/'Investment Calculator'!$F$4,"")</f>
        <v/>
      </c>
      <c r="F153" s="27" t="str">
        <f>IFERROR(ABS(FV('Investment Calculator'!$C$7/'Investment Calculator'!$F$4,'SIP Schedule'!C153,'SIP Schedule'!D153,,1)),"")</f>
        <v/>
      </c>
    </row>
    <row r="154" spans="3:6" x14ac:dyDescent="0.3">
      <c r="C154" s="1" t="str">
        <f>IF(C153&lt;'Investment Calculator'!$C$8*'Investment Calculator'!$F$4,'SIP Schedule'!C153+1,"")</f>
        <v/>
      </c>
      <c r="D154" s="27" t="str">
        <f>IF(C154&lt;='Investment Calculator'!$C$8*'Investment Calculator'!$F$4,'Investment Calculator'!$C$6,"")</f>
        <v/>
      </c>
      <c r="E154" s="27" t="str">
        <f>IFERROR((F153+D154)*'Investment Calculator'!$C$7/'Investment Calculator'!$F$4,"")</f>
        <v/>
      </c>
      <c r="F154" s="27" t="str">
        <f>IFERROR(ABS(FV('Investment Calculator'!$C$7/'Investment Calculator'!$F$4,'SIP Schedule'!C154,'SIP Schedule'!D154,,1)),"")</f>
        <v/>
      </c>
    </row>
    <row r="155" spans="3:6" x14ac:dyDescent="0.3">
      <c r="C155" s="1" t="str">
        <f>IF(C154&lt;'Investment Calculator'!$C$8*'Investment Calculator'!$F$4,'SIP Schedule'!C154+1,"")</f>
        <v/>
      </c>
      <c r="D155" s="27" t="str">
        <f>IF(C155&lt;='Investment Calculator'!$C$8*'Investment Calculator'!$F$4,'Investment Calculator'!$C$6,"")</f>
        <v/>
      </c>
      <c r="E155" s="27" t="str">
        <f>IFERROR((F154+D155)*'Investment Calculator'!$C$7/'Investment Calculator'!$F$4,"")</f>
        <v/>
      </c>
      <c r="F155" s="27" t="str">
        <f>IFERROR(ABS(FV('Investment Calculator'!$C$7/'Investment Calculator'!$F$4,'SIP Schedule'!C155,'SIP Schedule'!D155,,1)),"")</f>
        <v/>
      </c>
    </row>
    <row r="156" spans="3:6" x14ac:dyDescent="0.3">
      <c r="C156" s="1" t="str">
        <f>IF(C155&lt;'Investment Calculator'!$C$8*'Investment Calculator'!$F$4,'SIP Schedule'!C155+1,"")</f>
        <v/>
      </c>
      <c r="D156" s="27" t="str">
        <f>IF(C156&lt;='Investment Calculator'!$C$8*'Investment Calculator'!$F$4,'Investment Calculator'!$C$6,"")</f>
        <v/>
      </c>
      <c r="E156" s="27" t="str">
        <f>IFERROR((F155+D156)*'Investment Calculator'!$C$7/'Investment Calculator'!$F$4,"")</f>
        <v/>
      </c>
      <c r="F156" s="27" t="str">
        <f>IFERROR(ABS(FV('Investment Calculator'!$C$7/'Investment Calculator'!$F$4,'SIP Schedule'!C156,'SIP Schedule'!D156,,1)),"")</f>
        <v/>
      </c>
    </row>
    <row r="157" spans="3:6" x14ac:dyDescent="0.3">
      <c r="C157" s="1" t="str">
        <f>IF(C156&lt;'Investment Calculator'!$C$8*'Investment Calculator'!$F$4,'SIP Schedule'!C156+1,"")</f>
        <v/>
      </c>
      <c r="D157" s="27" t="str">
        <f>IF(C157&lt;='Investment Calculator'!$C$8*'Investment Calculator'!$F$4,'Investment Calculator'!$C$6,"")</f>
        <v/>
      </c>
      <c r="E157" s="27" t="str">
        <f>IFERROR((F156+D157)*'Investment Calculator'!$C$7/'Investment Calculator'!$F$4,"")</f>
        <v/>
      </c>
      <c r="F157" s="27" t="str">
        <f>IFERROR(ABS(FV('Investment Calculator'!$C$7/'Investment Calculator'!$F$4,'SIP Schedule'!C157,'SIP Schedule'!D157,,1)),"")</f>
        <v/>
      </c>
    </row>
    <row r="158" spans="3:6" x14ac:dyDescent="0.3">
      <c r="C158" s="1" t="str">
        <f>IF(C157&lt;'Investment Calculator'!$C$8*'Investment Calculator'!$F$4,'SIP Schedule'!C157+1,"")</f>
        <v/>
      </c>
      <c r="D158" s="27" t="str">
        <f>IF(C158&lt;='Investment Calculator'!$C$8*'Investment Calculator'!$F$4,'Investment Calculator'!$C$6,"")</f>
        <v/>
      </c>
      <c r="E158" s="27" t="str">
        <f>IFERROR((F157+D158)*'Investment Calculator'!$C$7/'Investment Calculator'!$F$4,"")</f>
        <v/>
      </c>
      <c r="F158" s="27" t="str">
        <f>IFERROR(ABS(FV('Investment Calculator'!$C$7/'Investment Calculator'!$F$4,'SIP Schedule'!C158,'SIP Schedule'!D158,,1)),"")</f>
        <v/>
      </c>
    </row>
    <row r="159" spans="3:6" x14ac:dyDescent="0.3">
      <c r="C159" s="1" t="str">
        <f>IF(C158&lt;'Investment Calculator'!$C$8*'Investment Calculator'!$F$4,'SIP Schedule'!C158+1,"")</f>
        <v/>
      </c>
      <c r="D159" s="27" t="str">
        <f>IF(C159&lt;='Investment Calculator'!$C$8*'Investment Calculator'!$F$4,'Investment Calculator'!$C$6,"")</f>
        <v/>
      </c>
      <c r="E159" s="27" t="str">
        <f>IFERROR((F158+D159)*'Investment Calculator'!$C$7/'Investment Calculator'!$F$4,"")</f>
        <v/>
      </c>
      <c r="F159" s="27" t="str">
        <f>IFERROR(ABS(FV('Investment Calculator'!$C$7/'Investment Calculator'!$F$4,'SIP Schedule'!C159,'SIP Schedule'!D159,,1)),"")</f>
        <v/>
      </c>
    </row>
    <row r="160" spans="3:6" x14ac:dyDescent="0.3">
      <c r="C160" s="1" t="str">
        <f>IF(C159&lt;'Investment Calculator'!$C$8*'Investment Calculator'!$F$4,'SIP Schedule'!C159+1,"")</f>
        <v/>
      </c>
      <c r="D160" s="27" t="str">
        <f>IF(C160&lt;='Investment Calculator'!$C$8*'Investment Calculator'!$F$4,'Investment Calculator'!$C$6,"")</f>
        <v/>
      </c>
      <c r="E160" s="27" t="str">
        <f>IFERROR((F159+D160)*'Investment Calculator'!$C$7/'Investment Calculator'!$F$4,"")</f>
        <v/>
      </c>
      <c r="F160" s="27" t="str">
        <f>IFERROR(ABS(FV('Investment Calculator'!$C$7/'Investment Calculator'!$F$4,'SIP Schedule'!C160,'SIP Schedule'!D160,,1)),"")</f>
        <v/>
      </c>
    </row>
    <row r="161" spans="3:6" x14ac:dyDescent="0.3">
      <c r="C161" s="1" t="str">
        <f>IF(C160&lt;'Investment Calculator'!$C$8*'Investment Calculator'!$F$4,'SIP Schedule'!C160+1,"")</f>
        <v/>
      </c>
      <c r="D161" s="27" t="str">
        <f>IF(C161&lt;='Investment Calculator'!$C$8*'Investment Calculator'!$F$4,'Investment Calculator'!$C$6,"")</f>
        <v/>
      </c>
      <c r="E161" s="27" t="str">
        <f>IFERROR((F160+D161)*'Investment Calculator'!$C$7/'Investment Calculator'!$F$4,"")</f>
        <v/>
      </c>
      <c r="F161" s="27" t="str">
        <f>IFERROR(ABS(FV('Investment Calculator'!$C$7/'Investment Calculator'!$F$4,'SIP Schedule'!C161,'SIP Schedule'!D161,,1)),"")</f>
        <v/>
      </c>
    </row>
    <row r="162" spans="3:6" x14ac:dyDescent="0.3">
      <c r="C162" s="1" t="str">
        <f>IF(C161&lt;'Investment Calculator'!$C$8*'Investment Calculator'!$F$4,'SIP Schedule'!C161+1,"")</f>
        <v/>
      </c>
      <c r="D162" s="27" t="str">
        <f>IF(C162&lt;='Investment Calculator'!$C$8*'Investment Calculator'!$F$4,'Investment Calculator'!$C$6,"")</f>
        <v/>
      </c>
      <c r="E162" s="27" t="str">
        <f>IFERROR((F161+D162)*'Investment Calculator'!$C$7/'Investment Calculator'!$F$4,"")</f>
        <v/>
      </c>
      <c r="F162" s="27" t="str">
        <f>IFERROR(ABS(FV('Investment Calculator'!$C$7/'Investment Calculator'!$F$4,'SIP Schedule'!C162,'SIP Schedule'!D162,,1)),"")</f>
        <v/>
      </c>
    </row>
    <row r="163" spans="3:6" x14ac:dyDescent="0.3">
      <c r="C163" s="1" t="str">
        <f>IF(C162&lt;'Investment Calculator'!$C$8*'Investment Calculator'!$F$4,'SIP Schedule'!C162+1,"")</f>
        <v/>
      </c>
      <c r="D163" s="27" t="str">
        <f>IF(C163&lt;='Investment Calculator'!$C$8*'Investment Calculator'!$F$4,'Investment Calculator'!$C$6,"")</f>
        <v/>
      </c>
      <c r="E163" s="27" t="str">
        <f>IFERROR((F162+D163)*'Investment Calculator'!$C$7/'Investment Calculator'!$F$4,"")</f>
        <v/>
      </c>
      <c r="F163" s="27" t="str">
        <f>IFERROR(ABS(FV('Investment Calculator'!$C$7/'Investment Calculator'!$F$4,'SIP Schedule'!C163,'SIP Schedule'!D163,,1)),"")</f>
        <v/>
      </c>
    </row>
    <row r="164" spans="3:6" x14ac:dyDescent="0.3">
      <c r="C164" s="1" t="str">
        <f>IF(C163&lt;'Investment Calculator'!$C$8*'Investment Calculator'!$F$4,'SIP Schedule'!C163+1,"")</f>
        <v/>
      </c>
      <c r="D164" s="27" t="str">
        <f>IF(C164&lt;='Investment Calculator'!$C$8*'Investment Calculator'!$F$4,'Investment Calculator'!$C$6,"")</f>
        <v/>
      </c>
      <c r="E164" s="27" t="str">
        <f>IFERROR((F163+D164)*'Investment Calculator'!$C$7/'Investment Calculator'!$F$4,"")</f>
        <v/>
      </c>
      <c r="F164" s="27" t="str">
        <f>IFERROR(ABS(FV('Investment Calculator'!$C$7/'Investment Calculator'!$F$4,'SIP Schedule'!C164,'SIP Schedule'!D164,,1)),"")</f>
        <v/>
      </c>
    </row>
    <row r="165" spans="3:6" x14ac:dyDescent="0.3">
      <c r="C165" s="1" t="str">
        <f>IF(C164&lt;'Investment Calculator'!$C$8*'Investment Calculator'!$F$4,'SIP Schedule'!C164+1,"")</f>
        <v/>
      </c>
      <c r="D165" s="27" t="str">
        <f>IF(C165&lt;='Investment Calculator'!$C$8*'Investment Calculator'!$F$4,'Investment Calculator'!$C$6,"")</f>
        <v/>
      </c>
      <c r="E165" s="27" t="str">
        <f>IFERROR((F164+D165)*'Investment Calculator'!$C$7/'Investment Calculator'!$F$4,"")</f>
        <v/>
      </c>
      <c r="F165" s="27" t="str">
        <f>IFERROR(ABS(FV('Investment Calculator'!$C$7/'Investment Calculator'!$F$4,'SIP Schedule'!C165,'SIP Schedule'!D165,,1)),"")</f>
        <v/>
      </c>
    </row>
    <row r="166" spans="3:6" x14ac:dyDescent="0.3">
      <c r="C166" s="1" t="str">
        <f>IF(C165&lt;'Investment Calculator'!$C$8*'Investment Calculator'!$F$4,'SIP Schedule'!C165+1,"")</f>
        <v/>
      </c>
      <c r="D166" s="27" t="str">
        <f>IF(C166&lt;='Investment Calculator'!$C$8*'Investment Calculator'!$F$4,'Investment Calculator'!$C$6,"")</f>
        <v/>
      </c>
      <c r="E166" s="27" t="str">
        <f>IFERROR((F165+D166)*'Investment Calculator'!$C$7/'Investment Calculator'!$F$4,"")</f>
        <v/>
      </c>
      <c r="F166" s="27" t="str">
        <f>IFERROR(ABS(FV('Investment Calculator'!$C$7/'Investment Calculator'!$F$4,'SIP Schedule'!C166,'SIP Schedule'!D166,,1)),"")</f>
        <v/>
      </c>
    </row>
    <row r="167" spans="3:6" x14ac:dyDescent="0.3">
      <c r="C167" s="1" t="str">
        <f>IF(C166&lt;'Investment Calculator'!$C$8*'Investment Calculator'!$F$4,'SIP Schedule'!C166+1,"")</f>
        <v/>
      </c>
      <c r="D167" s="27" t="str">
        <f>IF(C167&lt;='Investment Calculator'!$C$8*'Investment Calculator'!$F$4,'Investment Calculator'!$C$6,"")</f>
        <v/>
      </c>
      <c r="E167" s="27" t="str">
        <f>IFERROR((F166+D167)*'Investment Calculator'!$C$7/'Investment Calculator'!$F$4,"")</f>
        <v/>
      </c>
      <c r="F167" s="27" t="str">
        <f>IFERROR(ABS(FV('Investment Calculator'!$C$7/'Investment Calculator'!$F$4,'SIP Schedule'!C167,'SIP Schedule'!D167,,1)),"")</f>
        <v/>
      </c>
    </row>
    <row r="168" spans="3:6" x14ac:dyDescent="0.3">
      <c r="C168" s="1" t="str">
        <f>IF(C167&lt;'Investment Calculator'!$C$8*'Investment Calculator'!$F$4,'SIP Schedule'!C167+1,"")</f>
        <v/>
      </c>
      <c r="D168" s="27" t="str">
        <f>IF(C168&lt;='Investment Calculator'!$C$8*'Investment Calculator'!$F$4,'Investment Calculator'!$C$6,"")</f>
        <v/>
      </c>
      <c r="E168" s="27" t="str">
        <f>IFERROR((F167+D168)*'Investment Calculator'!$C$7/'Investment Calculator'!$F$4,"")</f>
        <v/>
      </c>
      <c r="F168" s="27" t="str">
        <f>IFERROR(ABS(FV('Investment Calculator'!$C$7/'Investment Calculator'!$F$4,'SIP Schedule'!C168,'SIP Schedule'!D168,,1)),"")</f>
        <v/>
      </c>
    </row>
    <row r="169" spans="3:6" x14ac:dyDescent="0.3">
      <c r="C169" s="1" t="str">
        <f>IF(C168&lt;'Investment Calculator'!$C$8*'Investment Calculator'!$F$4,'SIP Schedule'!C168+1,"")</f>
        <v/>
      </c>
      <c r="D169" s="27" t="str">
        <f>IF(C169&lt;='Investment Calculator'!$C$8*'Investment Calculator'!$F$4,'Investment Calculator'!$C$6,"")</f>
        <v/>
      </c>
      <c r="E169" s="27" t="str">
        <f>IFERROR((F168+D169)*'Investment Calculator'!$C$7/'Investment Calculator'!$F$4,"")</f>
        <v/>
      </c>
      <c r="F169" s="27" t="str">
        <f>IFERROR(ABS(FV('Investment Calculator'!$C$7/'Investment Calculator'!$F$4,'SIP Schedule'!C169,'SIP Schedule'!D169,,1)),"")</f>
        <v/>
      </c>
    </row>
    <row r="170" spans="3:6" x14ac:dyDescent="0.3">
      <c r="C170" s="1" t="str">
        <f>IF(C169&lt;'Investment Calculator'!$C$8*'Investment Calculator'!$F$4,'SIP Schedule'!C169+1,"")</f>
        <v/>
      </c>
      <c r="D170" s="27" t="str">
        <f>IF(C170&lt;='Investment Calculator'!$C$8*'Investment Calculator'!$F$4,'Investment Calculator'!$C$6,"")</f>
        <v/>
      </c>
      <c r="E170" s="27" t="str">
        <f>IFERROR((F169+D170)*'Investment Calculator'!$C$7/'Investment Calculator'!$F$4,"")</f>
        <v/>
      </c>
      <c r="F170" s="27" t="str">
        <f>IFERROR(ABS(FV('Investment Calculator'!$C$7/'Investment Calculator'!$F$4,'SIP Schedule'!C170,'SIP Schedule'!D170,,1)),"")</f>
        <v/>
      </c>
    </row>
    <row r="171" spans="3:6" x14ac:dyDescent="0.3">
      <c r="C171" s="1" t="str">
        <f>IF(C170&lt;'Investment Calculator'!$C$8*'Investment Calculator'!$F$4,'SIP Schedule'!C170+1,"")</f>
        <v/>
      </c>
      <c r="D171" s="27" t="str">
        <f>IF(C171&lt;='Investment Calculator'!$C$8*'Investment Calculator'!$F$4,'Investment Calculator'!$C$6,"")</f>
        <v/>
      </c>
      <c r="E171" s="27" t="str">
        <f>IFERROR((F170+D171)*'Investment Calculator'!$C$7/'Investment Calculator'!$F$4,"")</f>
        <v/>
      </c>
      <c r="F171" s="27" t="str">
        <f>IFERROR(ABS(FV('Investment Calculator'!$C$7/'Investment Calculator'!$F$4,'SIP Schedule'!C171,'SIP Schedule'!D171,,1)),"")</f>
        <v/>
      </c>
    </row>
    <row r="172" spans="3:6" x14ac:dyDescent="0.3">
      <c r="C172" s="1" t="str">
        <f>IF(C171&lt;'Investment Calculator'!$C$8*'Investment Calculator'!$F$4,'SIP Schedule'!C171+1,"")</f>
        <v/>
      </c>
      <c r="D172" s="27" t="str">
        <f>IF(C172&lt;='Investment Calculator'!$C$8*'Investment Calculator'!$F$4,'Investment Calculator'!$C$6,"")</f>
        <v/>
      </c>
      <c r="E172" s="27" t="str">
        <f>IFERROR((F171+D172)*'Investment Calculator'!$C$7/'Investment Calculator'!$F$4,"")</f>
        <v/>
      </c>
      <c r="F172" s="27" t="str">
        <f>IFERROR(ABS(FV('Investment Calculator'!$C$7/'Investment Calculator'!$F$4,'SIP Schedule'!C172,'SIP Schedule'!D172,,1)),"")</f>
        <v/>
      </c>
    </row>
    <row r="173" spans="3:6" x14ac:dyDescent="0.3">
      <c r="C173" s="1" t="str">
        <f>IF(C172&lt;'Investment Calculator'!$C$8*'Investment Calculator'!$F$4,'SIP Schedule'!C172+1,"")</f>
        <v/>
      </c>
      <c r="D173" s="27" t="str">
        <f>IF(C173&lt;='Investment Calculator'!$C$8*'Investment Calculator'!$F$4,'Investment Calculator'!$C$6,"")</f>
        <v/>
      </c>
      <c r="E173" s="27" t="str">
        <f>IFERROR((F172+D173)*'Investment Calculator'!$C$7/'Investment Calculator'!$F$4,"")</f>
        <v/>
      </c>
      <c r="F173" s="27" t="str">
        <f>IFERROR(ABS(FV('Investment Calculator'!$C$7/'Investment Calculator'!$F$4,'SIP Schedule'!C173,'SIP Schedule'!D173,,1)),"")</f>
        <v/>
      </c>
    </row>
    <row r="174" spans="3:6" x14ac:dyDescent="0.3">
      <c r="C174" s="1" t="str">
        <f>IF(C173&lt;'Investment Calculator'!$C$8*'Investment Calculator'!$F$4,'SIP Schedule'!C173+1,"")</f>
        <v/>
      </c>
      <c r="D174" s="27" t="str">
        <f>IF(C174&lt;='Investment Calculator'!$C$8*'Investment Calculator'!$F$4,'Investment Calculator'!$C$6,"")</f>
        <v/>
      </c>
      <c r="E174" s="27" t="str">
        <f>IFERROR((F173+D174)*'Investment Calculator'!$C$7/'Investment Calculator'!$F$4,"")</f>
        <v/>
      </c>
      <c r="F174" s="27" t="str">
        <f>IFERROR(ABS(FV('Investment Calculator'!$C$7/'Investment Calculator'!$F$4,'SIP Schedule'!C174,'SIP Schedule'!D174,,1)),"")</f>
        <v/>
      </c>
    </row>
    <row r="175" spans="3:6" x14ac:dyDescent="0.3">
      <c r="C175" s="1" t="str">
        <f>IF(C174&lt;'Investment Calculator'!$C$8*'Investment Calculator'!$F$4,'SIP Schedule'!C174+1,"")</f>
        <v/>
      </c>
      <c r="D175" s="27" t="str">
        <f>IF(C175&lt;='Investment Calculator'!$C$8*'Investment Calculator'!$F$4,'Investment Calculator'!$C$6,"")</f>
        <v/>
      </c>
      <c r="E175" s="27" t="str">
        <f>IFERROR((F174+D175)*'Investment Calculator'!$C$7/'Investment Calculator'!$F$4,"")</f>
        <v/>
      </c>
      <c r="F175" s="27" t="str">
        <f>IFERROR(ABS(FV('Investment Calculator'!$C$7/'Investment Calculator'!$F$4,'SIP Schedule'!C175,'SIP Schedule'!D175,,1)),"")</f>
        <v/>
      </c>
    </row>
    <row r="176" spans="3:6" x14ac:dyDescent="0.3">
      <c r="C176" s="1" t="str">
        <f>IF(C175&lt;'Investment Calculator'!$C$8*'Investment Calculator'!$F$4,'SIP Schedule'!C175+1,"")</f>
        <v/>
      </c>
      <c r="D176" s="27" t="str">
        <f>IF(C176&lt;='Investment Calculator'!$C$8*'Investment Calculator'!$F$4,'Investment Calculator'!$C$6,"")</f>
        <v/>
      </c>
      <c r="E176" s="27" t="str">
        <f>IFERROR((F175+D176)*'Investment Calculator'!$C$7/'Investment Calculator'!$F$4,"")</f>
        <v/>
      </c>
      <c r="F176" s="27" t="str">
        <f>IFERROR(ABS(FV('Investment Calculator'!$C$7/'Investment Calculator'!$F$4,'SIP Schedule'!C176,'SIP Schedule'!D176,,1)),"")</f>
        <v/>
      </c>
    </row>
    <row r="177" spans="3:6" x14ac:dyDescent="0.3">
      <c r="C177" s="1" t="str">
        <f>IF(C176&lt;'Investment Calculator'!$C$8*'Investment Calculator'!$F$4,'SIP Schedule'!C176+1,"")</f>
        <v/>
      </c>
      <c r="D177" s="27" t="str">
        <f>IF(C177&lt;='Investment Calculator'!$C$8*'Investment Calculator'!$F$4,'Investment Calculator'!$C$6,"")</f>
        <v/>
      </c>
      <c r="E177" s="27" t="str">
        <f>IFERROR((F176+D177)*'Investment Calculator'!$C$7/'Investment Calculator'!$F$4,"")</f>
        <v/>
      </c>
      <c r="F177" s="27" t="str">
        <f>IFERROR(ABS(FV('Investment Calculator'!$C$7/'Investment Calculator'!$F$4,'SIP Schedule'!C177,'SIP Schedule'!D177,,1)),"")</f>
        <v/>
      </c>
    </row>
    <row r="178" spans="3:6" x14ac:dyDescent="0.3">
      <c r="C178" s="1" t="str">
        <f>IF(C177&lt;'Investment Calculator'!$C$8*'Investment Calculator'!$F$4,'SIP Schedule'!C177+1,"")</f>
        <v/>
      </c>
      <c r="D178" s="27" t="str">
        <f>IF(C178&lt;='Investment Calculator'!$C$8*'Investment Calculator'!$F$4,'Investment Calculator'!$C$6,"")</f>
        <v/>
      </c>
      <c r="E178" s="27" t="str">
        <f>IFERROR((F177+D178)*'Investment Calculator'!$C$7/'Investment Calculator'!$F$4,"")</f>
        <v/>
      </c>
      <c r="F178" s="27" t="str">
        <f>IFERROR(ABS(FV('Investment Calculator'!$C$7/'Investment Calculator'!$F$4,'SIP Schedule'!C178,'SIP Schedule'!D178,,1)),"")</f>
        <v/>
      </c>
    </row>
    <row r="179" spans="3:6" x14ac:dyDescent="0.3">
      <c r="C179" s="1" t="str">
        <f>IF(C178&lt;'Investment Calculator'!$C$8*'Investment Calculator'!$F$4,'SIP Schedule'!C178+1,"")</f>
        <v/>
      </c>
      <c r="D179" s="27" t="str">
        <f>IF(C179&lt;='Investment Calculator'!$C$8*'Investment Calculator'!$F$4,'Investment Calculator'!$C$6,"")</f>
        <v/>
      </c>
      <c r="E179" s="27" t="str">
        <f>IFERROR((F178+D179)*'Investment Calculator'!$C$7/'Investment Calculator'!$F$4,"")</f>
        <v/>
      </c>
      <c r="F179" s="27" t="str">
        <f>IFERROR(ABS(FV('Investment Calculator'!$C$7/'Investment Calculator'!$F$4,'SIP Schedule'!C179,'SIP Schedule'!D179,,1)),"")</f>
        <v/>
      </c>
    </row>
    <row r="180" spans="3:6" x14ac:dyDescent="0.3">
      <c r="C180" s="1" t="str">
        <f>IF(C179&lt;'Investment Calculator'!$C$8*'Investment Calculator'!$F$4,'SIP Schedule'!C179+1,"")</f>
        <v/>
      </c>
      <c r="D180" s="27" t="str">
        <f>IF(C180&lt;='Investment Calculator'!$C$8*'Investment Calculator'!$F$4,'Investment Calculator'!$C$6,"")</f>
        <v/>
      </c>
      <c r="E180" s="27" t="str">
        <f>IFERROR((F179+D180)*'Investment Calculator'!$C$7/'Investment Calculator'!$F$4,"")</f>
        <v/>
      </c>
      <c r="F180" s="27" t="str">
        <f>IFERROR(ABS(FV('Investment Calculator'!$C$7/'Investment Calculator'!$F$4,'SIP Schedule'!C180,'SIP Schedule'!D180,,1)),"")</f>
        <v/>
      </c>
    </row>
    <row r="181" spans="3:6" x14ac:dyDescent="0.3">
      <c r="C181" s="1" t="str">
        <f>IF(C180&lt;'Investment Calculator'!$C$8*'Investment Calculator'!$F$4,'SIP Schedule'!C180+1,"")</f>
        <v/>
      </c>
      <c r="D181" s="27" t="str">
        <f>IF(C181&lt;='Investment Calculator'!$C$8*'Investment Calculator'!$F$4,'Investment Calculator'!$C$6,"")</f>
        <v/>
      </c>
      <c r="E181" s="27" t="str">
        <f>IFERROR((F180+D181)*'Investment Calculator'!$C$7/'Investment Calculator'!$F$4,"")</f>
        <v/>
      </c>
      <c r="F181" s="27" t="str">
        <f>IFERROR(ABS(FV('Investment Calculator'!$C$7/'Investment Calculator'!$F$4,'SIP Schedule'!C181,'SIP Schedule'!D181,,1)),"")</f>
        <v/>
      </c>
    </row>
    <row r="182" spans="3:6" x14ac:dyDescent="0.3">
      <c r="C182" s="1" t="str">
        <f>IF(C181&lt;'Investment Calculator'!$C$8*'Investment Calculator'!$F$4,'SIP Schedule'!C181+1,"")</f>
        <v/>
      </c>
      <c r="D182" s="27" t="str">
        <f>IF(C182&lt;='Investment Calculator'!$C$8*'Investment Calculator'!$F$4,'Investment Calculator'!$C$6,"")</f>
        <v/>
      </c>
      <c r="E182" s="27" t="str">
        <f>IFERROR((F181+D182)*'Investment Calculator'!$C$7/'Investment Calculator'!$F$4,"")</f>
        <v/>
      </c>
      <c r="F182" s="27" t="str">
        <f>IFERROR(ABS(FV('Investment Calculator'!$C$7/'Investment Calculator'!$F$4,'SIP Schedule'!C182,'SIP Schedule'!D182,,1)),"")</f>
        <v/>
      </c>
    </row>
    <row r="183" spans="3:6" x14ac:dyDescent="0.3">
      <c r="C183" s="1" t="str">
        <f>IF(C182&lt;'Investment Calculator'!$C$8*'Investment Calculator'!$F$4,'SIP Schedule'!C182+1,"")</f>
        <v/>
      </c>
      <c r="D183" s="27" t="str">
        <f>IF(C183&lt;='Investment Calculator'!$C$8*'Investment Calculator'!$F$4,'Investment Calculator'!$C$6,"")</f>
        <v/>
      </c>
      <c r="E183" s="27" t="str">
        <f>IFERROR((F182+D183)*'Investment Calculator'!$C$7/'Investment Calculator'!$F$4,"")</f>
        <v/>
      </c>
      <c r="F183" s="27" t="str">
        <f>IFERROR(ABS(FV('Investment Calculator'!$C$7/'Investment Calculator'!$F$4,'SIP Schedule'!C183,'SIP Schedule'!D183,,1)),"")</f>
        <v/>
      </c>
    </row>
    <row r="184" spans="3:6" x14ac:dyDescent="0.3">
      <c r="C184" s="1" t="str">
        <f>IF(C183&lt;'Investment Calculator'!$C$8*'Investment Calculator'!$F$4,'SIP Schedule'!C183+1,"")</f>
        <v/>
      </c>
      <c r="D184" s="27" t="str">
        <f>IF(C184&lt;='Investment Calculator'!$C$8*'Investment Calculator'!$F$4,'Investment Calculator'!$C$6,"")</f>
        <v/>
      </c>
      <c r="E184" s="27" t="str">
        <f>IFERROR((F183+D184)*'Investment Calculator'!$C$7/'Investment Calculator'!$F$4,"")</f>
        <v/>
      </c>
      <c r="F184" s="27" t="str">
        <f>IFERROR(ABS(FV('Investment Calculator'!$C$7/'Investment Calculator'!$F$4,'SIP Schedule'!C184,'SIP Schedule'!D184,,1)),"")</f>
        <v/>
      </c>
    </row>
    <row r="185" spans="3:6" x14ac:dyDescent="0.3">
      <c r="C185" s="1" t="str">
        <f>IF(C184&lt;'Investment Calculator'!$C$8*'Investment Calculator'!$F$4,'SIP Schedule'!C184+1,"")</f>
        <v/>
      </c>
      <c r="D185" s="27" t="str">
        <f>IF(C185&lt;='Investment Calculator'!$C$8*'Investment Calculator'!$F$4,'Investment Calculator'!$C$6,"")</f>
        <v/>
      </c>
      <c r="E185" s="27" t="str">
        <f>IFERROR((F184+D185)*'Investment Calculator'!$C$7/'Investment Calculator'!$F$4,"")</f>
        <v/>
      </c>
      <c r="F185" s="27" t="str">
        <f>IFERROR(ABS(FV('Investment Calculator'!$C$7/'Investment Calculator'!$F$4,'SIP Schedule'!C185,'SIP Schedule'!D185,,1)),"")</f>
        <v/>
      </c>
    </row>
    <row r="186" spans="3:6" x14ac:dyDescent="0.3">
      <c r="C186" s="1" t="str">
        <f>IF(C185&lt;'Investment Calculator'!$C$8*'Investment Calculator'!$F$4,'SIP Schedule'!C185+1,"")</f>
        <v/>
      </c>
      <c r="D186" s="27" t="str">
        <f>IF(C186&lt;='Investment Calculator'!$C$8*'Investment Calculator'!$F$4,'Investment Calculator'!$C$6,"")</f>
        <v/>
      </c>
      <c r="E186" s="27" t="str">
        <f>IFERROR((F185+D186)*'Investment Calculator'!$C$7/'Investment Calculator'!$F$4,"")</f>
        <v/>
      </c>
      <c r="F186" s="27" t="str">
        <f>IFERROR(ABS(FV('Investment Calculator'!$C$7/'Investment Calculator'!$F$4,'SIP Schedule'!C186,'SIP Schedule'!D186,,1)),"")</f>
        <v/>
      </c>
    </row>
    <row r="187" spans="3:6" x14ac:dyDescent="0.3">
      <c r="C187" s="1" t="str">
        <f>IF(C186&lt;'Investment Calculator'!$C$8*'Investment Calculator'!$F$4,'SIP Schedule'!C186+1,"")</f>
        <v/>
      </c>
      <c r="D187" s="27" t="str">
        <f>IF(C187&lt;='Investment Calculator'!$C$8*'Investment Calculator'!$F$4,'Investment Calculator'!$C$6,"")</f>
        <v/>
      </c>
      <c r="E187" s="27" t="str">
        <f>IFERROR((F186+D187)*'Investment Calculator'!$C$7/'Investment Calculator'!$F$4,"")</f>
        <v/>
      </c>
      <c r="F187" s="27" t="str">
        <f>IFERROR(ABS(FV('Investment Calculator'!$C$7/'Investment Calculator'!$F$4,'SIP Schedule'!C187,'SIP Schedule'!D187,,1)),"")</f>
        <v/>
      </c>
    </row>
    <row r="188" spans="3:6" x14ac:dyDescent="0.3">
      <c r="C188" s="1" t="str">
        <f>IF(C187&lt;'Investment Calculator'!$C$8*'Investment Calculator'!$F$4,'SIP Schedule'!C187+1,"")</f>
        <v/>
      </c>
      <c r="D188" s="27" t="str">
        <f>IF(C188&lt;='Investment Calculator'!$C$8*'Investment Calculator'!$F$4,'Investment Calculator'!$C$6,"")</f>
        <v/>
      </c>
      <c r="E188" s="27" t="str">
        <f>IFERROR((F187+D188)*'Investment Calculator'!$C$7/'Investment Calculator'!$F$4,"")</f>
        <v/>
      </c>
      <c r="F188" s="27" t="str">
        <f>IFERROR(ABS(FV('Investment Calculator'!$C$7/'Investment Calculator'!$F$4,'SIP Schedule'!C188,'SIP Schedule'!D188,,1)),"")</f>
        <v/>
      </c>
    </row>
    <row r="189" spans="3:6" x14ac:dyDescent="0.3">
      <c r="C189" s="1" t="str">
        <f>IF(C188&lt;'Investment Calculator'!$C$8*'Investment Calculator'!$F$4,'SIP Schedule'!C188+1,"")</f>
        <v/>
      </c>
      <c r="D189" s="27" t="str">
        <f>IF(C189&lt;='Investment Calculator'!$C$8*'Investment Calculator'!$F$4,'Investment Calculator'!$C$6,"")</f>
        <v/>
      </c>
      <c r="E189" s="27" t="str">
        <f>IFERROR((F188+D189)*'Investment Calculator'!$C$7/'Investment Calculator'!$F$4,"")</f>
        <v/>
      </c>
      <c r="F189" s="27" t="str">
        <f>IFERROR(ABS(FV('Investment Calculator'!$C$7/'Investment Calculator'!$F$4,'SIP Schedule'!C189,'SIP Schedule'!D189,,1)),"")</f>
        <v/>
      </c>
    </row>
    <row r="190" spans="3:6" x14ac:dyDescent="0.3">
      <c r="C190" s="1" t="str">
        <f>IF(C189&lt;'Investment Calculator'!$C$8*'Investment Calculator'!$F$4,'SIP Schedule'!C189+1,"")</f>
        <v/>
      </c>
      <c r="D190" s="27" t="str">
        <f>IF(C190&lt;='Investment Calculator'!$C$8*'Investment Calculator'!$F$4,'Investment Calculator'!$C$6,"")</f>
        <v/>
      </c>
      <c r="E190" s="27" t="str">
        <f>IFERROR((F189+D190)*'Investment Calculator'!$C$7/'Investment Calculator'!$F$4,"")</f>
        <v/>
      </c>
      <c r="F190" s="27" t="str">
        <f>IFERROR(ABS(FV('Investment Calculator'!$C$7/'Investment Calculator'!$F$4,'SIP Schedule'!C190,'SIP Schedule'!D190,,1)),"")</f>
        <v/>
      </c>
    </row>
    <row r="191" spans="3:6" x14ac:dyDescent="0.3">
      <c r="C191" s="1" t="str">
        <f>IF(C190&lt;'Investment Calculator'!$C$8*'Investment Calculator'!$F$4,'SIP Schedule'!C190+1,"")</f>
        <v/>
      </c>
      <c r="D191" s="27" t="str">
        <f>IF(C191&lt;='Investment Calculator'!$C$8*'Investment Calculator'!$F$4,'Investment Calculator'!$C$6,"")</f>
        <v/>
      </c>
      <c r="E191" s="27" t="str">
        <f>IFERROR((F190+D191)*'Investment Calculator'!$C$7/'Investment Calculator'!$F$4,"")</f>
        <v/>
      </c>
      <c r="F191" s="27" t="str">
        <f>IFERROR(ABS(FV('Investment Calculator'!$C$7/'Investment Calculator'!$F$4,'SIP Schedule'!C191,'SIP Schedule'!D191,,1)),"")</f>
        <v/>
      </c>
    </row>
    <row r="192" spans="3:6" x14ac:dyDescent="0.3">
      <c r="C192" s="1" t="str">
        <f>IF(C191&lt;'Investment Calculator'!$C$8*'Investment Calculator'!$F$4,'SIP Schedule'!C191+1,"")</f>
        <v/>
      </c>
      <c r="D192" s="27" t="str">
        <f>IF(C192&lt;='Investment Calculator'!$C$8*'Investment Calculator'!$F$4,'Investment Calculator'!$C$6,"")</f>
        <v/>
      </c>
      <c r="E192" s="27" t="str">
        <f>IFERROR((F191+D192)*'Investment Calculator'!$C$7/'Investment Calculator'!$F$4,"")</f>
        <v/>
      </c>
      <c r="F192" s="27" t="str">
        <f>IFERROR(ABS(FV('Investment Calculator'!$C$7/'Investment Calculator'!$F$4,'SIP Schedule'!C192,'SIP Schedule'!D192,,1)),"")</f>
        <v/>
      </c>
    </row>
    <row r="193" spans="3:6" x14ac:dyDescent="0.3">
      <c r="C193" s="1" t="str">
        <f>IF(C192&lt;'Investment Calculator'!$C$8*'Investment Calculator'!$F$4,'SIP Schedule'!C192+1,"")</f>
        <v/>
      </c>
      <c r="D193" s="27" t="str">
        <f>IF(C193&lt;='Investment Calculator'!$C$8*'Investment Calculator'!$F$4,'Investment Calculator'!$C$6,"")</f>
        <v/>
      </c>
      <c r="E193" s="27" t="str">
        <f>IFERROR((F192+D193)*'Investment Calculator'!$C$7/'Investment Calculator'!$F$4,"")</f>
        <v/>
      </c>
      <c r="F193" s="27" t="str">
        <f>IFERROR(ABS(FV('Investment Calculator'!$C$7/'Investment Calculator'!$F$4,'SIP Schedule'!C193,'SIP Schedule'!D193,,1)),"")</f>
        <v/>
      </c>
    </row>
    <row r="194" spans="3:6" x14ac:dyDescent="0.3">
      <c r="C194" s="1" t="str">
        <f>IF(C193&lt;'Investment Calculator'!$C$8*'Investment Calculator'!$F$4,'SIP Schedule'!C193+1,"")</f>
        <v/>
      </c>
      <c r="D194" s="27" t="str">
        <f>IF(C194&lt;='Investment Calculator'!$C$8*'Investment Calculator'!$F$4,'Investment Calculator'!$C$6,"")</f>
        <v/>
      </c>
      <c r="E194" s="27" t="str">
        <f>IFERROR((F193+D194)*'Investment Calculator'!$C$7/'Investment Calculator'!$F$4,"")</f>
        <v/>
      </c>
      <c r="F194" s="27" t="str">
        <f>IFERROR(ABS(FV('Investment Calculator'!$C$7/'Investment Calculator'!$F$4,'SIP Schedule'!C194,'SIP Schedule'!D194,,1)),"")</f>
        <v/>
      </c>
    </row>
    <row r="195" spans="3:6" x14ac:dyDescent="0.3">
      <c r="C195" s="1" t="str">
        <f>IF(C194&lt;'Investment Calculator'!$C$8*'Investment Calculator'!$F$4,'SIP Schedule'!C194+1,"")</f>
        <v/>
      </c>
      <c r="D195" s="27" t="str">
        <f>IF(C195&lt;='Investment Calculator'!$C$8*'Investment Calculator'!$F$4,'Investment Calculator'!$C$6,"")</f>
        <v/>
      </c>
      <c r="E195" s="27" t="str">
        <f>IFERROR((F194+D195)*'Investment Calculator'!$C$7/'Investment Calculator'!$F$4,"")</f>
        <v/>
      </c>
      <c r="F195" s="27" t="str">
        <f>IFERROR(ABS(FV('Investment Calculator'!$C$7/'Investment Calculator'!$F$4,'SIP Schedule'!C195,'SIP Schedule'!D195,,1)),"")</f>
        <v/>
      </c>
    </row>
    <row r="196" spans="3:6" x14ac:dyDescent="0.3">
      <c r="C196" s="1" t="str">
        <f>IF(C195&lt;'Investment Calculator'!$C$8*'Investment Calculator'!$F$4,'SIP Schedule'!C195+1,"")</f>
        <v/>
      </c>
      <c r="D196" s="27" t="str">
        <f>IF(C196&lt;='Investment Calculator'!$C$8*'Investment Calculator'!$F$4,'Investment Calculator'!$C$6,"")</f>
        <v/>
      </c>
      <c r="E196" s="27" t="str">
        <f>IFERROR((F195+D196)*'Investment Calculator'!$C$7/'Investment Calculator'!$F$4,"")</f>
        <v/>
      </c>
      <c r="F196" s="27" t="str">
        <f>IFERROR(ABS(FV('Investment Calculator'!$C$7/'Investment Calculator'!$F$4,'SIP Schedule'!C196,'SIP Schedule'!D196,,1)),"")</f>
        <v/>
      </c>
    </row>
    <row r="197" spans="3:6" x14ac:dyDescent="0.3">
      <c r="C197" s="1" t="str">
        <f>IF(C196&lt;'Investment Calculator'!$C$8*'Investment Calculator'!$F$4,'SIP Schedule'!C196+1,"")</f>
        <v/>
      </c>
      <c r="D197" s="27" t="str">
        <f>IF(C197&lt;='Investment Calculator'!$C$8*'Investment Calculator'!$F$4,'Investment Calculator'!$C$6,"")</f>
        <v/>
      </c>
      <c r="E197" s="27" t="str">
        <f>IFERROR((F196+D197)*'Investment Calculator'!$C$7/'Investment Calculator'!$F$4,"")</f>
        <v/>
      </c>
      <c r="F197" s="27" t="str">
        <f>IFERROR(ABS(FV('Investment Calculator'!$C$7/'Investment Calculator'!$F$4,'SIP Schedule'!C197,'SIP Schedule'!D197,,1)),"")</f>
        <v/>
      </c>
    </row>
    <row r="198" spans="3:6" x14ac:dyDescent="0.3">
      <c r="C198" s="1" t="str">
        <f>IF(C197&lt;'Investment Calculator'!$C$8*'Investment Calculator'!$F$4,'SIP Schedule'!C197+1,"")</f>
        <v/>
      </c>
      <c r="D198" s="27" t="str">
        <f>IF(C198&lt;='Investment Calculator'!$C$8*'Investment Calculator'!$F$4,'Investment Calculator'!$C$6,"")</f>
        <v/>
      </c>
      <c r="E198" s="27" t="str">
        <f>IFERROR((F197+D198)*'Investment Calculator'!$C$7/'Investment Calculator'!$F$4,"")</f>
        <v/>
      </c>
      <c r="F198" s="27" t="str">
        <f>IFERROR(ABS(FV('Investment Calculator'!$C$7/'Investment Calculator'!$F$4,'SIP Schedule'!C198,'SIP Schedule'!D198,,1)),"")</f>
        <v/>
      </c>
    </row>
    <row r="199" spans="3:6" x14ac:dyDescent="0.3">
      <c r="C199" s="1" t="str">
        <f>IF(C198&lt;'Investment Calculator'!$C$8*'Investment Calculator'!$F$4,'SIP Schedule'!C198+1,"")</f>
        <v/>
      </c>
      <c r="D199" s="27" t="str">
        <f>IF(C199&lt;='Investment Calculator'!$C$8*'Investment Calculator'!$F$4,'Investment Calculator'!$C$6,"")</f>
        <v/>
      </c>
      <c r="E199" s="27" t="str">
        <f>IFERROR((F198+D199)*'Investment Calculator'!$C$7/'Investment Calculator'!$F$4,"")</f>
        <v/>
      </c>
      <c r="F199" s="27" t="str">
        <f>IFERROR(ABS(FV('Investment Calculator'!$C$7/'Investment Calculator'!$F$4,'SIP Schedule'!C199,'SIP Schedule'!D199,,1)),"")</f>
        <v/>
      </c>
    </row>
    <row r="200" spans="3:6" x14ac:dyDescent="0.3">
      <c r="C200" s="1" t="str">
        <f>IF(C199&lt;'Investment Calculator'!$C$8*'Investment Calculator'!$F$4,'SIP Schedule'!C199+1,"")</f>
        <v/>
      </c>
      <c r="D200" s="27" t="str">
        <f>IF(C200&lt;='Investment Calculator'!$C$8*'Investment Calculator'!$F$4,'Investment Calculator'!$C$6,"")</f>
        <v/>
      </c>
      <c r="E200" s="27" t="str">
        <f>IFERROR((F199+D200)*'Investment Calculator'!$C$7/'Investment Calculator'!$F$4,"")</f>
        <v/>
      </c>
      <c r="F200" s="27" t="str">
        <f>IFERROR(ABS(FV('Investment Calculator'!$C$7/'Investment Calculator'!$F$4,'SIP Schedule'!C200,'SIP Schedule'!D200,,1)),"")</f>
        <v/>
      </c>
    </row>
    <row r="201" spans="3:6" x14ac:dyDescent="0.3">
      <c r="C201" s="1" t="str">
        <f>IF(C200&lt;'Investment Calculator'!$C$8*'Investment Calculator'!$F$4,'SIP Schedule'!C200+1,"")</f>
        <v/>
      </c>
      <c r="D201" s="27" t="str">
        <f>IF(C201&lt;='Investment Calculator'!$C$8*'Investment Calculator'!$F$4,'Investment Calculator'!$C$6,"")</f>
        <v/>
      </c>
      <c r="E201" s="27" t="str">
        <f>IFERROR((F200+D201)*'Investment Calculator'!$C$7/'Investment Calculator'!$F$4,"")</f>
        <v/>
      </c>
      <c r="F201" s="27" t="str">
        <f>IFERROR(ABS(FV('Investment Calculator'!$C$7/'Investment Calculator'!$F$4,'SIP Schedule'!C201,'SIP Schedule'!D201,,1)),"")</f>
        <v/>
      </c>
    </row>
    <row r="202" spans="3:6" x14ac:dyDescent="0.3">
      <c r="C202" s="1" t="str">
        <f>IF(C201&lt;'Investment Calculator'!$C$8*'Investment Calculator'!$F$4,'SIP Schedule'!C201+1,"")</f>
        <v/>
      </c>
      <c r="D202" s="27" t="str">
        <f>IF(C202&lt;='Investment Calculator'!$C$8*'Investment Calculator'!$F$4,'Investment Calculator'!$C$6,"")</f>
        <v/>
      </c>
      <c r="E202" s="27" t="str">
        <f>IFERROR((F201+D202)*'Investment Calculator'!$C$7/'Investment Calculator'!$F$4,"")</f>
        <v/>
      </c>
      <c r="F202" s="27" t="str">
        <f>IFERROR(ABS(FV('Investment Calculator'!$C$7/'Investment Calculator'!$F$4,'SIP Schedule'!C202,'SIP Schedule'!D202,,1)),"")</f>
        <v/>
      </c>
    </row>
    <row r="203" spans="3:6" x14ac:dyDescent="0.3">
      <c r="C203" s="1" t="str">
        <f>IF(C202&lt;'Investment Calculator'!$C$8*'Investment Calculator'!$F$4,'SIP Schedule'!C202+1,"")</f>
        <v/>
      </c>
      <c r="D203" s="27" t="str">
        <f>IF(C203&lt;='Investment Calculator'!$C$8*'Investment Calculator'!$F$4,'Investment Calculator'!$C$6,"")</f>
        <v/>
      </c>
      <c r="E203" s="27" t="str">
        <f>IFERROR((F202+D203)*'Investment Calculator'!$C$7/'Investment Calculator'!$F$4,"")</f>
        <v/>
      </c>
      <c r="F203" s="27" t="str">
        <f>IFERROR(ABS(FV('Investment Calculator'!$C$7/'Investment Calculator'!$F$4,'SIP Schedule'!C203,'SIP Schedule'!D203,,1)),"")</f>
        <v/>
      </c>
    </row>
    <row r="204" spans="3:6" x14ac:dyDescent="0.3">
      <c r="C204" s="1" t="str">
        <f>IF(C203&lt;'Investment Calculator'!$C$8*'Investment Calculator'!$F$4,'SIP Schedule'!C203+1,"")</f>
        <v/>
      </c>
      <c r="D204" s="27" t="str">
        <f>IF(C204&lt;='Investment Calculator'!$C$8*'Investment Calculator'!$F$4,'Investment Calculator'!$C$6,"")</f>
        <v/>
      </c>
      <c r="E204" s="27" t="str">
        <f>IFERROR((F203+D204)*'Investment Calculator'!$C$7/'Investment Calculator'!$F$4,"")</f>
        <v/>
      </c>
      <c r="F204" s="27" t="str">
        <f>IFERROR(ABS(FV('Investment Calculator'!$C$7/'Investment Calculator'!$F$4,'SIP Schedule'!C204,'SIP Schedule'!D204,,1)),"")</f>
        <v/>
      </c>
    </row>
    <row r="205" spans="3:6" x14ac:dyDescent="0.3">
      <c r="C205" s="1" t="str">
        <f>IF(C204&lt;'Investment Calculator'!$C$8*'Investment Calculator'!$F$4,'SIP Schedule'!C204+1,"")</f>
        <v/>
      </c>
      <c r="D205" s="27" t="str">
        <f>IF(C205&lt;='Investment Calculator'!$C$8*'Investment Calculator'!$F$4,'Investment Calculator'!$C$6,"")</f>
        <v/>
      </c>
      <c r="E205" s="27" t="str">
        <f>IFERROR((F204+D205)*'Investment Calculator'!$C$7/'Investment Calculator'!$F$4,"")</f>
        <v/>
      </c>
      <c r="F205" s="27" t="str">
        <f>IFERROR(ABS(FV('Investment Calculator'!$C$7/'Investment Calculator'!$F$4,'SIP Schedule'!C205,'SIP Schedule'!D205,,1)),"")</f>
        <v/>
      </c>
    </row>
    <row r="206" spans="3:6" x14ac:dyDescent="0.3">
      <c r="C206" s="1" t="str">
        <f>IF(C205&lt;'Investment Calculator'!$C$8*'Investment Calculator'!$F$4,'SIP Schedule'!C205+1,"")</f>
        <v/>
      </c>
      <c r="D206" s="27" t="str">
        <f>IF(C206&lt;='Investment Calculator'!$C$8*'Investment Calculator'!$F$4,'Investment Calculator'!$C$6,"")</f>
        <v/>
      </c>
      <c r="E206" s="27" t="str">
        <f>IFERROR((F205+D206)*'Investment Calculator'!$C$7/'Investment Calculator'!$F$4,"")</f>
        <v/>
      </c>
      <c r="F206" s="27" t="str">
        <f>IFERROR(ABS(FV('Investment Calculator'!$C$7/'Investment Calculator'!$F$4,'SIP Schedule'!C206,'SIP Schedule'!D206,,1)),"")</f>
        <v/>
      </c>
    </row>
    <row r="207" spans="3:6" x14ac:dyDescent="0.3">
      <c r="C207" s="1" t="str">
        <f>IF(C206&lt;'Investment Calculator'!$C$8*'Investment Calculator'!$F$4,'SIP Schedule'!C206+1,"")</f>
        <v/>
      </c>
      <c r="D207" s="27" t="str">
        <f>IF(C207&lt;='Investment Calculator'!$C$8*'Investment Calculator'!$F$4,'Investment Calculator'!$C$6,"")</f>
        <v/>
      </c>
      <c r="E207" s="27" t="str">
        <f>IFERROR((F206+D207)*'Investment Calculator'!$C$7/'Investment Calculator'!$F$4,"")</f>
        <v/>
      </c>
      <c r="F207" s="27" t="str">
        <f>IFERROR(ABS(FV('Investment Calculator'!$C$7/'Investment Calculator'!$F$4,'SIP Schedule'!C207,'SIP Schedule'!D207,,1)),"")</f>
        <v/>
      </c>
    </row>
    <row r="208" spans="3:6" x14ac:dyDescent="0.3">
      <c r="C208" s="1" t="str">
        <f>IF(C207&lt;'Investment Calculator'!$C$8*'Investment Calculator'!$F$4,'SIP Schedule'!C207+1,"")</f>
        <v/>
      </c>
      <c r="D208" s="27" t="str">
        <f>IF(C208&lt;='Investment Calculator'!$C$8*'Investment Calculator'!$F$4,'Investment Calculator'!$C$6,"")</f>
        <v/>
      </c>
      <c r="E208" s="27" t="str">
        <f>IFERROR((F207+D208)*'Investment Calculator'!$C$7/'Investment Calculator'!$F$4,"")</f>
        <v/>
      </c>
      <c r="F208" s="27" t="str">
        <f>IFERROR(ABS(FV('Investment Calculator'!$C$7/'Investment Calculator'!$F$4,'SIP Schedule'!C208,'SIP Schedule'!D208,,1)),"")</f>
        <v/>
      </c>
    </row>
    <row r="209" spans="3:6" x14ac:dyDescent="0.3">
      <c r="C209" s="1" t="str">
        <f>IF(C208&lt;'Investment Calculator'!$C$8*'Investment Calculator'!$F$4,'SIP Schedule'!C208+1,"")</f>
        <v/>
      </c>
      <c r="D209" s="27" t="str">
        <f>IF(C209&lt;='Investment Calculator'!$C$8*'Investment Calculator'!$F$4,'Investment Calculator'!$C$6,"")</f>
        <v/>
      </c>
      <c r="E209" s="27" t="str">
        <f>IFERROR((F208+D209)*'Investment Calculator'!$C$7/'Investment Calculator'!$F$4,"")</f>
        <v/>
      </c>
      <c r="F209" s="27" t="str">
        <f>IFERROR(ABS(FV('Investment Calculator'!$C$7/'Investment Calculator'!$F$4,'SIP Schedule'!C209,'SIP Schedule'!D209,,1)),"")</f>
        <v/>
      </c>
    </row>
    <row r="210" spans="3:6" x14ac:dyDescent="0.3">
      <c r="C210" s="1" t="str">
        <f>IF(C209&lt;'Investment Calculator'!$C$8*'Investment Calculator'!$F$4,'SIP Schedule'!C209+1,"")</f>
        <v/>
      </c>
      <c r="D210" s="27" t="str">
        <f>IF(C210&lt;='Investment Calculator'!$C$8*'Investment Calculator'!$F$4,'Investment Calculator'!$C$6,"")</f>
        <v/>
      </c>
      <c r="E210" s="27" t="str">
        <f>IFERROR((F209+D210)*'Investment Calculator'!$C$7/'Investment Calculator'!$F$4,"")</f>
        <v/>
      </c>
      <c r="F210" s="27" t="str">
        <f>IFERROR(ABS(FV('Investment Calculator'!$C$7/'Investment Calculator'!$F$4,'SIP Schedule'!C210,'SIP Schedule'!D210,,1)),"")</f>
        <v/>
      </c>
    </row>
    <row r="211" spans="3:6" x14ac:dyDescent="0.3">
      <c r="C211" s="1" t="str">
        <f>IF(C210&lt;'Investment Calculator'!$C$8*'Investment Calculator'!$F$4,'SIP Schedule'!C210+1,"")</f>
        <v/>
      </c>
      <c r="D211" s="27" t="str">
        <f>IF(C211&lt;='Investment Calculator'!$C$8*'Investment Calculator'!$F$4,'Investment Calculator'!$C$6,"")</f>
        <v/>
      </c>
      <c r="E211" s="27" t="str">
        <f>IFERROR((F210+D211)*'Investment Calculator'!$C$7/'Investment Calculator'!$F$4,"")</f>
        <v/>
      </c>
      <c r="F211" s="27" t="str">
        <f>IFERROR(ABS(FV('Investment Calculator'!$C$7/'Investment Calculator'!$F$4,'SIP Schedule'!C211,'SIP Schedule'!D211,,1)),"")</f>
        <v/>
      </c>
    </row>
    <row r="212" spans="3:6" x14ac:dyDescent="0.3">
      <c r="C212" s="1" t="str">
        <f>IF(C211&lt;'Investment Calculator'!$C$8*'Investment Calculator'!$F$4,'SIP Schedule'!C211+1,"")</f>
        <v/>
      </c>
      <c r="D212" s="27" t="str">
        <f>IF(C212&lt;='Investment Calculator'!$C$8*'Investment Calculator'!$F$4,'Investment Calculator'!$C$6,"")</f>
        <v/>
      </c>
      <c r="E212" s="27" t="str">
        <f>IFERROR((F211+D212)*'Investment Calculator'!$C$7/'Investment Calculator'!$F$4,"")</f>
        <v/>
      </c>
      <c r="F212" s="27" t="str">
        <f>IFERROR(ABS(FV('Investment Calculator'!$C$7/'Investment Calculator'!$F$4,'SIP Schedule'!C212,'SIP Schedule'!D212,,1)),"")</f>
        <v/>
      </c>
    </row>
    <row r="213" spans="3:6" x14ac:dyDescent="0.3">
      <c r="C213" s="1" t="str">
        <f>IF(C212&lt;'Investment Calculator'!$C$8*'Investment Calculator'!$F$4,'SIP Schedule'!C212+1,"")</f>
        <v/>
      </c>
      <c r="D213" s="27" t="str">
        <f>IF(C213&lt;='Investment Calculator'!$C$8*'Investment Calculator'!$F$4,'Investment Calculator'!$C$6,"")</f>
        <v/>
      </c>
      <c r="E213" s="27" t="str">
        <f>IFERROR((F212+D213)*'Investment Calculator'!$C$7/'Investment Calculator'!$F$4,"")</f>
        <v/>
      </c>
      <c r="F213" s="27" t="str">
        <f>IFERROR(ABS(FV('Investment Calculator'!$C$7/'Investment Calculator'!$F$4,'SIP Schedule'!C213,'SIP Schedule'!D213,,1)),"")</f>
        <v/>
      </c>
    </row>
    <row r="214" spans="3:6" x14ac:dyDescent="0.3">
      <c r="C214" s="1" t="str">
        <f>IF(C213&lt;'Investment Calculator'!$C$8*'Investment Calculator'!$F$4,'SIP Schedule'!C213+1,"")</f>
        <v/>
      </c>
      <c r="D214" s="27" t="str">
        <f>IF(C214&lt;='Investment Calculator'!$C$8*'Investment Calculator'!$F$4,'Investment Calculator'!$C$6,"")</f>
        <v/>
      </c>
      <c r="E214" s="27" t="str">
        <f>IFERROR((F213+D214)*'Investment Calculator'!$C$7/'Investment Calculator'!$F$4,"")</f>
        <v/>
      </c>
      <c r="F214" s="27" t="str">
        <f>IFERROR(ABS(FV('Investment Calculator'!$C$7/'Investment Calculator'!$F$4,'SIP Schedule'!C214,'SIP Schedule'!D214,,1)),"")</f>
        <v/>
      </c>
    </row>
    <row r="215" spans="3:6" x14ac:dyDescent="0.3">
      <c r="C215" s="1" t="str">
        <f>IF(C214&lt;'Investment Calculator'!$C$8*'Investment Calculator'!$F$4,'SIP Schedule'!C214+1,"")</f>
        <v/>
      </c>
      <c r="D215" s="27" t="str">
        <f>IF(C215&lt;='Investment Calculator'!$C$8*'Investment Calculator'!$F$4,'Investment Calculator'!$C$6,"")</f>
        <v/>
      </c>
      <c r="E215" s="27" t="str">
        <f>IFERROR((F214+D215)*'Investment Calculator'!$C$7/'Investment Calculator'!$F$4,"")</f>
        <v/>
      </c>
      <c r="F215" s="27" t="str">
        <f>IFERROR(ABS(FV('Investment Calculator'!$C$7/'Investment Calculator'!$F$4,'SIP Schedule'!C215,'SIP Schedule'!D215,,1)),"")</f>
        <v/>
      </c>
    </row>
    <row r="216" spans="3:6" x14ac:dyDescent="0.3">
      <c r="C216" s="1" t="str">
        <f>IF(C215&lt;'Investment Calculator'!$C$8*'Investment Calculator'!$F$4,'SIP Schedule'!C215+1,"")</f>
        <v/>
      </c>
      <c r="D216" s="27" t="str">
        <f>IF(C216&lt;='Investment Calculator'!$C$8*'Investment Calculator'!$F$4,'Investment Calculator'!$C$6,"")</f>
        <v/>
      </c>
      <c r="E216" s="27" t="str">
        <f>IFERROR((F215+D216)*'Investment Calculator'!$C$7/'Investment Calculator'!$F$4,"")</f>
        <v/>
      </c>
      <c r="F216" s="27" t="str">
        <f>IFERROR(ABS(FV('Investment Calculator'!$C$7/'Investment Calculator'!$F$4,'SIP Schedule'!C216,'SIP Schedule'!D216,,1)),"")</f>
        <v/>
      </c>
    </row>
    <row r="217" spans="3:6" x14ac:dyDescent="0.3">
      <c r="C217" s="1" t="str">
        <f>IF(C216&lt;'Investment Calculator'!$C$8*'Investment Calculator'!$F$4,'SIP Schedule'!C216+1,"")</f>
        <v/>
      </c>
      <c r="D217" s="27" t="str">
        <f>IF(C217&lt;='Investment Calculator'!$C$8*'Investment Calculator'!$F$4,'Investment Calculator'!$C$6,"")</f>
        <v/>
      </c>
      <c r="E217" s="27" t="str">
        <f>IFERROR((F216+D217)*'Investment Calculator'!$C$7/'Investment Calculator'!$F$4,"")</f>
        <v/>
      </c>
      <c r="F217" s="27" t="str">
        <f>IFERROR(ABS(FV('Investment Calculator'!$C$7/'Investment Calculator'!$F$4,'SIP Schedule'!C217,'SIP Schedule'!D217,,1)),"")</f>
        <v/>
      </c>
    </row>
    <row r="218" spans="3:6" x14ac:dyDescent="0.3">
      <c r="C218" s="1" t="str">
        <f>IF(C217&lt;'Investment Calculator'!$C$8*'Investment Calculator'!$F$4,'SIP Schedule'!C217+1,"")</f>
        <v/>
      </c>
      <c r="D218" s="27" t="str">
        <f>IF(C218&lt;='Investment Calculator'!$C$8*'Investment Calculator'!$F$4,'Investment Calculator'!$C$6,"")</f>
        <v/>
      </c>
      <c r="E218" s="27" t="str">
        <f>IFERROR((F217+D218)*'Investment Calculator'!$C$7/'Investment Calculator'!$F$4,"")</f>
        <v/>
      </c>
      <c r="F218" s="27" t="str">
        <f>IFERROR(ABS(FV('Investment Calculator'!$C$7/'Investment Calculator'!$F$4,'SIP Schedule'!C218,'SIP Schedule'!D218,,1)),"")</f>
        <v/>
      </c>
    </row>
    <row r="219" spans="3:6" x14ac:dyDescent="0.3">
      <c r="C219" s="1" t="str">
        <f>IF(C218&lt;'Investment Calculator'!$C$8*'Investment Calculator'!$F$4,'SIP Schedule'!C218+1,"")</f>
        <v/>
      </c>
      <c r="D219" s="27" t="str">
        <f>IF(C219&lt;='Investment Calculator'!$C$8*'Investment Calculator'!$F$4,'Investment Calculator'!$C$6,"")</f>
        <v/>
      </c>
      <c r="E219" s="27" t="str">
        <f>IFERROR((F218+D219)*'Investment Calculator'!$C$7/'Investment Calculator'!$F$4,"")</f>
        <v/>
      </c>
      <c r="F219" s="27" t="str">
        <f>IFERROR(ABS(FV('Investment Calculator'!$C$7/'Investment Calculator'!$F$4,'SIP Schedule'!C219,'SIP Schedule'!D219,,1)),"")</f>
        <v/>
      </c>
    </row>
    <row r="220" spans="3:6" x14ac:dyDescent="0.3">
      <c r="C220" s="1" t="str">
        <f>IF(C219&lt;'Investment Calculator'!$C$8*'Investment Calculator'!$F$4,'SIP Schedule'!C219+1,"")</f>
        <v/>
      </c>
      <c r="D220" s="27" t="str">
        <f>IF(C220&lt;='Investment Calculator'!$C$8*'Investment Calculator'!$F$4,'Investment Calculator'!$C$6,"")</f>
        <v/>
      </c>
      <c r="E220" s="27" t="str">
        <f>IFERROR((F219+D220)*'Investment Calculator'!$C$7/'Investment Calculator'!$F$4,"")</f>
        <v/>
      </c>
      <c r="F220" s="27" t="str">
        <f>IFERROR(ABS(FV('Investment Calculator'!$C$7/'Investment Calculator'!$F$4,'SIP Schedule'!C220,'SIP Schedule'!D220,,1)),"")</f>
        <v/>
      </c>
    </row>
    <row r="221" spans="3:6" x14ac:dyDescent="0.3">
      <c r="C221" s="1" t="str">
        <f>IF(C220&lt;'Investment Calculator'!$C$8*'Investment Calculator'!$F$4,'SIP Schedule'!C220+1,"")</f>
        <v/>
      </c>
      <c r="D221" s="27" t="str">
        <f>IF(C221&lt;='Investment Calculator'!$C$8*'Investment Calculator'!$F$4,'Investment Calculator'!$C$6,"")</f>
        <v/>
      </c>
      <c r="E221" s="27" t="str">
        <f>IFERROR((F220+D221)*'Investment Calculator'!$C$7/'Investment Calculator'!$F$4,"")</f>
        <v/>
      </c>
      <c r="F221" s="27" t="str">
        <f>IFERROR(ABS(FV('Investment Calculator'!$C$7/'Investment Calculator'!$F$4,'SIP Schedule'!C221,'SIP Schedule'!D221,,1)),"")</f>
        <v/>
      </c>
    </row>
    <row r="222" spans="3:6" x14ac:dyDescent="0.3">
      <c r="C222" s="1" t="str">
        <f>IF(C221&lt;'Investment Calculator'!$C$8*'Investment Calculator'!$F$4,'SIP Schedule'!C221+1,"")</f>
        <v/>
      </c>
      <c r="D222" s="27" t="str">
        <f>IF(C222&lt;='Investment Calculator'!$C$8*'Investment Calculator'!$F$4,'Investment Calculator'!$C$6,"")</f>
        <v/>
      </c>
      <c r="E222" s="27" t="str">
        <f>IFERROR((F221+D222)*'Investment Calculator'!$C$7/'Investment Calculator'!$F$4,"")</f>
        <v/>
      </c>
      <c r="F222" s="27" t="str">
        <f>IFERROR(ABS(FV('Investment Calculator'!$C$7/'Investment Calculator'!$F$4,'SIP Schedule'!C222,'SIP Schedule'!D222,,1)),"")</f>
        <v/>
      </c>
    </row>
    <row r="223" spans="3:6" x14ac:dyDescent="0.3">
      <c r="C223" s="1" t="str">
        <f>IF(C222&lt;'Investment Calculator'!$C$8*'Investment Calculator'!$F$4,'SIP Schedule'!C222+1,"")</f>
        <v/>
      </c>
      <c r="D223" s="27" t="str">
        <f>IF(C223&lt;='Investment Calculator'!$C$8*'Investment Calculator'!$F$4,'Investment Calculator'!$C$6,"")</f>
        <v/>
      </c>
      <c r="E223" s="27" t="str">
        <f>IFERROR((F222+D223)*'Investment Calculator'!$C$7/'Investment Calculator'!$F$4,"")</f>
        <v/>
      </c>
      <c r="F223" s="27" t="str">
        <f>IFERROR(ABS(FV('Investment Calculator'!$C$7/'Investment Calculator'!$F$4,'SIP Schedule'!C223,'SIP Schedule'!D223,,1)),"")</f>
        <v/>
      </c>
    </row>
    <row r="224" spans="3:6" x14ac:dyDescent="0.3">
      <c r="C224" s="1" t="str">
        <f>IF(C223&lt;'Investment Calculator'!$C$8*'Investment Calculator'!$F$4,'SIP Schedule'!C223+1,"")</f>
        <v/>
      </c>
      <c r="D224" s="27" t="str">
        <f>IF(C224&lt;='Investment Calculator'!$C$8*'Investment Calculator'!$F$4,'Investment Calculator'!$C$6,"")</f>
        <v/>
      </c>
      <c r="E224" s="27" t="str">
        <f>IFERROR((F223+D224)*'Investment Calculator'!$C$7/'Investment Calculator'!$F$4,"")</f>
        <v/>
      </c>
      <c r="F224" s="27" t="str">
        <f>IFERROR(ABS(FV('Investment Calculator'!$C$7/'Investment Calculator'!$F$4,'SIP Schedule'!C224,'SIP Schedule'!D224,,1)),"")</f>
        <v/>
      </c>
    </row>
    <row r="225" spans="3:6" x14ac:dyDescent="0.3">
      <c r="C225" s="1" t="str">
        <f>IF(C224&lt;'Investment Calculator'!$C$8*'Investment Calculator'!$F$4,'SIP Schedule'!C224+1,"")</f>
        <v/>
      </c>
      <c r="D225" s="27" t="str">
        <f>IF(C225&lt;='Investment Calculator'!$C$8*'Investment Calculator'!$F$4,'Investment Calculator'!$C$6,"")</f>
        <v/>
      </c>
      <c r="E225" s="27" t="str">
        <f>IFERROR((F224+D225)*'Investment Calculator'!$C$7/'Investment Calculator'!$F$4,"")</f>
        <v/>
      </c>
      <c r="F225" s="27" t="str">
        <f>IFERROR(ABS(FV('Investment Calculator'!$C$7/'Investment Calculator'!$F$4,'SIP Schedule'!C225,'SIP Schedule'!D225,,1)),"")</f>
        <v/>
      </c>
    </row>
    <row r="226" spans="3:6" x14ac:dyDescent="0.3">
      <c r="C226" s="1" t="str">
        <f>IF(C225&lt;'Investment Calculator'!$C$8*'Investment Calculator'!$F$4,'SIP Schedule'!C225+1,"")</f>
        <v/>
      </c>
      <c r="D226" s="27" t="str">
        <f>IF(C226&lt;='Investment Calculator'!$C$8*'Investment Calculator'!$F$4,'Investment Calculator'!$C$6,"")</f>
        <v/>
      </c>
      <c r="E226" s="27" t="str">
        <f>IFERROR((F225+D226)*'Investment Calculator'!$C$7/'Investment Calculator'!$F$4,"")</f>
        <v/>
      </c>
      <c r="F226" s="27" t="str">
        <f>IFERROR(ABS(FV('Investment Calculator'!$C$7/'Investment Calculator'!$F$4,'SIP Schedule'!C226,'SIP Schedule'!D226,,1)),"")</f>
        <v/>
      </c>
    </row>
    <row r="227" spans="3:6" x14ac:dyDescent="0.3">
      <c r="C227" s="1" t="str">
        <f>IF(C226&lt;'Investment Calculator'!$C$8*'Investment Calculator'!$F$4,'SIP Schedule'!C226+1,"")</f>
        <v/>
      </c>
      <c r="D227" s="27" t="str">
        <f>IF(C227&lt;='Investment Calculator'!$C$8*'Investment Calculator'!$F$4,'Investment Calculator'!$C$6,"")</f>
        <v/>
      </c>
      <c r="E227" s="27" t="str">
        <f>IFERROR((F226+D227)*'Investment Calculator'!$C$7/'Investment Calculator'!$F$4,"")</f>
        <v/>
      </c>
      <c r="F227" s="27" t="str">
        <f>IFERROR(ABS(FV('Investment Calculator'!$C$7/'Investment Calculator'!$F$4,'SIP Schedule'!C227,'SIP Schedule'!D227,,1)),"")</f>
        <v/>
      </c>
    </row>
    <row r="228" spans="3:6" x14ac:dyDescent="0.3">
      <c r="C228" s="1" t="str">
        <f>IF(C227&lt;'Investment Calculator'!$C$8*'Investment Calculator'!$F$4,'SIP Schedule'!C227+1,"")</f>
        <v/>
      </c>
      <c r="D228" s="27" t="str">
        <f>IF(C228&lt;='Investment Calculator'!$C$8*'Investment Calculator'!$F$4,'Investment Calculator'!$C$6,"")</f>
        <v/>
      </c>
      <c r="E228" s="27" t="str">
        <f>IFERROR((F227+D228)*'Investment Calculator'!$C$7/'Investment Calculator'!$F$4,"")</f>
        <v/>
      </c>
      <c r="F228" s="27" t="str">
        <f>IFERROR(ABS(FV('Investment Calculator'!$C$7/'Investment Calculator'!$F$4,'SIP Schedule'!C228,'SIP Schedule'!D228,,1)),"")</f>
        <v/>
      </c>
    </row>
    <row r="229" spans="3:6" x14ac:dyDescent="0.3">
      <c r="C229" s="1" t="str">
        <f>IF(C228&lt;'Investment Calculator'!$C$8*'Investment Calculator'!$F$4,'SIP Schedule'!C228+1,"")</f>
        <v/>
      </c>
      <c r="D229" s="27" t="str">
        <f>IF(C229&lt;='Investment Calculator'!$C$8*'Investment Calculator'!$F$4,'Investment Calculator'!$C$6,"")</f>
        <v/>
      </c>
      <c r="E229" s="27" t="str">
        <f>IFERROR((F228+D229)*'Investment Calculator'!$C$7/'Investment Calculator'!$F$4,"")</f>
        <v/>
      </c>
      <c r="F229" s="27" t="str">
        <f>IFERROR(ABS(FV('Investment Calculator'!$C$7/'Investment Calculator'!$F$4,'SIP Schedule'!C229,'SIP Schedule'!D229,,1)),"")</f>
        <v/>
      </c>
    </row>
    <row r="230" spans="3:6" x14ac:dyDescent="0.3">
      <c r="C230" s="1" t="str">
        <f>IF(C229&lt;'Investment Calculator'!$C$8*'Investment Calculator'!$F$4,'SIP Schedule'!C229+1,"")</f>
        <v/>
      </c>
      <c r="D230" s="27" t="str">
        <f>IF(C230&lt;='Investment Calculator'!$C$8*'Investment Calculator'!$F$4,'Investment Calculator'!$C$6,"")</f>
        <v/>
      </c>
      <c r="E230" s="27" t="str">
        <f>IFERROR((F229+D230)*'Investment Calculator'!$C$7/'Investment Calculator'!$F$4,"")</f>
        <v/>
      </c>
      <c r="F230" s="27" t="str">
        <f>IFERROR(ABS(FV('Investment Calculator'!$C$7/'Investment Calculator'!$F$4,'SIP Schedule'!C230,'SIP Schedule'!D230,,1)),"")</f>
        <v/>
      </c>
    </row>
    <row r="231" spans="3:6" x14ac:dyDescent="0.3">
      <c r="C231" s="1" t="str">
        <f>IF(C230&lt;'Investment Calculator'!$C$8*'Investment Calculator'!$F$4,'SIP Schedule'!C230+1,"")</f>
        <v/>
      </c>
      <c r="D231" s="27" t="str">
        <f>IF(C231&lt;='Investment Calculator'!$C$8*'Investment Calculator'!$F$4,'Investment Calculator'!$C$6,"")</f>
        <v/>
      </c>
      <c r="E231" s="27" t="str">
        <f>IFERROR((F230+D231)*'Investment Calculator'!$C$7/'Investment Calculator'!$F$4,"")</f>
        <v/>
      </c>
      <c r="F231" s="27" t="str">
        <f>IFERROR(ABS(FV('Investment Calculator'!$C$7/'Investment Calculator'!$F$4,'SIP Schedule'!C231,'SIP Schedule'!D231,,1)),"")</f>
        <v/>
      </c>
    </row>
    <row r="232" spans="3:6" x14ac:dyDescent="0.3">
      <c r="C232" s="1" t="str">
        <f>IF(C231&lt;'Investment Calculator'!$C$8*'Investment Calculator'!$F$4,'SIP Schedule'!C231+1,"")</f>
        <v/>
      </c>
      <c r="D232" s="27" t="str">
        <f>IF(C232&lt;='Investment Calculator'!$C$8*'Investment Calculator'!$F$4,'Investment Calculator'!$C$6,"")</f>
        <v/>
      </c>
      <c r="E232" s="27" t="str">
        <f>IFERROR((F231+D232)*'Investment Calculator'!$C$7/'Investment Calculator'!$F$4,"")</f>
        <v/>
      </c>
      <c r="F232" s="27" t="str">
        <f>IFERROR(ABS(FV('Investment Calculator'!$C$7/'Investment Calculator'!$F$4,'SIP Schedule'!C232,'SIP Schedule'!D232,,1)),"")</f>
        <v/>
      </c>
    </row>
    <row r="233" spans="3:6" x14ac:dyDescent="0.3">
      <c r="C233" s="1" t="str">
        <f>IF(C232&lt;'Investment Calculator'!$C$8*'Investment Calculator'!$F$4,'SIP Schedule'!C232+1,"")</f>
        <v/>
      </c>
      <c r="D233" s="27" t="str">
        <f>IF(C233&lt;='Investment Calculator'!$C$8*'Investment Calculator'!$F$4,'Investment Calculator'!$C$6,"")</f>
        <v/>
      </c>
      <c r="E233" s="27" t="str">
        <f>IFERROR((F232+D233)*'Investment Calculator'!$C$7/'Investment Calculator'!$F$4,"")</f>
        <v/>
      </c>
      <c r="F233" s="27" t="str">
        <f>IFERROR(ABS(FV('Investment Calculator'!$C$7/'Investment Calculator'!$F$4,'SIP Schedule'!C233,'SIP Schedule'!D233,,1)),"")</f>
        <v/>
      </c>
    </row>
    <row r="234" spans="3:6" x14ac:dyDescent="0.3">
      <c r="C234" s="1" t="str">
        <f>IF(C233&lt;'Investment Calculator'!$C$8*'Investment Calculator'!$F$4,'SIP Schedule'!C233+1,"")</f>
        <v/>
      </c>
      <c r="D234" s="27" t="str">
        <f>IF(C234&lt;='Investment Calculator'!$C$8*'Investment Calculator'!$F$4,'Investment Calculator'!$C$6,"")</f>
        <v/>
      </c>
      <c r="E234" s="27" t="str">
        <f>IFERROR((F233+D234)*'Investment Calculator'!$C$7/'Investment Calculator'!$F$4,"")</f>
        <v/>
      </c>
      <c r="F234" s="27" t="str">
        <f>IFERROR(ABS(FV('Investment Calculator'!$C$7/'Investment Calculator'!$F$4,'SIP Schedule'!C234,'SIP Schedule'!D234,,1)),"")</f>
        <v/>
      </c>
    </row>
    <row r="235" spans="3:6" x14ac:dyDescent="0.3">
      <c r="C235" s="1" t="str">
        <f>IF(C234&lt;'Investment Calculator'!$C$8*'Investment Calculator'!$F$4,'SIP Schedule'!C234+1,"")</f>
        <v/>
      </c>
      <c r="D235" s="27" t="str">
        <f>IF(C235&lt;='Investment Calculator'!$C$8*'Investment Calculator'!$F$4,'Investment Calculator'!$C$6,"")</f>
        <v/>
      </c>
      <c r="E235" s="27" t="str">
        <f>IFERROR((F234+D235)*'Investment Calculator'!$C$7/'Investment Calculator'!$F$4,"")</f>
        <v/>
      </c>
      <c r="F235" s="27" t="str">
        <f>IFERROR(ABS(FV('Investment Calculator'!$C$7/'Investment Calculator'!$F$4,'SIP Schedule'!C235,'SIP Schedule'!D235,,1)),"")</f>
        <v/>
      </c>
    </row>
    <row r="236" spans="3:6" x14ac:dyDescent="0.3">
      <c r="C236" s="1" t="str">
        <f>IF(C235&lt;'Investment Calculator'!$C$8*'Investment Calculator'!$F$4,'SIP Schedule'!C235+1,"")</f>
        <v/>
      </c>
      <c r="D236" s="27" t="str">
        <f>IF(C236&lt;='Investment Calculator'!$C$8*'Investment Calculator'!$F$4,'Investment Calculator'!$C$6,"")</f>
        <v/>
      </c>
      <c r="E236" s="27" t="str">
        <f>IFERROR((F235+D236)*'Investment Calculator'!$C$7/'Investment Calculator'!$F$4,"")</f>
        <v/>
      </c>
      <c r="F236" s="27" t="str">
        <f>IFERROR(ABS(FV('Investment Calculator'!$C$7/'Investment Calculator'!$F$4,'SIP Schedule'!C236,'SIP Schedule'!D236,,1)),"")</f>
        <v/>
      </c>
    </row>
    <row r="237" spans="3:6" x14ac:dyDescent="0.3">
      <c r="C237" s="1" t="str">
        <f>IF(C236&lt;'Investment Calculator'!$C$8*'Investment Calculator'!$F$4,'SIP Schedule'!C236+1,"")</f>
        <v/>
      </c>
      <c r="D237" s="27" t="str">
        <f>IF(C237&lt;='Investment Calculator'!$C$8*'Investment Calculator'!$F$4,'Investment Calculator'!$C$6,"")</f>
        <v/>
      </c>
      <c r="E237" s="27" t="str">
        <f>IFERROR((F236+D237)*'Investment Calculator'!$C$7/'Investment Calculator'!$F$4,"")</f>
        <v/>
      </c>
      <c r="F237" s="27" t="str">
        <f>IFERROR(ABS(FV('Investment Calculator'!$C$7/'Investment Calculator'!$F$4,'SIP Schedule'!C237,'SIP Schedule'!D237,,1)),"")</f>
        <v/>
      </c>
    </row>
    <row r="238" spans="3:6" x14ac:dyDescent="0.3">
      <c r="C238" s="1" t="str">
        <f>IF(C237&lt;'Investment Calculator'!$C$8*'Investment Calculator'!$F$4,'SIP Schedule'!C237+1,"")</f>
        <v/>
      </c>
      <c r="D238" s="27" t="str">
        <f>IF(C238&lt;='Investment Calculator'!$C$8*'Investment Calculator'!$F$4,'Investment Calculator'!$C$6,"")</f>
        <v/>
      </c>
      <c r="E238" s="27" t="str">
        <f>IFERROR((F237+D238)*'Investment Calculator'!$C$7/'Investment Calculator'!$F$4,"")</f>
        <v/>
      </c>
      <c r="F238" s="27" t="str">
        <f>IFERROR(ABS(FV('Investment Calculator'!$C$7/'Investment Calculator'!$F$4,'SIP Schedule'!C238,'SIP Schedule'!D238,,1)),"")</f>
        <v/>
      </c>
    </row>
    <row r="239" spans="3:6" x14ac:dyDescent="0.3">
      <c r="C239" s="1" t="str">
        <f>IF(C238&lt;'Investment Calculator'!$C$8*'Investment Calculator'!$F$4,'SIP Schedule'!C238+1,"")</f>
        <v/>
      </c>
      <c r="D239" s="27" t="str">
        <f>IF(C239&lt;='Investment Calculator'!$C$8*'Investment Calculator'!$F$4,'Investment Calculator'!$C$6,"")</f>
        <v/>
      </c>
      <c r="E239" s="27" t="str">
        <f>IFERROR((F238+D239)*'Investment Calculator'!$C$7/'Investment Calculator'!$F$4,"")</f>
        <v/>
      </c>
      <c r="F239" s="27" t="str">
        <f>IFERROR(ABS(FV('Investment Calculator'!$C$7/'Investment Calculator'!$F$4,'SIP Schedule'!C239,'SIP Schedule'!D239,,1)),"")</f>
        <v/>
      </c>
    </row>
    <row r="240" spans="3:6" x14ac:dyDescent="0.3">
      <c r="C240" s="1" t="str">
        <f>IF(C239&lt;'Investment Calculator'!$C$8*'Investment Calculator'!$F$4,'SIP Schedule'!C239+1,"")</f>
        <v/>
      </c>
      <c r="D240" s="27" t="str">
        <f>IF(C240&lt;='Investment Calculator'!$C$8*'Investment Calculator'!$F$4,'Investment Calculator'!$C$6,"")</f>
        <v/>
      </c>
      <c r="E240" s="27" t="str">
        <f>IFERROR((F239+D240)*'Investment Calculator'!$C$7/'Investment Calculator'!$F$4,"")</f>
        <v/>
      </c>
      <c r="F240" s="27" t="str">
        <f>IFERROR(ABS(FV('Investment Calculator'!$C$7/'Investment Calculator'!$F$4,'SIP Schedule'!C240,'SIP Schedule'!D240,,1)),"")</f>
        <v/>
      </c>
    </row>
    <row r="241" spans="3:6" x14ac:dyDescent="0.3">
      <c r="C241" s="1" t="str">
        <f>IF(C240&lt;'Investment Calculator'!$C$8*'Investment Calculator'!$F$4,'SIP Schedule'!C240+1,"")</f>
        <v/>
      </c>
      <c r="D241" s="27" t="str">
        <f>IF(C241&lt;='Investment Calculator'!$C$8*'Investment Calculator'!$F$4,'Investment Calculator'!$C$6,"")</f>
        <v/>
      </c>
      <c r="E241" s="27" t="str">
        <f>IFERROR((F240+D241)*'Investment Calculator'!$C$7/'Investment Calculator'!$F$4,"")</f>
        <v/>
      </c>
      <c r="F241" s="27" t="str">
        <f>IFERROR(ABS(FV('Investment Calculator'!$C$7/'Investment Calculator'!$F$4,'SIP Schedule'!C241,'SIP Schedule'!D241,,1)),"")</f>
        <v/>
      </c>
    </row>
    <row r="242" spans="3:6" x14ac:dyDescent="0.3">
      <c r="C242" s="1" t="str">
        <f>IF(C241&lt;'Investment Calculator'!$C$8*'Investment Calculator'!$F$4,'SIP Schedule'!C241+1,"")</f>
        <v/>
      </c>
      <c r="D242" s="27" t="str">
        <f>IF(C242&lt;='Investment Calculator'!$C$8*'Investment Calculator'!$F$4,'Investment Calculator'!$C$6,"")</f>
        <v/>
      </c>
      <c r="E242" s="27" t="str">
        <f>IFERROR((F241+D242)*'Investment Calculator'!$C$7/'Investment Calculator'!$F$4,"")</f>
        <v/>
      </c>
      <c r="F242" s="27" t="str">
        <f>IFERROR(ABS(FV('Investment Calculator'!$C$7/'Investment Calculator'!$F$4,'SIP Schedule'!C242,'SIP Schedule'!D242,,1)),"")</f>
        <v/>
      </c>
    </row>
    <row r="243" spans="3:6" x14ac:dyDescent="0.3">
      <c r="C243" s="1" t="str">
        <f>IF(C242&lt;'Investment Calculator'!$C$8*'Investment Calculator'!$F$4,'SIP Schedule'!C242+1,"")</f>
        <v/>
      </c>
      <c r="D243" s="27" t="str">
        <f>IF(C243&lt;='Investment Calculator'!$C$8*'Investment Calculator'!$F$4,'Investment Calculator'!$C$6,"")</f>
        <v/>
      </c>
      <c r="E243" s="27" t="str">
        <f>IFERROR((F242+D243)*'Investment Calculator'!$C$7/'Investment Calculator'!$F$4,"")</f>
        <v/>
      </c>
      <c r="F243" s="27" t="str">
        <f>IFERROR(ABS(FV('Investment Calculator'!$C$7/'Investment Calculator'!$F$4,'SIP Schedule'!C243,'SIP Schedule'!D243,,1)),"")</f>
        <v/>
      </c>
    </row>
    <row r="244" spans="3:6" x14ac:dyDescent="0.3">
      <c r="C244" s="1" t="str">
        <f>IF(C243&lt;'Investment Calculator'!$C$8*'Investment Calculator'!$F$4,'SIP Schedule'!C243+1,"")</f>
        <v/>
      </c>
      <c r="D244" s="27" t="str">
        <f>IF(C244&lt;='Investment Calculator'!$C$8*'Investment Calculator'!$F$4,'Investment Calculator'!$C$6,"")</f>
        <v/>
      </c>
      <c r="E244" s="27" t="str">
        <f>IFERROR((F243+D244)*'Investment Calculator'!$C$7/'Investment Calculator'!$F$4,"")</f>
        <v/>
      </c>
      <c r="F244" s="27" t="str">
        <f>IFERROR(ABS(FV('Investment Calculator'!$C$7/'Investment Calculator'!$F$4,'SIP Schedule'!C244,'SIP Schedule'!D244,,1)),"")</f>
        <v/>
      </c>
    </row>
    <row r="245" spans="3:6" x14ac:dyDescent="0.3">
      <c r="C245" s="1" t="str">
        <f>IF(C244&lt;'Investment Calculator'!$C$8*'Investment Calculator'!$F$4,'SIP Schedule'!C244+1,"")</f>
        <v/>
      </c>
      <c r="D245" s="27" t="str">
        <f>IF(C245&lt;='Investment Calculator'!$C$8*'Investment Calculator'!$F$4,'Investment Calculator'!$C$6,"")</f>
        <v/>
      </c>
      <c r="E245" s="27" t="str">
        <f>IFERROR((F244+D245)*'Investment Calculator'!$C$7/'Investment Calculator'!$F$4,"")</f>
        <v/>
      </c>
      <c r="F245" s="27" t="str">
        <f>IFERROR(ABS(FV('Investment Calculator'!$C$7/'Investment Calculator'!$F$4,'SIP Schedule'!C245,'SIP Schedule'!D245,,1)),"")</f>
        <v/>
      </c>
    </row>
    <row r="246" spans="3:6" x14ac:dyDescent="0.3">
      <c r="C246" s="1" t="str">
        <f>IF(C245&lt;'Investment Calculator'!$C$8*'Investment Calculator'!$F$4,'SIP Schedule'!C245+1,"")</f>
        <v/>
      </c>
      <c r="D246" s="27" t="str">
        <f>IF(C246&lt;='Investment Calculator'!$C$8*'Investment Calculator'!$F$4,'Investment Calculator'!$C$6,"")</f>
        <v/>
      </c>
      <c r="E246" s="27" t="str">
        <f>IFERROR((F245+D246)*'Investment Calculator'!$C$7/'Investment Calculator'!$F$4,"")</f>
        <v/>
      </c>
      <c r="F246" s="27" t="str">
        <f>IFERROR(ABS(FV('Investment Calculator'!$C$7/'Investment Calculator'!$F$4,'SIP Schedule'!C246,'SIP Schedule'!D246,,1)),"")</f>
        <v/>
      </c>
    </row>
    <row r="247" spans="3:6" x14ac:dyDescent="0.3">
      <c r="C247" s="1" t="str">
        <f>IF(C246&lt;'Investment Calculator'!$C$8*'Investment Calculator'!$F$4,'SIP Schedule'!C246+1,"")</f>
        <v/>
      </c>
      <c r="D247" s="27" t="str">
        <f>IF(C247&lt;='Investment Calculator'!$C$8*'Investment Calculator'!$F$4,'Investment Calculator'!$C$6,"")</f>
        <v/>
      </c>
      <c r="E247" s="27" t="str">
        <f>IFERROR((F246+D247)*'Investment Calculator'!$C$7/'Investment Calculator'!$F$4,"")</f>
        <v/>
      </c>
      <c r="F247" s="27" t="str">
        <f>IFERROR(ABS(FV('Investment Calculator'!$C$7/'Investment Calculator'!$F$4,'SIP Schedule'!C247,'SIP Schedule'!D247,,1)),"")</f>
        <v/>
      </c>
    </row>
    <row r="248" spans="3:6" x14ac:dyDescent="0.3">
      <c r="C248" s="1" t="str">
        <f>IF(C247&lt;'Investment Calculator'!$C$8*'Investment Calculator'!$F$4,'SIP Schedule'!C247+1,"")</f>
        <v/>
      </c>
      <c r="D248" s="27" t="str">
        <f>IF(C248&lt;='Investment Calculator'!$C$8*'Investment Calculator'!$F$4,'Investment Calculator'!$C$6,"")</f>
        <v/>
      </c>
      <c r="E248" s="27" t="str">
        <f>IFERROR((F247+D248)*'Investment Calculator'!$C$7/'Investment Calculator'!$F$4,"")</f>
        <v/>
      </c>
      <c r="F248" s="27" t="str">
        <f>IFERROR(ABS(FV('Investment Calculator'!$C$7/'Investment Calculator'!$F$4,'SIP Schedule'!C248,'SIP Schedule'!D248,,1)),"")</f>
        <v/>
      </c>
    </row>
    <row r="249" spans="3:6" x14ac:dyDescent="0.3">
      <c r="C249" s="1" t="str">
        <f>IF(C248&lt;'Investment Calculator'!$C$8*'Investment Calculator'!$F$4,'SIP Schedule'!C248+1,"")</f>
        <v/>
      </c>
      <c r="D249" s="27" t="str">
        <f>IF(C249&lt;='Investment Calculator'!$C$8*'Investment Calculator'!$F$4,'Investment Calculator'!$C$6,"")</f>
        <v/>
      </c>
      <c r="E249" s="27" t="str">
        <f>IFERROR((F248+D249)*'Investment Calculator'!$C$7/'Investment Calculator'!$F$4,"")</f>
        <v/>
      </c>
      <c r="F249" s="27" t="str">
        <f>IFERROR(ABS(FV('Investment Calculator'!$C$7/'Investment Calculator'!$F$4,'SIP Schedule'!C249,'SIP Schedule'!D249,,1)),"")</f>
        <v/>
      </c>
    </row>
    <row r="250" spans="3:6" x14ac:dyDescent="0.3">
      <c r="C250" s="1" t="str">
        <f>IF(C249&lt;'Investment Calculator'!$C$8*'Investment Calculator'!$F$4,'SIP Schedule'!C249+1,"")</f>
        <v/>
      </c>
      <c r="D250" s="27" t="str">
        <f>IF(C250&lt;='Investment Calculator'!$C$8*'Investment Calculator'!$F$4,'Investment Calculator'!$C$6,"")</f>
        <v/>
      </c>
      <c r="E250" s="27" t="str">
        <f>IFERROR((F249+D250)*'Investment Calculator'!$C$7/'Investment Calculator'!$F$4,"")</f>
        <v/>
      </c>
      <c r="F250" s="27" t="str">
        <f>IFERROR(ABS(FV('Investment Calculator'!$C$7/'Investment Calculator'!$F$4,'SIP Schedule'!C250,'SIP Schedule'!D250,,1)),"")</f>
        <v/>
      </c>
    </row>
    <row r="251" spans="3:6" x14ac:dyDescent="0.3">
      <c r="C251" s="1" t="str">
        <f>IF(C250&lt;'Investment Calculator'!$C$8*'Investment Calculator'!$F$4,'SIP Schedule'!C250+1,"")</f>
        <v/>
      </c>
      <c r="D251" s="27" t="str">
        <f>IF(C251&lt;='Investment Calculator'!$C$8*'Investment Calculator'!$F$4,'Investment Calculator'!$C$6,"")</f>
        <v/>
      </c>
      <c r="E251" s="27" t="str">
        <f>IFERROR((F250+D251)*'Investment Calculator'!$C$7/'Investment Calculator'!$F$4,"")</f>
        <v/>
      </c>
      <c r="F251" s="27" t="str">
        <f>IFERROR(ABS(FV('Investment Calculator'!$C$7/'Investment Calculator'!$F$4,'SIP Schedule'!C251,'SIP Schedule'!D251,,1)),"")</f>
        <v/>
      </c>
    </row>
    <row r="252" spans="3:6" x14ac:dyDescent="0.3">
      <c r="C252" s="1" t="str">
        <f>IF(C251&lt;'Investment Calculator'!$C$8*'Investment Calculator'!$F$4,'SIP Schedule'!C251+1,"")</f>
        <v/>
      </c>
      <c r="D252" s="27" t="str">
        <f>IF(C252&lt;='Investment Calculator'!$C$8*'Investment Calculator'!$F$4,'Investment Calculator'!$C$6,"")</f>
        <v/>
      </c>
      <c r="E252" s="27" t="str">
        <f>IFERROR((F251+D252)*'Investment Calculator'!$C$7/'Investment Calculator'!$F$4,"")</f>
        <v/>
      </c>
      <c r="F252" s="27" t="str">
        <f>IFERROR(ABS(FV('Investment Calculator'!$C$7/'Investment Calculator'!$F$4,'SIP Schedule'!C252,'SIP Schedule'!D252,,1)),"")</f>
        <v/>
      </c>
    </row>
    <row r="253" spans="3:6" x14ac:dyDescent="0.3">
      <c r="C253" s="1" t="str">
        <f>IF(C252&lt;'Investment Calculator'!$C$8*'Investment Calculator'!$F$4,'SIP Schedule'!C252+1,"")</f>
        <v/>
      </c>
      <c r="D253" s="27" t="str">
        <f>IF(C253&lt;='Investment Calculator'!$C$8*'Investment Calculator'!$F$4,'Investment Calculator'!$C$6,"")</f>
        <v/>
      </c>
      <c r="E253" s="27" t="str">
        <f>IFERROR((F252+D253)*'Investment Calculator'!$C$7/'Investment Calculator'!$F$4,"")</f>
        <v/>
      </c>
      <c r="F253" s="27" t="str">
        <f>IFERROR(ABS(FV('Investment Calculator'!$C$7/'Investment Calculator'!$F$4,'SIP Schedule'!C253,'SIP Schedule'!D253,,1)),"")</f>
        <v/>
      </c>
    </row>
    <row r="254" spans="3:6" x14ac:dyDescent="0.3">
      <c r="C254" s="1" t="str">
        <f>IF(C253&lt;'Investment Calculator'!$C$8*'Investment Calculator'!$F$4,'SIP Schedule'!C253+1,"")</f>
        <v/>
      </c>
      <c r="D254" s="27" t="str">
        <f>IF(C254&lt;='Investment Calculator'!$C$8*'Investment Calculator'!$F$4,'Investment Calculator'!$C$6,"")</f>
        <v/>
      </c>
      <c r="E254" s="27" t="str">
        <f>IFERROR((F253+D254)*'Investment Calculator'!$C$7/'Investment Calculator'!$F$4,"")</f>
        <v/>
      </c>
      <c r="F254" s="27" t="str">
        <f>IFERROR(ABS(FV('Investment Calculator'!$C$7/'Investment Calculator'!$F$4,'SIP Schedule'!C254,'SIP Schedule'!D254,,1)),"")</f>
        <v/>
      </c>
    </row>
    <row r="255" spans="3:6" x14ac:dyDescent="0.3">
      <c r="C255" s="1" t="str">
        <f>IF(C254&lt;'Investment Calculator'!$C$8*'Investment Calculator'!$F$4,'SIP Schedule'!C254+1,"")</f>
        <v/>
      </c>
      <c r="D255" s="27" t="str">
        <f>IF(C255&lt;='Investment Calculator'!$C$8*'Investment Calculator'!$F$4,'Investment Calculator'!$C$6,"")</f>
        <v/>
      </c>
      <c r="E255" s="27" t="str">
        <f>IFERROR((F254+D255)*'Investment Calculator'!$C$7/'Investment Calculator'!$F$4,"")</f>
        <v/>
      </c>
      <c r="F255" s="27" t="str">
        <f>IFERROR(ABS(FV('Investment Calculator'!$C$7/'Investment Calculator'!$F$4,'SIP Schedule'!C255,'SIP Schedule'!D255,,1)),"")</f>
        <v/>
      </c>
    </row>
    <row r="256" spans="3:6" x14ac:dyDescent="0.3">
      <c r="C256" s="1" t="str">
        <f>IF(C255&lt;'Investment Calculator'!$C$8*'Investment Calculator'!$F$4,'SIP Schedule'!C255+1,"")</f>
        <v/>
      </c>
      <c r="D256" s="27" t="str">
        <f>IF(C256&lt;='Investment Calculator'!$C$8*'Investment Calculator'!$F$4,'Investment Calculator'!$C$6,"")</f>
        <v/>
      </c>
      <c r="E256" s="27" t="str">
        <f>IFERROR((F255+D256)*'Investment Calculator'!$C$7/'Investment Calculator'!$F$4,"")</f>
        <v/>
      </c>
      <c r="F256" s="27" t="str">
        <f>IFERROR(ABS(FV('Investment Calculator'!$C$7/'Investment Calculator'!$F$4,'SIP Schedule'!C256,'SIP Schedule'!D256,,1)),"")</f>
        <v/>
      </c>
    </row>
    <row r="257" spans="3:6" x14ac:dyDescent="0.3">
      <c r="C257" s="1" t="str">
        <f>IF(C256&lt;'Investment Calculator'!$C$8*'Investment Calculator'!$F$4,'SIP Schedule'!C256+1,"")</f>
        <v/>
      </c>
      <c r="D257" s="27" t="str">
        <f>IF(C257&lt;='Investment Calculator'!$C$8*'Investment Calculator'!$F$4,'Investment Calculator'!$C$6,"")</f>
        <v/>
      </c>
      <c r="E257" s="27" t="str">
        <f>IFERROR((F256+D257)*'Investment Calculator'!$C$7/'Investment Calculator'!$F$4,"")</f>
        <v/>
      </c>
      <c r="F257" s="27" t="str">
        <f>IFERROR(ABS(FV('Investment Calculator'!$C$7/'Investment Calculator'!$F$4,'SIP Schedule'!C257,'SIP Schedule'!D257,,1)),"")</f>
        <v/>
      </c>
    </row>
    <row r="258" spans="3:6" x14ac:dyDescent="0.3">
      <c r="C258" s="1" t="str">
        <f>IF(C257&lt;'Investment Calculator'!$C$8*'Investment Calculator'!$F$4,'SIP Schedule'!C257+1,"")</f>
        <v/>
      </c>
      <c r="D258" s="27" t="str">
        <f>IF(C258&lt;='Investment Calculator'!$C$8*'Investment Calculator'!$F$4,'Investment Calculator'!$C$6,"")</f>
        <v/>
      </c>
      <c r="E258" s="27" t="str">
        <f>IFERROR((F257+D258)*'Investment Calculator'!$C$7/'Investment Calculator'!$F$4,"")</f>
        <v/>
      </c>
      <c r="F258" s="27" t="str">
        <f>IFERROR(ABS(FV('Investment Calculator'!$C$7/'Investment Calculator'!$F$4,'SIP Schedule'!C258,'SIP Schedule'!D258,,1)),"")</f>
        <v/>
      </c>
    </row>
    <row r="259" spans="3:6" x14ac:dyDescent="0.3">
      <c r="C259" s="1" t="str">
        <f>IF(C258&lt;'Investment Calculator'!$C$8*'Investment Calculator'!$F$4,'SIP Schedule'!C258+1,"")</f>
        <v/>
      </c>
      <c r="D259" s="27" t="str">
        <f>IF(C259&lt;='Investment Calculator'!$C$8*'Investment Calculator'!$F$4,'Investment Calculator'!$C$6,"")</f>
        <v/>
      </c>
      <c r="E259" s="27" t="str">
        <f>IFERROR((F258+D259)*'Investment Calculator'!$C$7/'Investment Calculator'!$F$4,"")</f>
        <v/>
      </c>
      <c r="F259" s="27" t="str">
        <f>IFERROR(ABS(FV('Investment Calculator'!$C$7/'Investment Calculator'!$F$4,'SIP Schedule'!C259,'SIP Schedule'!D259,,1)),"")</f>
        <v/>
      </c>
    </row>
    <row r="260" spans="3:6" x14ac:dyDescent="0.3">
      <c r="C260" s="1" t="str">
        <f>IF(C259&lt;'Investment Calculator'!$C$8*'Investment Calculator'!$F$4,'SIP Schedule'!C259+1,"")</f>
        <v/>
      </c>
      <c r="D260" s="27" t="str">
        <f>IF(C260&lt;='Investment Calculator'!$C$8*'Investment Calculator'!$F$4,'Investment Calculator'!$C$6,"")</f>
        <v/>
      </c>
      <c r="E260" s="27" t="str">
        <f>IFERROR((F259+D260)*'Investment Calculator'!$C$7/'Investment Calculator'!$F$4,"")</f>
        <v/>
      </c>
      <c r="F260" s="27" t="str">
        <f>IFERROR(ABS(FV('Investment Calculator'!$C$7/'Investment Calculator'!$F$4,'SIP Schedule'!C260,'SIP Schedule'!D260,,1)),"")</f>
        <v/>
      </c>
    </row>
    <row r="261" spans="3:6" x14ac:dyDescent="0.3">
      <c r="C261" s="1" t="str">
        <f>IF(C260&lt;'Investment Calculator'!$C$8*'Investment Calculator'!$F$4,'SIP Schedule'!C260+1,"")</f>
        <v/>
      </c>
      <c r="D261" s="27" t="str">
        <f>IF(C261&lt;='Investment Calculator'!$C$8*'Investment Calculator'!$F$4,'Investment Calculator'!$C$6,"")</f>
        <v/>
      </c>
      <c r="E261" s="27" t="str">
        <f>IFERROR((F260+D261)*'Investment Calculator'!$C$7/'Investment Calculator'!$F$4,"")</f>
        <v/>
      </c>
      <c r="F261" s="27" t="str">
        <f>IFERROR(ABS(FV('Investment Calculator'!$C$7/'Investment Calculator'!$F$4,'SIP Schedule'!C261,'SIP Schedule'!D261,,1)),"")</f>
        <v/>
      </c>
    </row>
    <row r="262" spans="3:6" x14ac:dyDescent="0.3">
      <c r="C262" s="1" t="str">
        <f>IF(C261&lt;'Investment Calculator'!$C$8*'Investment Calculator'!$F$4,'SIP Schedule'!C261+1,"")</f>
        <v/>
      </c>
      <c r="D262" s="27" t="str">
        <f>IF(C262&lt;='Investment Calculator'!$C$8*'Investment Calculator'!$F$4,'Investment Calculator'!$C$6,"")</f>
        <v/>
      </c>
      <c r="E262" s="27" t="str">
        <f>IFERROR((F261+D262)*'Investment Calculator'!$C$7/'Investment Calculator'!$F$4,"")</f>
        <v/>
      </c>
      <c r="F262" s="27" t="str">
        <f>IFERROR(ABS(FV('Investment Calculator'!$C$7/'Investment Calculator'!$F$4,'SIP Schedule'!C262,'SIP Schedule'!D262,,1)),"")</f>
        <v/>
      </c>
    </row>
    <row r="263" spans="3:6" x14ac:dyDescent="0.3">
      <c r="C263" s="1" t="str">
        <f>IF(C262&lt;'Investment Calculator'!$C$8*'Investment Calculator'!$F$4,'SIP Schedule'!C262+1,"")</f>
        <v/>
      </c>
      <c r="D263" s="27" t="str">
        <f>IF(C263&lt;='Investment Calculator'!$C$8*'Investment Calculator'!$F$4,'Investment Calculator'!$C$6,"")</f>
        <v/>
      </c>
      <c r="E263" s="27" t="str">
        <f>IFERROR((F262+D263)*'Investment Calculator'!$C$7/'Investment Calculator'!$F$4,"")</f>
        <v/>
      </c>
      <c r="F263" s="27" t="str">
        <f>IFERROR(ABS(FV('Investment Calculator'!$C$7/'Investment Calculator'!$F$4,'SIP Schedule'!C263,'SIP Schedule'!D263,,1)),"")</f>
        <v/>
      </c>
    </row>
    <row r="264" spans="3:6" x14ac:dyDescent="0.3">
      <c r="C264" s="1" t="str">
        <f>IF(C263&lt;'Investment Calculator'!$C$8*'Investment Calculator'!$F$4,'SIP Schedule'!C263+1,"")</f>
        <v/>
      </c>
      <c r="D264" s="27" t="str">
        <f>IF(C264&lt;='Investment Calculator'!$C$8*'Investment Calculator'!$F$4,'Investment Calculator'!$C$6,"")</f>
        <v/>
      </c>
      <c r="E264" s="27" t="str">
        <f>IFERROR((F263+D264)*'Investment Calculator'!$C$7/'Investment Calculator'!$F$4,"")</f>
        <v/>
      </c>
      <c r="F264" s="27" t="str">
        <f>IFERROR(ABS(FV('Investment Calculator'!$C$7/'Investment Calculator'!$F$4,'SIP Schedule'!C264,'SIP Schedule'!D264,,1)),"")</f>
        <v/>
      </c>
    </row>
    <row r="265" spans="3:6" x14ac:dyDescent="0.3">
      <c r="C265" s="1" t="str">
        <f>IF(C264&lt;'Investment Calculator'!$C$8*'Investment Calculator'!$F$4,'SIP Schedule'!C264+1,"")</f>
        <v/>
      </c>
      <c r="D265" s="27" t="str">
        <f>IF(C265&lt;='Investment Calculator'!$C$8*'Investment Calculator'!$F$4,'Investment Calculator'!$C$6,"")</f>
        <v/>
      </c>
      <c r="E265" s="27" t="str">
        <f>IFERROR((F264+D265)*'Investment Calculator'!$C$7/'Investment Calculator'!$F$4,"")</f>
        <v/>
      </c>
      <c r="F265" s="27" t="str">
        <f>IFERROR(ABS(FV('Investment Calculator'!$C$7/'Investment Calculator'!$F$4,'SIP Schedule'!C265,'SIP Schedule'!D265,,1)),"")</f>
        <v/>
      </c>
    </row>
    <row r="266" spans="3:6" x14ac:dyDescent="0.3">
      <c r="C266" s="1" t="str">
        <f>IF(C265&lt;'Investment Calculator'!$C$8*'Investment Calculator'!$F$4,'SIP Schedule'!C265+1,"")</f>
        <v/>
      </c>
      <c r="D266" s="27" t="str">
        <f>IF(C266&lt;='Investment Calculator'!$C$8*'Investment Calculator'!$F$4,'Investment Calculator'!$C$6,"")</f>
        <v/>
      </c>
      <c r="E266" s="27" t="str">
        <f>IFERROR((F265+D266)*'Investment Calculator'!$C$7/'Investment Calculator'!$F$4,"")</f>
        <v/>
      </c>
      <c r="F266" s="27" t="str">
        <f>IFERROR(ABS(FV('Investment Calculator'!$C$7/'Investment Calculator'!$F$4,'SIP Schedule'!C266,'SIP Schedule'!D266,,1)),"")</f>
        <v/>
      </c>
    </row>
    <row r="267" spans="3:6" x14ac:dyDescent="0.3">
      <c r="C267" s="1" t="str">
        <f>IF(C266&lt;'Investment Calculator'!$C$8*'Investment Calculator'!$F$4,'SIP Schedule'!C266+1,"")</f>
        <v/>
      </c>
      <c r="D267" s="27" t="str">
        <f>IF(C267&lt;='Investment Calculator'!$C$8*'Investment Calculator'!$F$4,'Investment Calculator'!$C$6,"")</f>
        <v/>
      </c>
      <c r="E267" s="27" t="str">
        <f>IFERROR((F266+D267)*'Investment Calculator'!$C$7/'Investment Calculator'!$F$4,"")</f>
        <v/>
      </c>
      <c r="F267" s="27" t="str">
        <f>IFERROR(ABS(FV('Investment Calculator'!$C$7/'Investment Calculator'!$F$4,'SIP Schedule'!C267,'SIP Schedule'!D267,,1)),"")</f>
        <v/>
      </c>
    </row>
    <row r="268" spans="3:6" x14ac:dyDescent="0.3">
      <c r="C268" s="1" t="str">
        <f>IF(C267&lt;'Investment Calculator'!$C$8*'Investment Calculator'!$F$4,'SIP Schedule'!C267+1,"")</f>
        <v/>
      </c>
      <c r="D268" s="27" t="str">
        <f>IF(C268&lt;='Investment Calculator'!$C$8*'Investment Calculator'!$F$4,'Investment Calculator'!$C$6,"")</f>
        <v/>
      </c>
      <c r="E268" s="27" t="str">
        <f>IFERROR((F267+D268)*'Investment Calculator'!$C$7/'Investment Calculator'!$F$4,"")</f>
        <v/>
      </c>
      <c r="F268" s="27" t="str">
        <f>IFERROR(ABS(FV('Investment Calculator'!$C$7/'Investment Calculator'!$F$4,'SIP Schedule'!C268,'SIP Schedule'!D268,,1)),"")</f>
        <v/>
      </c>
    </row>
    <row r="269" spans="3:6" x14ac:dyDescent="0.3">
      <c r="C269" s="1" t="str">
        <f>IF(C268&lt;'Investment Calculator'!$C$8*'Investment Calculator'!$F$4,'SIP Schedule'!C268+1,"")</f>
        <v/>
      </c>
      <c r="D269" s="27" t="str">
        <f>IF(C269&lt;='Investment Calculator'!$C$8*'Investment Calculator'!$F$4,'Investment Calculator'!$C$6,"")</f>
        <v/>
      </c>
      <c r="E269" s="27" t="str">
        <f>IFERROR((F268+D269)*'Investment Calculator'!$C$7/'Investment Calculator'!$F$4,"")</f>
        <v/>
      </c>
      <c r="F269" s="27" t="str">
        <f>IFERROR(ABS(FV('Investment Calculator'!$C$7/'Investment Calculator'!$F$4,'SIP Schedule'!C269,'SIP Schedule'!D269,,1)),"")</f>
        <v/>
      </c>
    </row>
    <row r="270" spans="3:6" x14ac:dyDescent="0.3">
      <c r="C270" s="1" t="str">
        <f>IF(C269&lt;'Investment Calculator'!$C$8*'Investment Calculator'!$F$4,'SIP Schedule'!C269+1,"")</f>
        <v/>
      </c>
      <c r="D270" s="27" t="str">
        <f>IF(C270&lt;='Investment Calculator'!$C$8*'Investment Calculator'!$F$4,'Investment Calculator'!$C$6,"")</f>
        <v/>
      </c>
      <c r="E270" s="27" t="str">
        <f>IFERROR((F269+D270)*'Investment Calculator'!$C$7/'Investment Calculator'!$F$4,"")</f>
        <v/>
      </c>
      <c r="F270" s="27" t="str">
        <f>IFERROR(ABS(FV('Investment Calculator'!$C$7/'Investment Calculator'!$F$4,'SIP Schedule'!C270,'SIP Schedule'!D270,,1)),"")</f>
        <v/>
      </c>
    </row>
    <row r="271" spans="3:6" x14ac:dyDescent="0.3">
      <c r="C271" s="1" t="str">
        <f>IF(C270&lt;'Investment Calculator'!$C$8*'Investment Calculator'!$F$4,'SIP Schedule'!C270+1,"")</f>
        <v/>
      </c>
      <c r="D271" s="27" t="str">
        <f>IF(C271&lt;='Investment Calculator'!$C$8*'Investment Calculator'!$F$4,'Investment Calculator'!$C$6,"")</f>
        <v/>
      </c>
      <c r="E271" s="27" t="str">
        <f>IFERROR((F270+D271)*'Investment Calculator'!$C$7/'Investment Calculator'!$F$4,"")</f>
        <v/>
      </c>
      <c r="F271" s="27" t="str">
        <f>IFERROR(ABS(FV('Investment Calculator'!$C$7/'Investment Calculator'!$F$4,'SIP Schedule'!C271,'SIP Schedule'!D271,,1)),"")</f>
        <v/>
      </c>
    </row>
    <row r="272" spans="3:6" x14ac:dyDescent="0.3">
      <c r="C272" s="1" t="str">
        <f>IF(C271&lt;'Investment Calculator'!$C$8*'Investment Calculator'!$F$4,'SIP Schedule'!C271+1,"")</f>
        <v/>
      </c>
      <c r="D272" s="27" t="str">
        <f>IF(C272&lt;='Investment Calculator'!$C$8*'Investment Calculator'!$F$4,'Investment Calculator'!$C$6,"")</f>
        <v/>
      </c>
      <c r="E272" s="27" t="str">
        <f>IFERROR((F271+D272)*'Investment Calculator'!$C$7/'Investment Calculator'!$F$4,"")</f>
        <v/>
      </c>
      <c r="F272" s="27" t="str">
        <f>IFERROR(ABS(FV('Investment Calculator'!$C$7/'Investment Calculator'!$F$4,'SIP Schedule'!C272,'SIP Schedule'!D272,,1)),"")</f>
        <v/>
      </c>
    </row>
    <row r="273" spans="3:6" x14ac:dyDescent="0.3">
      <c r="C273" s="1" t="str">
        <f>IF(C272&lt;'Investment Calculator'!$C$8*'Investment Calculator'!$F$4,'SIP Schedule'!C272+1,"")</f>
        <v/>
      </c>
      <c r="D273" s="27" t="str">
        <f>IF(C273&lt;='Investment Calculator'!$C$8*'Investment Calculator'!$F$4,'Investment Calculator'!$C$6,"")</f>
        <v/>
      </c>
      <c r="E273" s="27" t="str">
        <f>IFERROR((F272+D273)*'Investment Calculator'!$C$7/'Investment Calculator'!$F$4,"")</f>
        <v/>
      </c>
      <c r="F273" s="27" t="str">
        <f>IFERROR(ABS(FV('Investment Calculator'!$C$7/'Investment Calculator'!$F$4,'SIP Schedule'!C273,'SIP Schedule'!D273,,1)),"")</f>
        <v/>
      </c>
    </row>
    <row r="274" spans="3:6" x14ac:dyDescent="0.3">
      <c r="C274" s="1" t="str">
        <f>IF(C273&lt;'Investment Calculator'!$C$8*'Investment Calculator'!$F$4,'SIP Schedule'!C273+1,"")</f>
        <v/>
      </c>
      <c r="D274" s="27" t="str">
        <f>IF(C274&lt;='Investment Calculator'!$C$8*'Investment Calculator'!$F$4,'Investment Calculator'!$C$6,"")</f>
        <v/>
      </c>
      <c r="E274" s="27" t="str">
        <f>IFERROR((F273+D274)*'Investment Calculator'!$C$7/'Investment Calculator'!$F$4,"")</f>
        <v/>
      </c>
      <c r="F274" s="27" t="str">
        <f>IFERROR(ABS(FV('Investment Calculator'!$C$7/'Investment Calculator'!$F$4,'SIP Schedule'!C274,'SIP Schedule'!D274,,1)),"")</f>
        <v/>
      </c>
    </row>
    <row r="275" spans="3:6" x14ac:dyDescent="0.3">
      <c r="C275" s="1" t="str">
        <f>IF(C274&lt;'Investment Calculator'!$C$8*'Investment Calculator'!$F$4,'SIP Schedule'!C274+1,"")</f>
        <v/>
      </c>
      <c r="D275" s="27" t="str">
        <f>IF(C275&lt;='Investment Calculator'!$C$8*'Investment Calculator'!$F$4,'Investment Calculator'!$C$6,"")</f>
        <v/>
      </c>
      <c r="E275" s="27" t="str">
        <f>IFERROR((F274+D275)*'Investment Calculator'!$C$7/'Investment Calculator'!$F$4,"")</f>
        <v/>
      </c>
      <c r="F275" s="27" t="str">
        <f>IFERROR(ABS(FV('Investment Calculator'!$C$7/'Investment Calculator'!$F$4,'SIP Schedule'!C275,'SIP Schedule'!D275,,1)),"")</f>
        <v/>
      </c>
    </row>
    <row r="276" spans="3:6" x14ac:dyDescent="0.3">
      <c r="C276" s="1" t="str">
        <f>IF(C275&lt;'Investment Calculator'!$C$8*'Investment Calculator'!$F$4,'SIP Schedule'!C275+1,"")</f>
        <v/>
      </c>
      <c r="D276" s="27" t="str">
        <f>IF(C276&lt;='Investment Calculator'!$C$8*'Investment Calculator'!$F$4,'Investment Calculator'!$C$6,"")</f>
        <v/>
      </c>
      <c r="E276" s="27" t="str">
        <f>IFERROR((F275+D276)*'Investment Calculator'!$C$7/'Investment Calculator'!$F$4,"")</f>
        <v/>
      </c>
      <c r="F276" s="27" t="str">
        <f>IFERROR(ABS(FV('Investment Calculator'!$C$7/'Investment Calculator'!$F$4,'SIP Schedule'!C276,'SIP Schedule'!D276,,1)),"")</f>
        <v/>
      </c>
    </row>
    <row r="277" spans="3:6" x14ac:dyDescent="0.3">
      <c r="C277" s="1" t="str">
        <f>IF(C276&lt;'Investment Calculator'!$C$8*'Investment Calculator'!$F$4,'SIP Schedule'!C276+1,"")</f>
        <v/>
      </c>
      <c r="D277" s="27" t="str">
        <f>IF(C277&lt;='Investment Calculator'!$C$8*'Investment Calculator'!$F$4,'Investment Calculator'!$C$6,"")</f>
        <v/>
      </c>
      <c r="E277" s="27" t="str">
        <f>IFERROR((F276+D277)*'Investment Calculator'!$C$7/'Investment Calculator'!$F$4,"")</f>
        <v/>
      </c>
      <c r="F277" s="27" t="str">
        <f>IFERROR(ABS(FV('Investment Calculator'!$C$7/'Investment Calculator'!$F$4,'SIP Schedule'!C277,'SIP Schedule'!D277,,1)),"")</f>
        <v/>
      </c>
    </row>
    <row r="278" spans="3:6" x14ac:dyDescent="0.3">
      <c r="C278" s="1" t="str">
        <f>IF(C277&lt;'Investment Calculator'!$C$8*'Investment Calculator'!$F$4,'SIP Schedule'!C277+1,"")</f>
        <v/>
      </c>
      <c r="D278" s="27" t="str">
        <f>IF(C278&lt;='Investment Calculator'!$C$8*'Investment Calculator'!$F$4,'Investment Calculator'!$C$6,"")</f>
        <v/>
      </c>
      <c r="E278" s="27" t="str">
        <f>IFERROR((F277+D278)*'Investment Calculator'!$C$7/'Investment Calculator'!$F$4,"")</f>
        <v/>
      </c>
      <c r="F278" s="27" t="str">
        <f>IFERROR(ABS(FV('Investment Calculator'!$C$7/'Investment Calculator'!$F$4,'SIP Schedule'!C278,'SIP Schedule'!D278,,1)),"")</f>
        <v/>
      </c>
    </row>
    <row r="279" spans="3:6" x14ac:dyDescent="0.3">
      <c r="C279" s="1" t="str">
        <f>IF(C278&lt;'Investment Calculator'!$C$8*'Investment Calculator'!$F$4,'SIP Schedule'!C278+1,"")</f>
        <v/>
      </c>
      <c r="D279" s="27" t="str">
        <f>IF(C279&lt;='Investment Calculator'!$C$8*'Investment Calculator'!$F$4,'Investment Calculator'!$C$6,"")</f>
        <v/>
      </c>
      <c r="E279" s="27" t="str">
        <f>IFERROR((F278+D279)*'Investment Calculator'!$C$7/'Investment Calculator'!$F$4,"")</f>
        <v/>
      </c>
      <c r="F279" s="27" t="str">
        <f>IFERROR(ABS(FV('Investment Calculator'!$C$7/'Investment Calculator'!$F$4,'SIP Schedule'!C279,'SIP Schedule'!D279,,1)),"")</f>
        <v/>
      </c>
    </row>
    <row r="280" spans="3:6" x14ac:dyDescent="0.3">
      <c r="C280" s="1" t="str">
        <f>IF(C279&lt;'Investment Calculator'!$C$8*'Investment Calculator'!$F$4,'SIP Schedule'!C279+1,"")</f>
        <v/>
      </c>
      <c r="D280" s="27" t="str">
        <f>IF(C280&lt;='Investment Calculator'!$C$8*'Investment Calculator'!$F$4,'Investment Calculator'!$C$6,"")</f>
        <v/>
      </c>
      <c r="E280" s="27" t="str">
        <f>IFERROR((F279+D280)*'Investment Calculator'!$C$7/'Investment Calculator'!$F$4,"")</f>
        <v/>
      </c>
      <c r="F280" s="27" t="str">
        <f>IFERROR(ABS(FV('Investment Calculator'!$C$7/'Investment Calculator'!$F$4,'SIP Schedule'!C280,'SIP Schedule'!D280,,1)),"")</f>
        <v/>
      </c>
    </row>
    <row r="281" spans="3:6" x14ac:dyDescent="0.3">
      <c r="C281" s="1" t="str">
        <f>IF(C280&lt;'Investment Calculator'!$C$8*'Investment Calculator'!$F$4,'SIP Schedule'!C280+1,"")</f>
        <v/>
      </c>
      <c r="D281" s="27" t="str">
        <f>IF(C281&lt;='Investment Calculator'!$C$8*'Investment Calculator'!$F$4,'Investment Calculator'!$C$6,"")</f>
        <v/>
      </c>
      <c r="E281" s="27" t="str">
        <f>IFERROR((F280+D281)*'Investment Calculator'!$C$7/'Investment Calculator'!$F$4,"")</f>
        <v/>
      </c>
      <c r="F281" s="27" t="str">
        <f>IFERROR(ABS(FV('Investment Calculator'!$C$7/'Investment Calculator'!$F$4,'SIP Schedule'!C281,'SIP Schedule'!D281,,1)),"")</f>
        <v/>
      </c>
    </row>
    <row r="282" spans="3:6" x14ac:dyDescent="0.3">
      <c r="C282" s="1" t="str">
        <f>IF(C281&lt;'Investment Calculator'!$C$8*'Investment Calculator'!$F$4,'SIP Schedule'!C281+1,"")</f>
        <v/>
      </c>
      <c r="D282" s="27" t="str">
        <f>IF(C282&lt;='Investment Calculator'!$C$8*'Investment Calculator'!$F$4,'Investment Calculator'!$C$6,"")</f>
        <v/>
      </c>
      <c r="E282" s="27" t="str">
        <f>IFERROR((F281+D282)*'Investment Calculator'!$C$7/'Investment Calculator'!$F$4,"")</f>
        <v/>
      </c>
      <c r="F282" s="27" t="str">
        <f>IFERROR(ABS(FV('Investment Calculator'!$C$7/'Investment Calculator'!$F$4,'SIP Schedule'!C282,'SIP Schedule'!D282,,1)),"")</f>
        <v/>
      </c>
    </row>
    <row r="283" spans="3:6" x14ac:dyDescent="0.3">
      <c r="C283" s="1" t="str">
        <f>IF(C282&lt;'Investment Calculator'!$C$8*'Investment Calculator'!$F$4,'SIP Schedule'!C282+1,"")</f>
        <v/>
      </c>
      <c r="D283" s="27" t="str">
        <f>IF(C283&lt;='Investment Calculator'!$C$8*'Investment Calculator'!$F$4,'Investment Calculator'!$C$6,"")</f>
        <v/>
      </c>
      <c r="E283" s="27" t="str">
        <f>IFERROR((F282+D283)*'Investment Calculator'!$C$7/'Investment Calculator'!$F$4,"")</f>
        <v/>
      </c>
      <c r="F283" s="27" t="str">
        <f>IFERROR(ABS(FV('Investment Calculator'!$C$7/'Investment Calculator'!$F$4,'SIP Schedule'!C283,'SIP Schedule'!D283,,1)),"")</f>
        <v/>
      </c>
    </row>
    <row r="284" spans="3:6" x14ac:dyDescent="0.3">
      <c r="C284" s="1" t="str">
        <f>IF(C283&lt;'Investment Calculator'!$C$8*'Investment Calculator'!$F$4,'SIP Schedule'!C283+1,"")</f>
        <v/>
      </c>
      <c r="D284" s="27" t="str">
        <f>IF(C284&lt;='Investment Calculator'!$C$8*'Investment Calculator'!$F$4,'Investment Calculator'!$C$6,"")</f>
        <v/>
      </c>
      <c r="E284" s="27" t="str">
        <f>IFERROR((F283+D284)*'Investment Calculator'!$C$7/'Investment Calculator'!$F$4,"")</f>
        <v/>
      </c>
      <c r="F284" s="27" t="str">
        <f>IFERROR(ABS(FV('Investment Calculator'!$C$7/'Investment Calculator'!$F$4,'SIP Schedule'!C284,'SIP Schedule'!D284,,1)),"")</f>
        <v/>
      </c>
    </row>
    <row r="285" spans="3:6" x14ac:dyDescent="0.3">
      <c r="C285" s="1" t="str">
        <f>IF(C284&lt;'Investment Calculator'!$C$8*'Investment Calculator'!$F$4,'SIP Schedule'!C284+1,"")</f>
        <v/>
      </c>
      <c r="D285" s="27" t="str">
        <f>IF(C285&lt;='Investment Calculator'!$C$8*'Investment Calculator'!$F$4,'Investment Calculator'!$C$6,"")</f>
        <v/>
      </c>
      <c r="E285" s="27" t="str">
        <f>IFERROR((F284+D285)*'Investment Calculator'!$C$7/'Investment Calculator'!$F$4,"")</f>
        <v/>
      </c>
      <c r="F285" s="27" t="str">
        <f>IFERROR(ABS(FV('Investment Calculator'!$C$7/'Investment Calculator'!$F$4,'SIP Schedule'!C285,'SIP Schedule'!D285,,1)),"")</f>
        <v/>
      </c>
    </row>
    <row r="286" spans="3:6" x14ac:dyDescent="0.3">
      <c r="C286" s="1" t="str">
        <f>IF(C285&lt;'Investment Calculator'!$C$8*'Investment Calculator'!$F$4,'SIP Schedule'!C285+1,"")</f>
        <v/>
      </c>
      <c r="D286" s="27" t="str">
        <f>IF(C286&lt;='Investment Calculator'!$C$8*'Investment Calculator'!$F$4,'Investment Calculator'!$C$6,"")</f>
        <v/>
      </c>
      <c r="E286" s="27" t="str">
        <f>IFERROR((F285+D286)*'Investment Calculator'!$C$7/'Investment Calculator'!$F$4,"")</f>
        <v/>
      </c>
      <c r="F286" s="27" t="str">
        <f>IFERROR(ABS(FV('Investment Calculator'!$C$7/'Investment Calculator'!$F$4,'SIP Schedule'!C286,'SIP Schedule'!D286,,1)),"")</f>
        <v/>
      </c>
    </row>
    <row r="287" spans="3:6" x14ac:dyDescent="0.3">
      <c r="C287" s="1" t="str">
        <f>IF(C286&lt;'Investment Calculator'!$C$8*'Investment Calculator'!$F$4,'SIP Schedule'!C286+1,"")</f>
        <v/>
      </c>
      <c r="D287" s="27" t="str">
        <f>IF(C287&lt;='Investment Calculator'!$C$8*'Investment Calculator'!$F$4,'Investment Calculator'!$C$6,"")</f>
        <v/>
      </c>
      <c r="E287" s="27" t="str">
        <f>IFERROR((F286+D287)*'Investment Calculator'!$C$7/'Investment Calculator'!$F$4,"")</f>
        <v/>
      </c>
      <c r="F287" s="27" t="str">
        <f>IFERROR(ABS(FV('Investment Calculator'!$C$7/'Investment Calculator'!$F$4,'SIP Schedule'!C287,'SIP Schedule'!D287,,1)),"")</f>
        <v/>
      </c>
    </row>
    <row r="288" spans="3:6" x14ac:dyDescent="0.3">
      <c r="C288" s="1" t="str">
        <f>IF(C287&lt;'Investment Calculator'!$C$8*'Investment Calculator'!$F$4,'SIP Schedule'!C287+1,"")</f>
        <v/>
      </c>
      <c r="D288" s="27" t="str">
        <f>IF(C288&lt;='Investment Calculator'!$C$8*'Investment Calculator'!$F$4,'Investment Calculator'!$C$6,"")</f>
        <v/>
      </c>
      <c r="E288" s="27" t="str">
        <f>IFERROR((F287+D288)*'Investment Calculator'!$C$7/'Investment Calculator'!$F$4,"")</f>
        <v/>
      </c>
      <c r="F288" s="27" t="str">
        <f>IFERROR(ABS(FV('Investment Calculator'!$C$7/'Investment Calculator'!$F$4,'SIP Schedule'!C288,'SIP Schedule'!D288,,1)),"")</f>
        <v/>
      </c>
    </row>
    <row r="289" spans="3:6" x14ac:dyDescent="0.3">
      <c r="C289" s="1" t="str">
        <f>IF(C288&lt;'Investment Calculator'!$C$8*'Investment Calculator'!$F$4,'SIP Schedule'!C288+1,"")</f>
        <v/>
      </c>
      <c r="D289" s="27" t="str">
        <f>IF(C289&lt;='Investment Calculator'!$C$8*'Investment Calculator'!$F$4,'Investment Calculator'!$C$6,"")</f>
        <v/>
      </c>
      <c r="E289" s="27" t="str">
        <f>IFERROR((F288+D289)*'Investment Calculator'!$C$7/'Investment Calculator'!$F$4,"")</f>
        <v/>
      </c>
      <c r="F289" s="27" t="str">
        <f>IFERROR(ABS(FV('Investment Calculator'!$C$7/'Investment Calculator'!$F$4,'SIP Schedule'!C289,'SIP Schedule'!D289,,1)),"")</f>
        <v/>
      </c>
    </row>
    <row r="290" spans="3:6" x14ac:dyDescent="0.3">
      <c r="C290" s="1" t="str">
        <f>IF(C289&lt;'Investment Calculator'!$C$8*'Investment Calculator'!$F$4,'SIP Schedule'!C289+1,"")</f>
        <v/>
      </c>
      <c r="D290" s="27" t="str">
        <f>IF(C290&lt;='Investment Calculator'!$C$8*'Investment Calculator'!$F$4,'Investment Calculator'!$C$6,"")</f>
        <v/>
      </c>
      <c r="E290" s="27" t="str">
        <f>IFERROR((F289+D290)*'Investment Calculator'!$C$7/'Investment Calculator'!$F$4,"")</f>
        <v/>
      </c>
      <c r="F290" s="27" t="str">
        <f>IFERROR(ABS(FV('Investment Calculator'!$C$7/'Investment Calculator'!$F$4,'SIP Schedule'!C290,'SIP Schedule'!D290,,1)),"")</f>
        <v/>
      </c>
    </row>
    <row r="291" spans="3:6" x14ac:dyDescent="0.3">
      <c r="C291" s="1" t="str">
        <f>IF(C290&lt;'Investment Calculator'!$C$8*'Investment Calculator'!$F$4,'SIP Schedule'!C290+1,"")</f>
        <v/>
      </c>
      <c r="D291" s="27" t="str">
        <f>IF(C291&lt;='Investment Calculator'!$C$8*'Investment Calculator'!$F$4,'Investment Calculator'!$C$6,"")</f>
        <v/>
      </c>
      <c r="E291" s="27" t="str">
        <f>IFERROR((F290+D291)*'Investment Calculator'!$C$7/'Investment Calculator'!$F$4,"")</f>
        <v/>
      </c>
      <c r="F291" s="27" t="str">
        <f>IFERROR(ABS(FV('Investment Calculator'!$C$7/'Investment Calculator'!$F$4,'SIP Schedule'!C291,'SIP Schedule'!D291,,1)),"")</f>
        <v/>
      </c>
    </row>
    <row r="292" spans="3:6" x14ac:dyDescent="0.3">
      <c r="C292" s="1" t="str">
        <f>IF(C291&lt;'Investment Calculator'!$C$8*'Investment Calculator'!$F$4,'SIP Schedule'!C291+1,"")</f>
        <v/>
      </c>
      <c r="D292" s="27" t="str">
        <f>IF(C292&lt;='Investment Calculator'!$C$8*'Investment Calculator'!$F$4,'Investment Calculator'!$C$6,"")</f>
        <v/>
      </c>
      <c r="E292" s="27" t="str">
        <f>IFERROR((F291+D292)*'Investment Calculator'!$C$7/'Investment Calculator'!$F$4,"")</f>
        <v/>
      </c>
      <c r="F292" s="27" t="str">
        <f>IFERROR(ABS(FV('Investment Calculator'!$C$7/'Investment Calculator'!$F$4,'SIP Schedule'!C292,'SIP Schedule'!D292,,1)),"")</f>
        <v/>
      </c>
    </row>
    <row r="293" spans="3:6" x14ac:dyDescent="0.3">
      <c r="C293" s="1" t="str">
        <f>IF(C292&lt;'Investment Calculator'!$C$8*'Investment Calculator'!$F$4,'SIP Schedule'!C292+1,"")</f>
        <v/>
      </c>
      <c r="D293" s="27" t="str">
        <f>IF(C293&lt;='Investment Calculator'!$C$8*'Investment Calculator'!$F$4,'Investment Calculator'!$C$6,"")</f>
        <v/>
      </c>
      <c r="E293" s="27" t="str">
        <f>IFERROR((F292+D293)*'Investment Calculator'!$C$7/'Investment Calculator'!$F$4,"")</f>
        <v/>
      </c>
      <c r="F293" s="27" t="str">
        <f>IFERROR(ABS(FV('Investment Calculator'!$C$7/'Investment Calculator'!$F$4,'SIP Schedule'!C293,'SIP Schedule'!D293,,1)),"")</f>
        <v/>
      </c>
    </row>
    <row r="294" spans="3:6" x14ac:dyDescent="0.3">
      <c r="C294" s="1" t="str">
        <f>IF(C293&lt;'Investment Calculator'!$C$8*'Investment Calculator'!$F$4,'SIP Schedule'!C293+1,"")</f>
        <v/>
      </c>
      <c r="D294" s="27" t="str">
        <f>IF(C294&lt;='Investment Calculator'!$C$8*'Investment Calculator'!$F$4,'Investment Calculator'!$C$6,"")</f>
        <v/>
      </c>
      <c r="E294" s="27" t="str">
        <f>IFERROR((F293+D294)*'Investment Calculator'!$C$7/'Investment Calculator'!$F$4,"")</f>
        <v/>
      </c>
      <c r="F294" s="27" t="str">
        <f>IFERROR(ABS(FV('Investment Calculator'!$C$7/'Investment Calculator'!$F$4,'SIP Schedule'!C294,'SIP Schedule'!D294,,1)),"")</f>
        <v/>
      </c>
    </row>
    <row r="295" spans="3:6" x14ac:dyDescent="0.3">
      <c r="C295" s="1" t="str">
        <f>IF(C294&lt;'Investment Calculator'!$C$8*'Investment Calculator'!$F$4,'SIP Schedule'!C294+1,"")</f>
        <v/>
      </c>
      <c r="D295" s="27" t="str">
        <f>IF(C295&lt;='Investment Calculator'!$C$8*'Investment Calculator'!$F$4,'Investment Calculator'!$C$6,"")</f>
        <v/>
      </c>
      <c r="E295" s="27" t="str">
        <f>IFERROR((F294+D295)*'Investment Calculator'!$C$7/'Investment Calculator'!$F$4,"")</f>
        <v/>
      </c>
      <c r="F295" s="27" t="str">
        <f>IFERROR(ABS(FV('Investment Calculator'!$C$7/'Investment Calculator'!$F$4,'SIP Schedule'!C295,'SIP Schedule'!D295,,1)),"")</f>
        <v/>
      </c>
    </row>
    <row r="296" spans="3:6" x14ac:dyDescent="0.3">
      <c r="C296" s="1" t="str">
        <f>IF(C295&lt;'Investment Calculator'!$C$8*'Investment Calculator'!$F$4,'SIP Schedule'!C295+1,"")</f>
        <v/>
      </c>
      <c r="D296" s="27" t="str">
        <f>IF(C296&lt;='Investment Calculator'!$C$8*'Investment Calculator'!$F$4,'Investment Calculator'!$C$6,"")</f>
        <v/>
      </c>
      <c r="E296" s="27" t="str">
        <f>IFERROR((F295+D296)*'Investment Calculator'!$C$7/'Investment Calculator'!$F$4,"")</f>
        <v/>
      </c>
      <c r="F296" s="27" t="str">
        <f>IFERROR(ABS(FV('Investment Calculator'!$C$7/'Investment Calculator'!$F$4,'SIP Schedule'!C296,'SIP Schedule'!D296,,1)),"")</f>
        <v/>
      </c>
    </row>
    <row r="297" spans="3:6" x14ac:dyDescent="0.3">
      <c r="C297" s="1" t="str">
        <f>IF(C296&lt;'Investment Calculator'!$C$8*'Investment Calculator'!$F$4,'SIP Schedule'!C296+1,"")</f>
        <v/>
      </c>
      <c r="D297" s="27" t="str">
        <f>IF(C297&lt;='Investment Calculator'!$C$8*'Investment Calculator'!$F$4,'Investment Calculator'!$C$6,"")</f>
        <v/>
      </c>
      <c r="E297" s="27" t="str">
        <f>IFERROR((F296+D297)*'Investment Calculator'!$C$7/'Investment Calculator'!$F$4,"")</f>
        <v/>
      </c>
      <c r="F297" s="27" t="str">
        <f>IFERROR(ABS(FV('Investment Calculator'!$C$7/'Investment Calculator'!$F$4,'SIP Schedule'!C297,'SIP Schedule'!D297,,1)),"")</f>
        <v/>
      </c>
    </row>
    <row r="298" spans="3:6" x14ac:dyDescent="0.3">
      <c r="C298" s="1" t="str">
        <f>IF(C297&lt;'Investment Calculator'!$C$8*'Investment Calculator'!$F$4,'SIP Schedule'!C297+1,"")</f>
        <v/>
      </c>
      <c r="D298" s="27" t="str">
        <f>IF(C298&lt;='Investment Calculator'!$C$8*'Investment Calculator'!$F$4,'Investment Calculator'!$C$6,"")</f>
        <v/>
      </c>
      <c r="E298" s="27" t="str">
        <f>IFERROR((F297+D298)*'Investment Calculator'!$C$7/'Investment Calculator'!$F$4,"")</f>
        <v/>
      </c>
      <c r="F298" s="27" t="str">
        <f>IFERROR(ABS(FV('Investment Calculator'!$C$7/'Investment Calculator'!$F$4,'SIP Schedule'!C298,'SIP Schedule'!D298,,1)),"")</f>
        <v/>
      </c>
    </row>
    <row r="299" spans="3:6" x14ac:dyDescent="0.3">
      <c r="C299" s="1" t="str">
        <f>IF(C298&lt;'Investment Calculator'!$C$8*'Investment Calculator'!$F$4,'SIP Schedule'!C298+1,"")</f>
        <v/>
      </c>
      <c r="D299" s="27" t="str">
        <f>IF(C299&lt;='Investment Calculator'!$C$8*'Investment Calculator'!$F$4,'Investment Calculator'!$C$6,"")</f>
        <v/>
      </c>
      <c r="E299" s="27" t="str">
        <f>IFERROR((F298+D299)*'Investment Calculator'!$C$7/'Investment Calculator'!$F$4,"")</f>
        <v/>
      </c>
      <c r="F299" s="27" t="str">
        <f>IFERROR(ABS(FV('Investment Calculator'!$C$7/'Investment Calculator'!$F$4,'SIP Schedule'!C299,'SIP Schedule'!D299,,1)),"")</f>
        <v/>
      </c>
    </row>
    <row r="300" spans="3:6" x14ac:dyDescent="0.3">
      <c r="C300" s="1" t="str">
        <f>IF(C299&lt;'Investment Calculator'!$C$8*'Investment Calculator'!$F$4,'SIP Schedule'!C299+1,"")</f>
        <v/>
      </c>
      <c r="D300" s="27" t="str">
        <f>IF(C300&lt;='Investment Calculator'!$C$8*'Investment Calculator'!$F$4,'Investment Calculator'!$C$6,"")</f>
        <v/>
      </c>
      <c r="E300" s="27" t="str">
        <f>IFERROR((F299+D300)*'Investment Calculator'!$C$7/'Investment Calculator'!$F$4,"")</f>
        <v/>
      </c>
      <c r="F300" s="27" t="str">
        <f>IFERROR(ABS(FV('Investment Calculator'!$C$7/'Investment Calculator'!$F$4,'SIP Schedule'!C300,'SIP Schedule'!D300,,1)),"")</f>
        <v/>
      </c>
    </row>
    <row r="301" spans="3:6" x14ac:dyDescent="0.3">
      <c r="C301" s="1" t="str">
        <f>IF(C300&lt;'Investment Calculator'!$C$8*'Investment Calculator'!$F$4,'SIP Schedule'!C300+1,"")</f>
        <v/>
      </c>
      <c r="D301" s="27" t="str">
        <f>IF(C301&lt;='Investment Calculator'!$C$8*'Investment Calculator'!$F$4,'Investment Calculator'!$C$6,"")</f>
        <v/>
      </c>
      <c r="E301" s="27" t="str">
        <f>IFERROR((F300+D301)*'Investment Calculator'!$C$7/'Investment Calculator'!$F$4,"")</f>
        <v/>
      </c>
      <c r="F301" s="27" t="str">
        <f>IFERROR(ABS(FV('Investment Calculator'!$C$7/'Investment Calculator'!$F$4,'SIP Schedule'!C301,'SIP Schedule'!D301,,1)),"")</f>
        <v/>
      </c>
    </row>
    <row r="302" spans="3:6" x14ac:dyDescent="0.3">
      <c r="C302" s="1" t="str">
        <f>IF(C301&lt;'Investment Calculator'!$C$8*'Investment Calculator'!$F$4,'SIP Schedule'!C301+1,"")</f>
        <v/>
      </c>
      <c r="D302" s="27" t="str">
        <f>IF(C302&lt;='Investment Calculator'!$C$8*'Investment Calculator'!$F$4,'Investment Calculator'!$C$6,"")</f>
        <v/>
      </c>
      <c r="E302" s="27" t="str">
        <f>IFERROR((F301+D302)*'Investment Calculator'!$C$7/'Investment Calculator'!$F$4,"")</f>
        <v/>
      </c>
      <c r="F302" s="27" t="str">
        <f>IFERROR(ABS(FV('Investment Calculator'!$C$7/'Investment Calculator'!$F$4,'SIP Schedule'!C302,'SIP Schedule'!D302,,1)),"")</f>
        <v/>
      </c>
    </row>
    <row r="303" spans="3:6" x14ac:dyDescent="0.3">
      <c r="C303" s="1" t="str">
        <f>IF(C302&lt;'Investment Calculator'!$C$8*'Investment Calculator'!$F$4,'SIP Schedule'!C302+1,"")</f>
        <v/>
      </c>
      <c r="D303" s="27" t="str">
        <f>IF(C303&lt;='Investment Calculator'!$C$8*'Investment Calculator'!$F$4,'Investment Calculator'!$C$6,"")</f>
        <v/>
      </c>
      <c r="E303" s="27" t="str">
        <f>IFERROR((F302+D303)*'Investment Calculator'!$C$7/'Investment Calculator'!$F$4,"")</f>
        <v/>
      </c>
      <c r="F303" s="27" t="str">
        <f>IFERROR(ABS(FV('Investment Calculator'!$C$7/'Investment Calculator'!$F$4,'SIP Schedule'!C303,'SIP Schedule'!D303,,1)),"")</f>
        <v/>
      </c>
    </row>
    <row r="304" spans="3:6" x14ac:dyDescent="0.3">
      <c r="C304" s="1" t="str">
        <f>IF(C303&lt;'Investment Calculator'!$C$8*'Investment Calculator'!$F$4,'SIP Schedule'!C303+1,"")</f>
        <v/>
      </c>
      <c r="D304" s="27" t="str">
        <f>IF(C304&lt;='Investment Calculator'!$C$8*'Investment Calculator'!$F$4,'Investment Calculator'!$C$6,"")</f>
        <v/>
      </c>
      <c r="E304" s="27" t="str">
        <f>IFERROR((F303+D304)*'Investment Calculator'!$C$7/'Investment Calculator'!$F$4,"")</f>
        <v/>
      </c>
      <c r="F304" s="27" t="str">
        <f>IFERROR(ABS(FV('Investment Calculator'!$C$7/'Investment Calculator'!$F$4,'SIP Schedule'!C304,'SIP Schedule'!D304,,1)),"")</f>
        <v/>
      </c>
    </row>
    <row r="305" spans="3:6" x14ac:dyDescent="0.3">
      <c r="C305" s="1" t="str">
        <f>IF(C304&lt;'Investment Calculator'!$C$8*'Investment Calculator'!$F$4,'SIP Schedule'!C304+1,"")</f>
        <v/>
      </c>
      <c r="D305" s="27" t="str">
        <f>IF(C305&lt;='Investment Calculator'!$C$8*'Investment Calculator'!$F$4,'Investment Calculator'!$C$6,"")</f>
        <v/>
      </c>
      <c r="E305" s="27" t="str">
        <f>IFERROR((F304+D305)*'Investment Calculator'!$C$7/'Investment Calculator'!$F$4,"")</f>
        <v/>
      </c>
      <c r="F305" s="27" t="str">
        <f>IFERROR(ABS(FV('Investment Calculator'!$C$7/'Investment Calculator'!$F$4,'SIP Schedule'!C305,'SIP Schedule'!D305,,1)),"")</f>
        <v/>
      </c>
    </row>
    <row r="306" spans="3:6" x14ac:dyDescent="0.3">
      <c r="C306" s="1" t="str">
        <f>IF(C305&lt;'Investment Calculator'!$C$8*'Investment Calculator'!$F$4,'SIP Schedule'!C305+1,"")</f>
        <v/>
      </c>
      <c r="D306" s="27" t="str">
        <f>IF(C306&lt;='Investment Calculator'!$C$8*'Investment Calculator'!$F$4,'Investment Calculator'!$C$6,"")</f>
        <v/>
      </c>
      <c r="E306" s="27" t="str">
        <f>IFERROR((F305+D306)*'Investment Calculator'!$C$7/'Investment Calculator'!$F$4,"")</f>
        <v/>
      </c>
      <c r="F306" s="27" t="str">
        <f>IFERROR(ABS(FV('Investment Calculator'!$C$7/'Investment Calculator'!$F$4,'SIP Schedule'!C306,'SIP Schedule'!D306,,1)),"")</f>
        <v/>
      </c>
    </row>
    <row r="307" spans="3:6" x14ac:dyDescent="0.3">
      <c r="C307" s="1" t="str">
        <f>IF(C306&lt;'Investment Calculator'!$C$8*'Investment Calculator'!$F$4,'SIP Schedule'!C306+1,"")</f>
        <v/>
      </c>
      <c r="D307" s="27" t="str">
        <f>IF(C307&lt;='Investment Calculator'!$C$8*'Investment Calculator'!$F$4,'Investment Calculator'!$C$6,"")</f>
        <v/>
      </c>
      <c r="E307" s="27" t="str">
        <f>IFERROR((F306+D307)*'Investment Calculator'!$C$7/'Investment Calculator'!$F$4,"")</f>
        <v/>
      </c>
      <c r="F307" s="27" t="str">
        <f>IFERROR(ABS(FV('Investment Calculator'!$C$7/'Investment Calculator'!$F$4,'SIP Schedule'!C307,'SIP Schedule'!D307,,1)),"")</f>
        <v/>
      </c>
    </row>
    <row r="308" spans="3:6" x14ac:dyDescent="0.3">
      <c r="C308" s="1" t="str">
        <f>IF(C307&lt;'Investment Calculator'!$C$8*'Investment Calculator'!$F$4,'SIP Schedule'!C307+1,"")</f>
        <v/>
      </c>
      <c r="D308" s="27" t="str">
        <f>IF(C308&lt;='Investment Calculator'!$C$8*'Investment Calculator'!$F$4,'Investment Calculator'!$C$6,"")</f>
        <v/>
      </c>
      <c r="E308" s="27" t="str">
        <f>IFERROR((F307+D308)*'Investment Calculator'!$C$7/'Investment Calculator'!$F$4,"")</f>
        <v/>
      </c>
      <c r="F308" s="27" t="str">
        <f>IFERROR(ABS(FV('Investment Calculator'!$C$7/'Investment Calculator'!$F$4,'SIP Schedule'!C308,'SIP Schedule'!D308,,1)),"")</f>
        <v/>
      </c>
    </row>
    <row r="309" spans="3:6" x14ac:dyDescent="0.3">
      <c r="C309" s="1" t="str">
        <f>IF(C308&lt;'Investment Calculator'!$C$8*'Investment Calculator'!$F$4,'SIP Schedule'!C308+1,"")</f>
        <v/>
      </c>
      <c r="D309" s="27" t="str">
        <f>IF(C309&lt;='Investment Calculator'!$C$8*'Investment Calculator'!$F$4,'Investment Calculator'!$C$6,"")</f>
        <v/>
      </c>
      <c r="E309" s="27" t="str">
        <f>IFERROR((F308+D309)*'Investment Calculator'!$C$7/'Investment Calculator'!$F$4,"")</f>
        <v/>
      </c>
      <c r="F309" s="27" t="str">
        <f>IFERROR(ABS(FV('Investment Calculator'!$C$7/'Investment Calculator'!$F$4,'SIP Schedule'!C309,'SIP Schedule'!D309,,1)),"")</f>
        <v/>
      </c>
    </row>
    <row r="310" spans="3:6" x14ac:dyDescent="0.3">
      <c r="C310" s="1" t="str">
        <f>IF(C309&lt;'Investment Calculator'!$C$8*'Investment Calculator'!$F$4,'SIP Schedule'!C309+1,"")</f>
        <v/>
      </c>
      <c r="D310" s="27" t="str">
        <f>IF(C310&lt;='Investment Calculator'!$C$8*'Investment Calculator'!$F$4,'Investment Calculator'!$C$6,"")</f>
        <v/>
      </c>
      <c r="E310" s="27" t="str">
        <f>IFERROR((F309+D310)*'Investment Calculator'!$C$7/'Investment Calculator'!$F$4,"")</f>
        <v/>
      </c>
      <c r="F310" s="27" t="str">
        <f>IFERROR(ABS(FV('Investment Calculator'!$C$7/'Investment Calculator'!$F$4,'SIP Schedule'!C310,'SIP Schedule'!D310,,1)),"")</f>
        <v/>
      </c>
    </row>
    <row r="311" spans="3:6" x14ac:dyDescent="0.3">
      <c r="C311" s="1" t="str">
        <f>IF(C310&lt;'Investment Calculator'!$C$8*'Investment Calculator'!$F$4,'SIP Schedule'!C310+1,"")</f>
        <v/>
      </c>
      <c r="D311" s="27" t="str">
        <f>IF(C311&lt;='Investment Calculator'!$C$8*'Investment Calculator'!$F$4,'Investment Calculator'!$C$6,"")</f>
        <v/>
      </c>
      <c r="E311" s="27" t="str">
        <f>IFERROR((F310+D311)*'Investment Calculator'!$C$7/'Investment Calculator'!$F$4,"")</f>
        <v/>
      </c>
      <c r="F311" s="27" t="str">
        <f>IFERROR(ABS(FV('Investment Calculator'!$C$7/'Investment Calculator'!$F$4,'SIP Schedule'!C311,'SIP Schedule'!D311,,1)),"")</f>
        <v/>
      </c>
    </row>
    <row r="312" spans="3:6" x14ac:dyDescent="0.3">
      <c r="C312" s="1" t="str">
        <f>IF(C311&lt;'Investment Calculator'!$C$8*'Investment Calculator'!$F$4,'SIP Schedule'!C311+1,"")</f>
        <v/>
      </c>
      <c r="D312" s="27" t="str">
        <f>IF(C312&lt;='Investment Calculator'!$C$8*'Investment Calculator'!$F$4,'Investment Calculator'!$C$6,"")</f>
        <v/>
      </c>
      <c r="E312" s="27" t="str">
        <f>IFERROR((F311+D312)*'Investment Calculator'!$C$7/'Investment Calculator'!$F$4,"")</f>
        <v/>
      </c>
      <c r="F312" s="27" t="str">
        <f>IFERROR(ABS(FV('Investment Calculator'!$C$7/'Investment Calculator'!$F$4,'SIP Schedule'!C312,'SIP Schedule'!D312,,1)),"")</f>
        <v/>
      </c>
    </row>
    <row r="313" spans="3:6" x14ac:dyDescent="0.3">
      <c r="C313" s="1" t="str">
        <f>IF(C312&lt;'Investment Calculator'!$C$8*'Investment Calculator'!$F$4,'SIP Schedule'!C312+1,"")</f>
        <v/>
      </c>
      <c r="D313" s="27" t="str">
        <f>IF(C313&lt;='Investment Calculator'!$C$8*'Investment Calculator'!$F$4,'Investment Calculator'!$C$6,"")</f>
        <v/>
      </c>
      <c r="E313" s="27" t="str">
        <f>IFERROR((F312+D313)*'Investment Calculator'!$C$7/'Investment Calculator'!$F$4,"")</f>
        <v/>
      </c>
      <c r="F313" s="27" t="str">
        <f>IFERROR(ABS(FV('Investment Calculator'!$C$7/'Investment Calculator'!$F$4,'SIP Schedule'!C313,'SIP Schedule'!D313,,1)),"")</f>
        <v/>
      </c>
    </row>
    <row r="314" spans="3:6" x14ac:dyDescent="0.3">
      <c r="C314" s="1" t="str">
        <f>IF(C313&lt;'Investment Calculator'!$C$8*'Investment Calculator'!$F$4,'SIP Schedule'!C313+1,"")</f>
        <v/>
      </c>
      <c r="D314" s="27" t="str">
        <f>IF(C314&lt;='Investment Calculator'!$C$8*'Investment Calculator'!$F$4,'Investment Calculator'!$C$6,"")</f>
        <v/>
      </c>
      <c r="E314" s="27" t="str">
        <f>IFERROR((F313+D314)*'Investment Calculator'!$C$7/'Investment Calculator'!$F$4,"")</f>
        <v/>
      </c>
      <c r="F314" s="27" t="str">
        <f>IFERROR(ABS(FV('Investment Calculator'!$C$7/'Investment Calculator'!$F$4,'SIP Schedule'!C314,'SIP Schedule'!D314,,1)),"")</f>
        <v/>
      </c>
    </row>
    <row r="315" spans="3:6" x14ac:dyDescent="0.3">
      <c r="C315" s="1" t="str">
        <f>IF(C314&lt;'Investment Calculator'!$C$8*'Investment Calculator'!$F$4,'SIP Schedule'!C314+1,"")</f>
        <v/>
      </c>
      <c r="D315" s="27" t="str">
        <f>IF(C315&lt;='Investment Calculator'!$C$8*'Investment Calculator'!$F$4,'Investment Calculator'!$C$6,"")</f>
        <v/>
      </c>
      <c r="E315" s="27" t="str">
        <f>IFERROR((F314+D315)*'Investment Calculator'!$C$7/'Investment Calculator'!$F$4,"")</f>
        <v/>
      </c>
      <c r="F315" s="27" t="str">
        <f>IFERROR(ABS(FV('Investment Calculator'!$C$7/'Investment Calculator'!$F$4,'SIP Schedule'!C315,'SIP Schedule'!D315,,1)),"")</f>
        <v/>
      </c>
    </row>
    <row r="316" spans="3:6" x14ac:dyDescent="0.3">
      <c r="C316" s="1" t="str">
        <f>IF(C315&lt;'Investment Calculator'!$C$8*'Investment Calculator'!$F$4,'SIP Schedule'!C315+1,"")</f>
        <v/>
      </c>
      <c r="D316" s="27" t="str">
        <f>IF(C316&lt;='Investment Calculator'!$C$8*'Investment Calculator'!$F$4,'Investment Calculator'!$C$6,"")</f>
        <v/>
      </c>
      <c r="E316" s="27" t="str">
        <f>IFERROR((F315+D316)*'Investment Calculator'!$C$7/'Investment Calculator'!$F$4,"")</f>
        <v/>
      </c>
      <c r="F316" s="27" t="str">
        <f>IFERROR(ABS(FV('Investment Calculator'!$C$7/'Investment Calculator'!$F$4,'SIP Schedule'!C316,'SIP Schedule'!D316,,1)),"")</f>
        <v/>
      </c>
    </row>
    <row r="317" spans="3:6" x14ac:dyDescent="0.3">
      <c r="C317" s="1" t="str">
        <f>IF(C316&lt;'Investment Calculator'!$C$8*'Investment Calculator'!$F$4,'SIP Schedule'!C316+1,"")</f>
        <v/>
      </c>
      <c r="D317" s="27" t="str">
        <f>IF(C317&lt;='Investment Calculator'!$C$8*'Investment Calculator'!$F$4,'Investment Calculator'!$C$6,"")</f>
        <v/>
      </c>
      <c r="E317" s="27" t="str">
        <f>IFERROR((F316+D317)*'Investment Calculator'!$C$7/'Investment Calculator'!$F$4,"")</f>
        <v/>
      </c>
      <c r="F317" s="27" t="str">
        <f>IFERROR(ABS(FV('Investment Calculator'!$C$7/'Investment Calculator'!$F$4,'SIP Schedule'!C317,'SIP Schedule'!D317,,1)),"")</f>
        <v/>
      </c>
    </row>
    <row r="318" spans="3:6" x14ac:dyDescent="0.3">
      <c r="C318" s="1" t="str">
        <f>IF(C317&lt;'Investment Calculator'!$C$8*'Investment Calculator'!$F$4,'SIP Schedule'!C317+1,"")</f>
        <v/>
      </c>
      <c r="D318" s="27" t="str">
        <f>IF(C318&lt;='Investment Calculator'!$C$8*'Investment Calculator'!$F$4,'Investment Calculator'!$C$6,"")</f>
        <v/>
      </c>
      <c r="E318" s="27" t="str">
        <f>IFERROR((F317+D318)*'Investment Calculator'!$C$7/'Investment Calculator'!$F$4,"")</f>
        <v/>
      </c>
      <c r="F318" s="27" t="str">
        <f>IFERROR(ABS(FV('Investment Calculator'!$C$7/'Investment Calculator'!$F$4,'SIP Schedule'!C318,'SIP Schedule'!D318,,1)),"")</f>
        <v/>
      </c>
    </row>
    <row r="319" spans="3:6" x14ac:dyDescent="0.3">
      <c r="C319" s="1" t="str">
        <f>IF(C318&lt;'Investment Calculator'!$C$8*'Investment Calculator'!$F$4,'SIP Schedule'!C318+1,"")</f>
        <v/>
      </c>
      <c r="D319" s="27" t="str">
        <f>IF(C319&lt;='Investment Calculator'!$C$8*'Investment Calculator'!$F$4,'Investment Calculator'!$C$6,"")</f>
        <v/>
      </c>
      <c r="E319" s="27" t="str">
        <f>IFERROR((F318+D319)*'Investment Calculator'!$C$7/'Investment Calculator'!$F$4,"")</f>
        <v/>
      </c>
      <c r="F319" s="27" t="str">
        <f>IFERROR(ABS(FV('Investment Calculator'!$C$7/'Investment Calculator'!$F$4,'SIP Schedule'!C319,'SIP Schedule'!D319,,1)),"")</f>
        <v/>
      </c>
    </row>
    <row r="320" spans="3:6" x14ac:dyDescent="0.3">
      <c r="C320" s="1" t="str">
        <f>IF(C319&lt;'Investment Calculator'!$C$8*'Investment Calculator'!$F$4,'SIP Schedule'!C319+1,"")</f>
        <v/>
      </c>
      <c r="D320" s="27" t="str">
        <f>IF(C320&lt;='Investment Calculator'!$C$8*'Investment Calculator'!$F$4,'Investment Calculator'!$C$6,"")</f>
        <v/>
      </c>
      <c r="E320" s="27" t="str">
        <f>IFERROR((F319+D320)*'Investment Calculator'!$C$7/'Investment Calculator'!$F$4,"")</f>
        <v/>
      </c>
      <c r="F320" s="27" t="str">
        <f>IFERROR(ABS(FV('Investment Calculator'!$C$7/'Investment Calculator'!$F$4,'SIP Schedule'!C320,'SIP Schedule'!D320,,1)),"")</f>
        <v/>
      </c>
    </row>
    <row r="321" spans="3:6" x14ac:dyDescent="0.3">
      <c r="C321" s="1" t="str">
        <f>IF(C320&lt;'Investment Calculator'!$C$8*'Investment Calculator'!$F$4,'SIP Schedule'!C320+1,"")</f>
        <v/>
      </c>
      <c r="D321" s="27" t="str">
        <f>IF(C321&lt;='Investment Calculator'!$C$8*'Investment Calculator'!$F$4,'Investment Calculator'!$C$6,"")</f>
        <v/>
      </c>
      <c r="E321" s="27" t="str">
        <f>IFERROR((F320+D321)*'Investment Calculator'!$C$7/'Investment Calculator'!$F$4,"")</f>
        <v/>
      </c>
      <c r="F321" s="27" t="str">
        <f>IFERROR(ABS(FV('Investment Calculator'!$C$7/'Investment Calculator'!$F$4,'SIP Schedule'!C321,'SIP Schedule'!D321,,1)),"")</f>
        <v/>
      </c>
    </row>
    <row r="322" spans="3:6" x14ac:dyDescent="0.3">
      <c r="C322" s="1" t="str">
        <f>IF(C321&lt;'Investment Calculator'!$C$8*'Investment Calculator'!$F$4,'SIP Schedule'!C321+1,"")</f>
        <v/>
      </c>
      <c r="D322" s="27" t="str">
        <f>IF(C322&lt;='Investment Calculator'!$C$8*'Investment Calculator'!$F$4,'Investment Calculator'!$C$6,"")</f>
        <v/>
      </c>
      <c r="E322" s="27" t="str">
        <f>IFERROR((F321+D322)*'Investment Calculator'!$C$7/'Investment Calculator'!$F$4,"")</f>
        <v/>
      </c>
      <c r="F322" s="27" t="str">
        <f>IFERROR(ABS(FV('Investment Calculator'!$C$7/'Investment Calculator'!$F$4,'SIP Schedule'!C322,'SIP Schedule'!D322,,1)),"")</f>
        <v/>
      </c>
    </row>
    <row r="323" spans="3:6" x14ac:dyDescent="0.3">
      <c r="C323" s="1" t="str">
        <f>IF(C322&lt;'Investment Calculator'!$C$8*'Investment Calculator'!$F$4,'SIP Schedule'!C322+1,"")</f>
        <v/>
      </c>
      <c r="D323" s="27" t="str">
        <f>IF(C323&lt;='Investment Calculator'!$C$8*'Investment Calculator'!$F$4,'Investment Calculator'!$C$6,"")</f>
        <v/>
      </c>
      <c r="E323" s="27" t="str">
        <f>IFERROR((F322+D323)*'Investment Calculator'!$C$7/'Investment Calculator'!$F$4,"")</f>
        <v/>
      </c>
      <c r="F323" s="27" t="str">
        <f>IFERROR(ABS(FV('Investment Calculator'!$C$7/'Investment Calculator'!$F$4,'SIP Schedule'!C323,'SIP Schedule'!D323,,1)),"")</f>
        <v/>
      </c>
    </row>
    <row r="324" spans="3:6" x14ac:dyDescent="0.3">
      <c r="C324" s="1" t="str">
        <f>IF(C323&lt;'Investment Calculator'!$C$8*'Investment Calculator'!$F$4,'SIP Schedule'!C323+1,"")</f>
        <v/>
      </c>
      <c r="D324" s="27" t="str">
        <f>IF(C324&lt;='Investment Calculator'!$C$8*'Investment Calculator'!$F$4,'Investment Calculator'!$C$6,"")</f>
        <v/>
      </c>
      <c r="E324" s="27" t="str">
        <f>IFERROR((F323+D324)*'Investment Calculator'!$C$7/'Investment Calculator'!$F$4,"")</f>
        <v/>
      </c>
      <c r="F324" s="27" t="str">
        <f>IFERROR(ABS(FV('Investment Calculator'!$C$7/'Investment Calculator'!$F$4,'SIP Schedule'!C324,'SIP Schedule'!D324,,1)),"")</f>
        <v/>
      </c>
    </row>
    <row r="325" spans="3:6" x14ac:dyDescent="0.3">
      <c r="C325" s="1" t="str">
        <f>IF(C324&lt;'Investment Calculator'!$C$8*'Investment Calculator'!$F$4,'SIP Schedule'!C324+1,"")</f>
        <v/>
      </c>
      <c r="D325" s="27" t="str">
        <f>IF(C325&lt;='Investment Calculator'!$C$8*'Investment Calculator'!$F$4,'Investment Calculator'!$C$6,"")</f>
        <v/>
      </c>
      <c r="E325" s="27" t="str">
        <f>IFERROR((F324+D325)*'Investment Calculator'!$C$7/'Investment Calculator'!$F$4,"")</f>
        <v/>
      </c>
      <c r="F325" s="27" t="str">
        <f>IFERROR(ABS(FV('Investment Calculator'!$C$7/'Investment Calculator'!$F$4,'SIP Schedule'!C325,'SIP Schedule'!D325,,1)),"")</f>
        <v/>
      </c>
    </row>
    <row r="326" spans="3:6" x14ac:dyDescent="0.3">
      <c r="C326" s="1" t="str">
        <f>IF(C325&lt;'Investment Calculator'!$C$8*'Investment Calculator'!$F$4,'SIP Schedule'!C325+1,"")</f>
        <v/>
      </c>
      <c r="D326" s="27" t="str">
        <f>IF(C326&lt;='Investment Calculator'!$C$8*'Investment Calculator'!$F$4,'Investment Calculator'!$C$6,"")</f>
        <v/>
      </c>
      <c r="E326" s="27" t="str">
        <f>IFERROR((F325+D326)*'Investment Calculator'!$C$7/'Investment Calculator'!$F$4,"")</f>
        <v/>
      </c>
      <c r="F326" s="27" t="str">
        <f>IFERROR(ABS(FV('Investment Calculator'!$C$7/'Investment Calculator'!$F$4,'SIP Schedule'!C326,'SIP Schedule'!D326,,1)),"")</f>
        <v/>
      </c>
    </row>
    <row r="327" spans="3:6" x14ac:dyDescent="0.3">
      <c r="C327" s="1" t="str">
        <f>IF(C326&lt;'Investment Calculator'!$C$8*'Investment Calculator'!$F$4,'SIP Schedule'!C326+1,"")</f>
        <v/>
      </c>
      <c r="D327" s="27" t="str">
        <f>IF(C327&lt;='Investment Calculator'!$C$8*'Investment Calculator'!$F$4,'Investment Calculator'!$C$6,"")</f>
        <v/>
      </c>
      <c r="E327" s="27" t="str">
        <f>IFERROR((F326+D327)*'Investment Calculator'!$C$7/'Investment Calculator'!$F$4,"")</f>
        <v/>
      </c>
      <c r="F327" s="27" t="str">
        <f>IFERROR(ABS(FV('Investment Calculator'!$C$7/'Investment Calculator'!$F$4,'SIP Schedule'!C327,'SIP Schedule'!D327,,1)),"")</f>
        <v/>
      </c>
    </row>
    <row r="328" spans="3:6" x14ac:dyDescent="0.3">
      <c r="C328" s="1" t="str">
        <f>IF(C327&lt;'Investment Calculator'!$C$8*'Investment Calculator'!$F$4,'SIP Schedule'!C327+1,"")</f>
        <v/>
      </c>
      <c r="D328" s="27" t="str">
        <f>IF(C328&lt;='Investment Calculator'!$C$8*'Investment Calculator'!$F$4,'Investment Calculator'!$C$6,"")</f>
        <v/>
      </c>
      <c r="E328" s="27" t="str">
        <f>IFERROR((F327+D328)*'Investment Calculator'!$C$7/'Investment Calculator'!$F$4,"")</f>
        <v/>
      </c>
      <c r="F328" s="27" t="str">
        <f>IFERROR(ABS(FV('Investment Calculator'!$C$7/'Investment Calculator'!$F$4,'SIP Schedule'!C328,'SIP Schedule'!D328,,1)),"")</f>
        <v/>
      </c>
    </row>
    <row r="329" spans="3:6" x14ac:dyDescent="0.3">
      <c r="C329" s="1" t="str">
        <f>IF(C328&lt;'Investment Calculator'!$C$8*'Investment Calculator'!$F$4,'SIP Schedule'!C328+1,"")</f>
        <v/>
      </c>
      <c r="D329" s="27" t="str">
        <f>IF(C329&lt;='Investment Calculator'!$C$8*'Investment Calculator'!$F$4,'Investment Calculator'!$C$6,"")</f>
        <v/>
      </c>
      <c r="E329" s="27" t="str">
        <f>IFERROR((F328+D329)*'Investment Calculator'!$C$7/'Investment Calculator'!$F$4,"")</f>
        <v/>
      </c>
      <c r="F329" s="27" t="str">
        <f>IFERROR(ABS(FV('Investment Calculator'!$C$7/'Investment Calculator'!$F$4,'SIP Schedule'!C329,'SIP Schedule'!D329,,1)),"")</f>
        <v/>
      </c>
    </row>
    <row r="330" spans="3:6" x14ac:dyDescent="0.3">
      <c r="C330" s="1" t="str">
        <f>IF(C329&lt;'Investment Calculator'!$C$8*'Investment Calculator'!$F$4,'SIP Schedule'!C329+1,"")</f>
        <v/>
      </c>
      <c r="D330" s="27" t="str">
        <f>IF(C330&lt;='Investment Calculator'!$C$8*'Investment Calculator'!$F$4,'Investment Calculator'!$C$6,"")</f>
        <v/>
      </c>
      <c r="E330" s="27" t="str">
        <f>IFERROR((F329+D330)*'Investment Calculator'!$C$7/'Investment Calculator'!$F$4,"")</f>
        <v/>
      </c>
      <c r="F330" s="27" t="str">
        <f>IFERROR(ABS(FV('Investment Calculator'!$C$7/'Investment Calculator'!$F$4,'SIP Schedule'!C330,'SIP Schedule'!D330,,1)),"")</f>
        <v/>
      </c>
    </row>
    <row r="331" spans="3:6" x14ac:dyDescent="0.3">
      <c r="C331" s="1" t="str">
        <f>IF(C330&lt;'Investment Calculator'!$C$8*'Investment Calculator'!$F$4,'SIP Schedule'!C330+1,"")</f>
        <v/>
      </c>
      <c r="D331" s="27" t="str">
        <f>IF(C331&lt;='Investment Calculator'!$C$8*'Investment Calculator'!$F$4,'Investment Calculator'!$C$6,"")</f>
        <v/>
      </c>
      <c r="E331" s="27" t="str">
        <f>IFERROR((F330+D331)*'Investment Calculator'!$C$7/'Investment Calculator'!$F$4,"")</f>
        <v/>
      </c>
      <c r="F331" s="27" t="str">
        <f>IFERROR(ABS(FV('Investment Calculator'!$C$7/'Investment Calculator'!$F$4,'SIP Schedule'!C331,'SIP Schedule'!D331,,1)),"")</f>
        <v/>
      </c>
    </row>
    <row r="332" spans="3:6" x14ac:dyDescent="0.3">
      <c r="C332" s="1" t="str">
        <f>IF(C331&lt;'Investment Calculator'!$C$8*'Investment Calculator'!$F$4,'SIP Schedule'!C331+1,"")</f>
        <v/>
      </c>
      <c r="D332" s="27" t="str">
        <f>IF(C332&lt;='Investment Calculator'!$C$8*'Investment Calculator'!$F$4,'Investment Calculator'!$C$6,"")</f>
        <v/>
      </c>
      <c r="E332" s="27" t="str">
        <f>IFERROR((F331+D332)*'Investment Calculator'!$C$7/'Investment Calculator'!$F$4,"")</f>
        <v/>
      </c>
      <c r="F332" s="27" t="str">
        <f>IFERROR(ABS(FV('Investment Calculator'!$C$7/'Investment Calculator'!$F$4,'SIP Schedule'!C332,'SIP Schedule'!D332,,1)),"")</f>
        <v/>
      </c>
    </row>
    <row r="333" spans="3:6" x14ac:dyDescent="0.3">
      <c r="C333" s="1" t="str">
        <f>IF(C332&lt;'Investment Calculator'!$C$8*'Investment Calculator'!$F$4,'SIP Schedule'!C332+1,"")</f>
        <v/>
      </c>
      <c r="D333" s="27" t="str">
        <f>IF(C333&lt;='Investment Calculator'!$C$8*'Investment Calculator'!$F$4,'Investment Calculator'!$C$6,"")</f>
        <v/>
      </c>
      <c r="E333" s="27" t="str">
        <f>IFERROR((F332+D333)*'Investment Calculator'!$C$7/'Investment Calculator'!$F$4,"")</f>
        <v/>
      </c>
      <c r="F333" s="27" t="str">
        <f>IFERROR(ABS(FV('Investment Calculator'!$C$7/'Investment Calculator'!$F$4,'SIP Schedule'!C333,'SIP Schedule'!D333,,1)),"")</f>
        <v/>
      </c>
    </row>
    <row r="334" spans="3:6" x14ac:dyDescent="0.3">
      <c r="C334" s="1" t="str">
        <f>IF(C333&lt;'Investment Calculator'!$C$8*'Investment Calculator'!$F$4,'SIP Schedule'!C333+1,"")</f>
        <v/>
      </c>
      <c r="D334" s="27" t="str">
        <f>IF(C334&lt;='Investment Calculator'!$C$8*'Investment Calculator'!$F$4,'Investment Calculator'!$C$6,"")</f>
        <v/>
      </c>
      <c r="E334" s="27" t="str">
        <f>IFERROR((F333+D334)*'Investment Calculator'!$C$7/'Investment Calculator'!$F$4,"")</f>
        <v/>
      </c>
      <c r="F334" s="27" t="str">
        <f>IFERROR(ABS(FV('Investment Calculator'!$C$7/'Investment Calculator'!$F$4,'SIP Schedule'!C334,'SIP Schedule'!D334,,1)),"")</f>
        <v/>
      </c>
    </row>
    <row r="335" spans="3:6" x14ac:dyDescent="0.3">
      <c r="C335" s="1" t="str">
        <f>IF(C334&lt;'Investment Calculator'!$C$8*'Investment Calculator'!$F$4,'SIP Schedule'!C334+1,"")</f>
        <v/>
      </c>
      <c r="D335" s="27" t="str">
        <f>IF(C335&lt;='Investment Calculator'!$C$8*'Investment Calculator'!$F$4,'Investment Calculator'!$C$6,"")</f>
        <v/>
      </c>
      <c r="E335" s="27" t="str">
        <f>IFERROR((F334+D335)*'Investment Calculator'!$C$7/'Investment Calculator'!$F$4,"")</f>
        <v/>
      </c>
      <c r="F335" s="27" t="str">
        <f>IFERROR(ABS(FV('Investment Calculator'!$C$7/'Investment Calculator'!$F$4,'SIP Schedule'!C335,'SIP Schedule'!D335,,1)),"")</f>
        <v/>
      </c>
    </row>
    <row r="336" spans="3:6" x14ac:dyDescent="0.3">
      <c r="C336" s="1" t="str">
        <f>IF(C335&lt;'Investment Calculator'!$C$8*'Investment Calculator'!$F$4,'SIP Schedule'!C335+1,"")</f>
        <v/>
      </c>
      <c r="D336" s="27" t="str">
        <f>IF(C336&lt;='Investment Calculator'!$C$8*'Investment Calculator'!$F$4,'Investment Calculator'!$C$6,"")</f>
        <v/>
      </c>
      <c r="E336" s="27" t="str">
        <f>IFERROR((F335+D336)*'Investment Calculator'!$C$7/'Investment Calculator'!$F$4,"")</f>
        <v/>
      </c>
      <c r="F336" s="27" t="str">
        <f>IFERROR(ABS(FV('Investment Calculator'!$C$7/'Investment Calculator'!$F$4,'SIP Schedule'!C336,'SIP Schedule'!D336,,1)),"")</f>
        <v/>
      </c>
    </row>
    <row r="337" spans="3:6" x14ac:dyDescent="0.3">
      <c r="C337" s="1" t="str">
        <f>IF(C336&lt;'Investment Calculator'!$C$8*'Investment Calculator'!$F$4,'SIP Schedule'!C336+1,"")</f>
        <v/>
      </c>
      <c r="D337" s="27" t="str">
        <f>IF(C337&lt;='Investment Calculator'!$C$8*'Investment Calculator'!$F$4,'Investment Calculator'!$C$6,"")</f>
        <v/>
      </c>
      <c r="E337" s="27" t="str">
        <f>IFERROR((F336+D337)*'Investment Calculator'!$C$7/'Investment Calculator'!$F$4,"")</f>
        <v/>
      </c>
      <c r="F337" s="27" t="str">
        <f>IFERROR(ABS(FV('Investment Calculator'!$C$7/'Investment Calculator'!$F$4,'SIP Schedule'!C337,'SIP Schedule'!D337,,1)),"")</f>
        <v/>
      </c>
    </row>
    <row r="338" spans="3:6" x14ac:dyDescent="0.3">
      <c r="C338" s="1" t="str">
        <f>IF(C337&lt;'Investment Calculator'!$C$8*'Investment Calculator'!$F$4,'SIP Schedule'!C337+1,"")</f>
        <v/>
      </c>
      <c r="D338" s="27" t="str">
        <f>IF(C338&lt;='Investment Calculator'!$C$8*'Investment Calculator'!$F$4,'Investment Calculator'!$C$6,"")</f>
        <v/>
      </c>
      <c r="E338" s="27" t="str">
        <f>IFERROR((F337+D338)*'Investment Calculator'!$C$7/'Investment Calculator'!$F$4,"")</f>
        <v/>
      </c>
      <c r="F338" s="27" t="str">
        <f>IFERROR(ABS(FV('Investment Calculator'!$C$7/'Investment Calculator'!$F$4,'SIP Schedule'!C338,'SIP Schedule'!D338,,1)),"")</f>
        <v/>
      </c>
    </row>
    <row r="339" spans="3:6" x14ac:dyDescent="0.3">
      <c r="C339" s="1" t="str">
        <f>IF(C338&lt;'Investment Calculator'!$C$8*'Investment Calculator'!$F$4,'SIP Schedule'!C338+1,"")</f>
        <v/>
      </c>
      <c r="D339" s="27" t="str">
        <f>IF(C339&lt;='Investment Calculator'!$C$8*'Investment Calculator'!$F$4,'Investment Calculator'!$C$6,"")</f>
        <v/>
      </c>
      <c r="E339" s="27" t="str">
        <f>IFERROR((F338+D339)*'Investment Calculator'!$C$7/'Investment Calculator'!$F$4,"")</f>
        <v/>
      </c>
      <c r="F339" s="27" t="str">
        <f>IFERROR(ABS(FV('Investment Calculator'!$C$7/'Investment Calculator'!$F$4,'SIP Schedule'!C339,'SIP Schedule'!D339,,1)),"")</f>
        <v/>
      </c>
    </row>
    <row r="340" spans="3:6" x14ac:dyDescent="0.3">
      <c r="C340" s="1" t="str">
        <f>IF(C339&lt;'Investment Calculator'!$C$8*'Investment Calculator'!$F$4,'SIP Schedule'!C339+1,"")</f>
        <v/>
      </c>
      <c r="D340" s="27" t="str">
        <f>IF(C340&lt;='Investment Calculator'!$C$8*'Investment Calculator'!$F$4,'Investment Calculator'!$C$6,"")</f>
        <v/>
      </c>
      <c r="E340" s="27" t="str">
        <f>IFERROR((F339+D340)*'Investment Calculator'!$C$7/'Investment Calculator'!$F$4,"")</f>
        <v/>
      </c>
      <c r="F340" s="27" t="str">
        <f>IFERROR(ABS(FV('Investment Calculator'!$C$7/'Investment Calculator'!$F$4,'SIP Schedule'!C340,'SIP Schedule'!D340,,1)),"")</f>
        <v/>
      </c>
    </row>
    <row r="341" spans="3:6" x14ac:dyDescent="0.3">
      <c r="C341" s="1" t="str">
        <f>IF(C340&lt;'Investment Calculator'!$C$8*'Investment Calculator'!$F$4,'SIP Schedule'!C340+1,"")</f>
        <v/>
      </c>
      <c r="D341" s="27" t="str">
        <f>IF(C341&lt;='Investment Calculator'!$C$8*'Investment Calculator'!$F$4,'Investment Calculator'!$C$6,"")</f>
        <v/>
      </c>
      <c r="E341" s="27" t="str">
        <f>IFERROR((F340+D341)*'Investment Calculator'!$C$7/'Investment Calculator'!$F$4,"")</f>
        <v/>
      </c>
      <c r="F341" s="27" t="str">
        <f>IFERROR(ABS(FV('Investment Calculator'!$C$7/'Investment Calculator'!$F$4,'SIP Schedule'!C341,'SIP Schedule'!D341,,1)),"")</f>
        <v/>
      </c>
    </row>
    <row r="342" spans="3:6" x14ac:dyDescent="0.3">
      <c r="C342" s="1" t="str">
        <f>IF(C341&lt;'Investment Calculator'!$C$8*'Investment Calculator'!$F$4,'SIP Schedule'!C341+1,"")</f>
        <v/>
      </c>
      <c r="D342" s="27" t="str">
        <f>IF(C342&lt;='Investment Calculator'!$C$8*'Investment Calculator'!$F$4,'Investment Calculator'!$C$6,"")</f>
        <v/>
      </c>
      <c r="E342" s="27" t="str">
        <f>IFERROR((F341+D342)*'Investment Calculator'!$C$7/'Investment Calculator'!$F$4,"")</f>
        <v/>
      </c>
      <c r="F342" s="27" t="str">
        <f>IFERROR(ABS(FV('Investment Calculator'!$C$7/'Investment Calculator'!$F$4,'SIP Schedule'!C342,'SIP Schedule'!D342,,1)),"")</f>
        <v/>
      </c>
    </row>
    <row r="343" spans="3:6" x14ac:dyDescent="0.3">
      <c r="C343" s="1" t="str">
        <f>IF(C342&lt;'Investment Calculator'!$C$8*'Investment Calculator'!$F$4,'SIP Schedule'!C342+1,"")</f>
        <v/>
      </c>
      <c r="D343" s="27" t="str">
        <f>IF(C343&lt;='Investment Calculator'!$C$8*'Investment Calculator'!$F$4,'Investment Calculator'!$C$6,"")</f>
        <v/>
      </c>
      <c r="E343" s="27" t="str">
        <f>IFERROR((F342+D343)*'Investment Calculator'!$C$7/'Investment Calculator'!$F$4,"")</f>
        <v/>
      </c>
      <c r="F343" s="27" t="str">
        <f>IFERROR(ABS(FV('Investment Calculator'!$C$7/'Investment Calculator'!$F$4,'SIP Schedule'!C343,'SIP Schedule'!D343,,1)),"")</f>
        <v/>
      </c>
    </row>
    <row r="344" spans="3:6" x14ac:dyDescent="0.3">
      <c r="C344" s="1" t="str">
        <f>IF(C343&lt;'Investment Calculator'!$C$8*'Investment Calculator'!$F$4,'SIP Schedule'!C343+1,"")</f>
        <v/>
      </c>
      <c r="D344" s="27" t="str">
        <f>IF(C344&lt;='Investment Calculator'!$C$8*'Investment Calculator'!$F$4,'Investment Calculator'!$C$6,"")</f>
        <v/>
      </c>
      <c r="E344" s="27" t="str">
        <f>IFERROR((F343+D344)*'Investment Calculator'!$C$7/'Investment Calculator'!$F$4,"")</f>
        <v/>
      </c>
      <c r="F344" s="27" t="str">
        <f>IFERROR(ABS(FV('Investment Calculator'!$C$7/'Investment Calculator'!$F$4,'SIP Schedule'!C344,'SIP Schedule'!D344,,1)),"")</f>
        <v/>
      </c>
    </row>
    <row r="345" spans="3:6" x14ac:dyDescent="0.3">
      <c r="C345" s="1" t="str">
        <f>IF(C344&lt;'Investment Calculator'!$C$8*'Investment Calculator'!$F$4,'SIP Schedule'!C344+1,"")</f>
        <v/>
      </c>
      <c r="D345" s="27" t="str">
        <f>IF(C345&lt;='Investment Calculator'!$C$8*'Investment Calculator'!$F$4,'Investment Calculator'!$C$6,"")</f>
        <v/>
      </c>
      <c r="E345" s="27" t="str">
        <f>IFERROR((F344+D345)*'Investment Calculator'!$C$7/'Investment Calculator'!$F$4,"")</f>
        <v/>
      </c>
      <c r="F345" s="27" t="str">
        <f>IFERROR(ABS(FV('Investment Calculator'!$C$7/'Investment Calculator'!$F$4,'SIP Schedule'!C345,'SIP Schedule'!D345,,1)),"")</f>
        <v/>
      </c>
    </row>
    <row r="346" spans="3:6" x14ac:dyDescent="0.3">
      <c r="C346" s="1" t="str">
        <f>IF(C345&lt;'Investment Calculator'!$C$8*'Investment Calculator'!$F$4,'SIP Schedule'!C345+1,"")</f>
        <v/>
      </c>
      <c r="D346" s="27" t="str">
        <f>IF(C346&lt;='Investment Calculator'!$C$8*'Investment Calculator'!$F$4,'Investment Calculator'!$C$6,"")</f>
        <v/>
      </c>
      <c r="E346" s="27" t="str">
        <f>IFERROR((F345+D346)*'Investment Calculator'!$C$7/'Investment Calculator'!$F$4,"")</f>
        <v/>
      </c>
      <c r="F346" s="27" t="str">
        <f>IFERROR(ABS(FV('Investment Calculator'!$C$7/'Investment Calculator'!$F$4,'SIP Schedule'!C346,'SIP Schedule'!D346,,1)),"")</f>
        <v/>
      </c>
    </row>
    <row r="347" spans="3:6" x14ac:dyDescent="0.3">
      <c r="C347" s="1" t="str">
        <f>IF(C346&lt;'Investment Calculator'!$C$8*'Investment Calculator'!$F$4,'SIP Schedule'!C346+1,"")</f>
        <v/>
      </c>
      <c r="D347" s="27" t="str">
        <f>IF(C347&lt;='Investment Calculator'!$C$8*'Investment Calculator'!$F$4,'Investment Calculator'!$C$6,"")</f>
        <v/>
      </c>
      <c r="E347" s="27" t="str">
        <f>IFERROR((F346+D347)*'Investment Calculator'!$C$7/'Investment Calculator'!$F$4,"")</f>
        <v/>
      </c>
      <c r="F347" s="27" t="str">
        <f>IFERROR(ABS(FV('Investment Calculator'!$C$7/'Investment Calculator'!$F$4,'SIP Schedule'!C347,'SIP Schedule'!D347,,1)),"")</f>
        <v/>
      </c>
    </row>
    <row r="348" spans="3:6" x14ac:dyDescent="0.3">
      <c r="C348" s="1" t="str">
        <f>IF(C347&lt;'Investment Calculator'!$C$8*'Investment Calculator'!$F$4,'SIP Schedule'!C347+1,"")</f>
        <v/>
      </c>
      <c r="D348" s="27" t="str">
        <f>IF(C348&lt;='Investment Calculator'!$C$8*'Investment Calculator'!$F$4,'Investment Calculator'!$C$6,"")</f>
        <v/>
      </c>
      <c r="E348" s="27" t="str">
        <f>IFERROR((F347+D348)*'Investment Calculator'!$C$7/'Investment Calculator'!$F$4,"")</f>
        <v/>
      </c>
      <c r="F348" s="27" t="str">
        <f>IFERROR(ABS(FV('Investment Calculator'!$C$7/'Investment Calculator'!$F$4,'SIP Schedule'!C348,'SIP Schedule'!D348,,1)),"")</f>
        <v/>
      </c>
    </row>
    <row r="349" spans="3:6" x14ac:dyDescent="0.3">
      <c r="C349" s="1" t="str">
        <f>IF(C348&lt;'Investment Calculator'!$C$8*'Investment Calculator'!$F$4,'SIP Schedule'!C348+1,"")</f>
        <v/>
      </c>
      <c r="D349" s="27" t="str">
        <f>IF(C349&lt;='Investment Calculator'!$C$8*'Investment Calculator'!$F$4,'Investment Calculator'!$C$6,"")</f>
        <v/>
      </c>
      <c r="E349" s="27" t="str">
        <f>IFERROR((F348+D349)*'Investment Calculator'!$C$7/'Investment Calculator'!$F$4,"")</f>
        <v/>
      </c>
      <c r="F349" s="27" t="str">
        <f>IFERROR(ABS(FV('Investment Calculator'!$C$7/'Investment Calculator'!$F$4,'SIP Schedule'!C349,'SIP Schedule'!D349,,1)),"")</f>
        <v/>
      </c>
    </row>
    <row r="350" spans="3:6" x14ac:dyDescent="0.3">
      <c r="C350" s="1" t="str">
        <f>IF(C349&lt;'Investment Calculator'!$C$8*'Investment Calculator'!$F$4,'SIP Schedule'!C349+1,"")</f>
        <v/>
      </c>
      <c r="D350" s="27" t="str">
        <f>IF(C350&lt;='Investment Calculator'!$C$8*'Investment Calculator'!$F$4,'Investment Calculator'!$C$6,"")</f>
        <v/>
      </c>
      <c r="E350" s="27" t="str">
        <f>IFERROR((F349+D350)*'Investment Calculator'!$C$7/'Investment Calculator'!$F$4,"")</f>
        <v/>
      </c>
      <c r="F350" s="27" t="str">
        <f>IFERROR(ABS(FV('Investment Calculator'!$C$7/'Investment Calculator'!$F$4,'SIP Schedule'!C350,'SIP Schedule'!D350,,1)),"")</f>
        <v/>
      </c>
    </row>
    <row r="351" spans="3:6" x14ac:dyDescent="0.3">
      <c r="C351" s="1" t="str">
        <f>IF(C350&lt;'Investment Calculator'!$C$8*'Investment Calculator'!$F$4,'SIP Schedule'!C350+1,"")</f>
        <v/>
      </c>
      <c r="D351" s="27" t="str">
        <f>IF(C351&lt;='Investment Calculator'!$C$8*'Investment Calculator'!$F$4,'Investment Calculator'!$C$6,"")</f>
        <v/>
      </c>
      <c r="E351" s="27" t="str">
        <f>IFERROR((F350+D351)*'Investment Calculator'!$C$7/'Investment Calculator'!$F$4,"")</f>
        <v/>
      </c>
      <c r="F351" s="27" t="str">
        <f>IFERROR(ABS(FV('Investment Calculator'!$C$7/'Investment Calculator'!$F$4,'SIP Schedule'!C351,'SIP Schedule'!D351,,1)),"")</f>
        <v/>
      </c>
    </row>
    <row r="352" spans="3:6" x14ac:dyDescent="0.3">
      <c r="C352" s="1" t="str">
        <f>IF(C351&lt;'Investment Calculator'!$C$8*'Investment Calculator'!$F$4,'SIP Schedule'!C351+1,"")</f>
        <v/>
      </c>
      <c r="D352" s="27" t="str">
        <f>IF(C352&lt;='Investment Calculator'!$C$8*'Investment Calculator'!$F$4,'Investment Calculator'!$C$6,"")</f>
        <v/>
      </c>
      <c r="E352" s="27" t="str">
        <f>IFERROR((F351+D352)*'Investment Calculator'!$C$7/'Investment Calculator'!$F$4,"")</f>
        <v/>
      </c>
      <c r="F352" s="27" t="str">
        <f>IFERROR(ABS(FV('Investment Calculator'!$C$7/'Investment Calculator'!$F$4,'SIP Schedule'!C352,'SIP Schedule'!D352,,1)),"")</f>
        <v/>
      </c>
    </row>
    <row r="353" spans="3:6" x14ac:dyDescent="0.3">
      <c r="C353" s="1" t="str">
        <f>IF(C352&lt;'Investment Calculator'!$C$8*'Investment Calculator'!$F$4,'SIP Schedule'!C352+1,"")</f>
        <v/>
      </c>
      <c r="D353" s="27" t="str">
        <f>IF(C353&lt;='Investment Calculator'!$C$8*'Investment Calculator'!$F$4,'Investment Calculator'!$C$6,"")</f>
        <v/>
      </c>
      <c r="E353" s="27" t="str">
        <f>IFERROR((F352+D353)*'Investment Calculator'!$C$7/'Investment Calculator'!$F$4,"")</f>
        <v/>
      </c>
      <c r="F353" s="27" t="str">
        <f>IFERROR(ABS(FV('Investment Calculator'!$C$7/'Investment Calculator'!$F$4,'SIP Schedule'!C353,'SIP Schedule'!D353,,1)),"")</f>
        <v/>
      </c>
    </row>
    <row r="354" spans="3:6" x14ac:dyDescent="0.3">
      <c r="C354" s="1" t="str">
        <f>IF(C353&lt;'Investment Calculator'!$C$8*'Investment Calculator'!$F$4,'SIP Schedule'!C353+1,"")</f>
        <v/>
      </c>
      <c r="D354" s="27" t="str">
        <f>IF(C354&lt;='Investment Calculator'!$C$8*'Investment Calculator'!$F$4,'Investment Calculator'!$C$6,"")</f>
        <v/>
      </c>
      <c r="E354" s="27" t="str">
        <f>IFERROR((F353+D354)*'Investment Calculator'!$C$7/'Investment Calculator'!$F$4,"")</f>
        <v/>
      </c>
      <c r="F354" s="27" t="str">
        <f>IFERROR(ABS(FV('Investment Calculator'!$C$7/'Investment Calculator'!$F$4,'SIP Schedule'!C354,'SIP Schedule'!D354,,1)),"")</f>
        <v/>
      </c>
    </row>
    <row r="355" spans="3:6" x14ac:dyDescent="0.3">
      <c r="C355" s="1" t="str">
        <f>IF(C354&lt;'Investment Calculator'!$C$8*'Investment Calculator'!$F$4,'SIP Schedule'!C354+1,"")</f>
        <v/>
      </c>
      <c r="D355" s="27" t="str">
        <f>IF(C355&lt;='Investment Calculator'!$C$8*'Investment Calculator'!$F$4,'Investment Calculator'!$C$6,"")</f>
        <v/>
      </c>
      <c r="E355" s="27" t="str">
        <f>IFERROR((F354+D355)*'Investment Calculator'!$C$7/'Investment Calculator'!$F$4,"")</f>
        <v/>
      </c>
      <c r="F355" s="27" t="str">
        <f>IFERROR(ABS(FV('Investment Calculator'!$C$7/'Investment Calculator'!$F$4,'SIP Schedule'!C355,'SIP Schedule'!D355,,1)),"")</f>
        <v/>
      </c>
    </row>
    <row r="356" spans="3:6" x14ac:dyDescent="0.3">
      <c r="C356" s="1" t="str">
        <f>IF(C355&lt;'Investment Calculator'!$C$8*'Investment Calculator'!$F$4,'SIP Schedule'!C355+1,"")</f>
        <v/>
      </c>
      <c r="D356" s="27" t="str">
        <f>IF(C356&lt;='Investment Calculator'!$C$8*'Investment Calculator'!$F$4,'Investment Calculator'!$C$6,"")</f>
        <v/>
      </c>
      <c r="E356" s="27" t="str">
        <f>IFERROR((F355+D356)*'Investment Calculator'!$C$7/'Investment Calculator'!$F$4,"")</f>
        <v/>
      </c>
      <c r="F356" s="27" t="str">
        <f>IFERROR(ABS(FV('Investment Calculator'!$C$7/'Investment Calculator'!$F$4,'SIP Schedule'!C356,'SIP Schedule'!D356,,1)),"")</f>
        <v/>
      </c>
    </row>
    <row r="357" spans="3:6" x14ac:dyDescent="0.3">
      <c r="C357" s="1" t="str">
        <f>IF(C356&lt;'Investment Calculator'!$C$8*'Investment Calculator'!$F$4,'SIP Schedule'!C356+1,"")</f>
        <v/>
      </c>
      <c r="D357" s="27" t="str">
        <f>IF(C357&lt;='Investment Calculator'!$C$8*'Investment Calculator'!$F$4,'Investment Calculator'!$C$6,"")</f>
        <v/>
      </c>
      <c r="E357" s="27" t="str">
        <f>IFERROR((F356+D357)*'Investment Calculator'!$C$7/'Investment Calculator'!$F$4,"")</f>
        <v/>
      </c>
      <c r="F357" s="27" t="str">
        <f>IFERROR(ABS(FV('Investment Calculator'!$C$7/'Investment Calculator'!$F$4,'SIP Schedule'!C357,'SIP Schedule'!D357,,1)),"")</f>
        <v/>
      </c>
    </row>
    <row r="358" spans="3:6" x14ac:dyDescent="0.3">
      <c r="C358" s="1" t="str">
        <f>IF(C357&lt;'Investment Calculator'!$C$8*'Investment Calculator'!$F$4,'SIP Schedule'!C357+1,"")</f>
        <v/>
      </c>
      <c r="D358" s="27" t="str">
        <f>IF(C358&lt;='Investment Calculator'!$C$8*'Investment Calculator'!$F$4,'Investment Calculator'!$C$6,"")</f>
        <v/>
      </c>
      <c r="E358" s="27" t="str">
        <f>IFERROR((F357+D358)*'Investment Calculator'!$C$7/'Investment Calculator'!$F$4,"")</f>
        <v/>
      </c>
      <c r="F358" s="27" t="str">
        <f>IFERROR(ABS(FV('Investment Calculator'!$C$7/'Investment Calculator'!$F$4,'SIP Schedule'!C358,'SIP Schedule'!D358,,1)),"")</f>
        <v/>
      </c>
    </row>
    <row r="359" spans="3:6" x14ac:dyDescent="0.3">
      <c r="C359" s="1" t="str">
        <f>IF(C358&lt;'Investment Calculator'!$C$8*'Investment Calculator'!$F$4,'SIP Schedule'!C358+1,"")</f>
        <v/>
      </c>
      <c r="D359" s="27" t="str">
        <f>IF(C359&lt;='Investment Calculator'!$C$8*'Investment Calculator'!$F$4,'Investment Calculator'!$C$6,"")</f>
        <v/>
      </c>
      <c r="E359" s="27" t="str">
        <f>IFERROR((F358+D359)*'Investment Calculator'!$C$7/'Investment Calculator'!$F$4,"")</f>
        <v/>
      </c>
      <c r="F359" s="27" t="str">
        <f>IFERROR(ABS(FV('Investment Calculator'!$C$7/'Investment Calculator'!$F$4,'SIP Schedule'!C359,'SIP Schedule'!D359,,1)),"")</f>
        <v/>
      </c>
    </row>
    <row r="360" spans="3:6" x14ac:dyDescent="0.3">
      <c r="C360" s="1" t="str">
        <f>IF(C359&lt;'Investment Calculator'!$C$8*'Investment Calculator'!$F$4,'SIP Schedule'!C359+1,"")</f>
        <v/>
      </c>
      <c r="D360" s="27" t="str">
        <f>IF(C360&lt;='Investment Calculator'!$C$8*'Investment Calculator'!$F$4,'Investment Calculator'!$C$6,"")</f>
        <v/>
      </c>
      <c r="E360" s="27" t="str">
        <f>IFERROR((F359+D360)*'Investment Calculator'!$C$7/'Investment Calculator'!$F$4,"")</f>
        <v/>
      </c>
      <c r="F360" s="27" t="str">
        <f>IFERROR(ABS(FV('Investment Calculator'!$C$7/'Investment Calculator'!$F$4,'SIP Schedule'!C360,'SIP Schedule'!D360,,1)),"")</f>
        <v/>
      </c>
    </row>
    <row r="361" spans="3:6" x14ac:dyDescent="0.3">
      <c r="C361" s="1" t="str">
        <f>IF(C360&lt;'Investment Calculator'!$C$8*'Investment Calculator'!$F$4,'SIP Schedule'!C360+1,"")</f>
        <v/>
      </c>
      <c r="D361" s="27" t="str">
        <f>IF(C361&lt;='Investment Calculator'!$C$8*'Investment Calculator'!$F$4,'Investment Calculator'!$C$6,"")</f>
        <v/>
      </c>
      <c r="E361" s="27" t="str">
        <f>IFERROR((F360+D361)*'Investment Calculator'!$C$7/'Investment Calculator'!$F$4,"")</f>
        <v/>
      </c>
      <c r="F361" s="27" t="str">
        <f>IFERROR(ABS(FV('Investment Calculator'!$C$7/'Investment Calculator'!$F$4,'SIP Schedule'!C361,'SIP Schedule'!D361,,1)),"")</f>
        <v/>
      </c>
    </row>
    <row r="362" spans="3:6" x14ac:dyDescent="0.3">
      <c r="C362" s="1" t="str">
        <f>IF(C361&lt;'Investment Calculator'!$C$8*'Investment Calculator'!$F$4,'SIP Schedule'!C361+1,"")</f>
        <v/>
      </c>
      <c r="D362" s="27" t="str">
        <f>IF(C362&lt;='Investment Calculator'!$C$8*'Investment Calculator'!$F$4,'Investment Calculator'!$C$6,"")</f>
        <v/>
      </c>
      <c r="E362" s="27" t="str">
        <f>IFERROR((F361+D362)*'Investment Calculator'!$C$7/'Investment Calculator'!$F$4,"")</f>
        <v/>
      </c>
      <c r="F362" s="27" t="str">
        <f>IFERROR(ABS(FV('Investment Calculator'!$C$7/'Investment Calculator'!$F$4,'SIP Schedule'!C362,'SIP Schedule'!D362,,1)),"")</f>
        <v/>
      </c>
    </row>
    <row r="363" spans="3:6" x14ac:dyDescent="0.3">
      <c r="C363" s="1" t="str">
        <f>IF(C362&lt;'Investment Calculator'!$C$8*'Investment Calculator'!$F$4,'SIP Schedule'!C362+1,"")</f>
        <v/>
      </c>
      <c r="D363" s="27" t="str">
        <f>IF(C363&lt;='Investment Calculator'!$C$8*'Investment Calculator'!$F$4,'Investment Calculator'!$C$6,"")</f>
        <v/>
      </c>
      <c r="E363" s="27" t="str">
        <f>IFERROR((F362+D363)*'Investment Calculator'!$C$7/'Investment Calculator'!$F$4,"")</f>
        <v/>
      </c>
      <c r="F363" s="27" t="str">
        <f>IFERROR(ABS(FV('Investment Calculator'!$C$7/'Investment Calculator'!$F$4,'SIP Schedule'!C363,'SIP Schedule'!D363,,1)),"")</f>
        <v/>
      </c>
    </row>
    <row r="364" spans="3:6" x14ac:dyDescent="0.3">
      <c r="C364" s="1" t="str">
        <f>IF(C363&lt;'Investment Calculator'!$C$8*'Investment Calculator'!$F$4,'SIP Schedule'!C363+1,"")</f>
        <v/>
      </c>
      <c r="D364" s="27" t="str">
        <f>IF(C364&lt;='Investment Calculator'!$C$8*'Investment Calculator'!$F$4,'Investment Calculator'!$C$6,"")</f>
        <v/>
      </c>
      <c r="E364" s="27" t="str">
        <f>IFERROR((F363+D364)*'Investment Calculator'!$C$7/'Investment Calculator'!$F$4,"")</f>
        <v/>
      </c>
      <c r="F364" s="27" t="str">
        <f>IFERROR(ABS(FV('Investment Calculator'!$C$7/'Investment Calculator'!$F$4,'SIP Schedule'!C364,'SIP Schedule'!D364,,1)),"")</f>
        <v/>
      </c>
    </row>
    <row r="365" spans="3:6" x14ac:dyDescent="0.3">
      <c r="C365" s="1" t="str">
        <f>IF(C364&lt;'Investment Calculator'!$C$8*'Investment Calculator'!$F$4,'SIP Schedule'!C364+1,"")</f>
        <v/>
      </c>
      <c r="D365" s="27" t="str">
        <f>IF(C365&lt;='Investment Calculator'!$C$8*'Investment Calculator'!$F$4,'Investment Calculator'!$C$6,"")</f>
        <v/>
      </c>
      <c r="E365" s="27" t="str">
        <f>IFERROR((F364+D365)*'Investment Calculator'!$C$7/'Investment Calculator'!$F$4,"")</f>
        <v/>
      </c>
      <c r="F365" s="27" t="str">
        <f>IFERROR(ABS(FV('Investment Calculator'!$C$7/'Investment Calculator'!$F$4,'SIP Schedule'!C365,'SIP Schedule'!D365,,1)),"")</f>
        <v/>
      </c>
    </row>
    <row r="366" spans="3:6" x14ac:dyDescent="0.3">
      <c r="C366" s="1" t="str">
        <f>IF(C365&lt;'Investment Calculator'!$C$8*'Investment Calculator'!$F$4,'SIP Schedule'!C365+1,"")</f>
        <v/>
      </c>
      <c r="D366" s="27" t="str">
        <f>IF(C366&lt;='Investment Calculator'!$C$8*'Investment Calculator'!$F$4,'Investment Calculator'!$C$6,"")</f>
        <v/>
      </c>
      <c r="E366" s="27" t="str">
        <f>IFERROR((F365+D366)*'Investment Calculator'!$C$7/'Investment Calculator'!$F$4,"")</f>
        <v/>
      </c>
      <c r="F366" s="27" t="str">
        <f>IFERROR(ABS(FV('Investment Calculator'!$C$7/'Investment Calculator'!$F$4,'SIP Schedule'!C366,'SIP Schedule'!D366,,1)),"")</f>
        <v/>
      </c>
    </row>
    <row r="367" spans="3:6" x14ac:dyDescent="0.3">
      <c r="C367" s="1" t="str">
        <f>IF(C366&lt;'Investment Calculator'!$C$8*'Investment Calculator'!$F$4,'SIP Schedule'!C366+1,"")</f>
        <v/>
      </c>
      <c r="D367" s="27" t="str">
        <f>IF(C367&lt;='Investment Calculator'!$C$8*'Investment Calculator'!$F$4,'Investment Calculator'!$C$6,"")</f>
        <v/>
      </c>
      <c r="E367" s="27" t="str">
        <f>IFERROR((F366+D367)*'Investment Calculator'!$C$7/'Investment Calculator'!$F$4,"")</f>
        <v/>
      </c>
      <c r="F367" s="27" t="str">
        <f>IFERROR(ABS(FV('Investment Calculator'!$C$7/'Investment Calculator'!$F$4,'SIP Schedule'!C367,'SIP Schedule'!D367,,1)),"")</f>
        <v/>
      </c>
    </row>
    <row r="368" spans="3:6" x14ac:dyDescent="0.3">
      <c r="C368" s="1" t="str">
        <f>IF(C367&lt;'Investment Calculator'!$C$8*'Investment Calculator'!$F$4,'SIP Schedule'!C367+1,"")</f>
        <v/>
      </c>
      <c r="D368" s="27" t="str">
        <f>IF(C368&lt;='Investment Calculator'!$C$8*'Investment Calculator'!$F$4,'Investment Calculator'!$C$6,"")</f>
        <v/>
      </c>
      <c r="E368" s="27" t="str">
        <f>IFERROR((F367+D368)*'Investment Calculator'!$C$7/'Investment Calculator'!$F$4,"")</f>
        <v/>
      </c>
      <c r="F368" s="27" t="str">
        <f>IFERROR(ABS(FV('Investment Calculator'!$C$7/'Investment Calculator'!$F$4,'SIP Schedule'!C368,'SIP Schedule'!D368,,1)),"")</f>
        <v/>
      </c>
    </row>
    <row r="369" spans="3:6" x14ac:dyDescent="0.3">
      <c r="C369" s="1" t="str">
        <f>IF(C368&lt;'Investment Calculator'!$C$8*'Investment Calculator'!$F$4,'SIP Schedule'!C368+1,"")</f>
        <v/>
      </c>
      <c r="D369" s="27" t="str">
        <f>IF(C369&lt;='Investment Calculator'!$C$8*'Investment Calculator'!$F$4,'Investment Calculator'!$C$6,"")</f>
        <v/>
      </c>
      <c r="E369" s="27" t="str">
        <f>IFERROR((F368+D369)*'Investment Calculator'!$C$7/'Investment Calculator'!$F$4,"")</f>
        <v/>
      </c>
      <c r="F369" s="27" t="str">
        <f>IFERROR(ABS(FV('Investment Calculator'!$C$7/'Investment Calculator'!$F$4,'SIP Schedule'!C369,'SIP Schedule'!D369,,1)),"")</f>
        <v/>
      </c>
    </row>
    <row r="370" spans="3:6" x14ac:dyDescent="0.3">
      <c r="C370" s="1" t="str">
        <f>IF(C369&lt;'Investment Calculator'!$C$8*'Investment Calculator'!$F$4,'SIP Schedule'!C369+1,"")</f>
        <v/>
      </c>
      <c r="D370" s="27" t="str">
        <f>IF(C370&lt;='Investment Calculator'!$C$8*'Investment Calculator'!$F$4,'Investment Calculator'!$C$6,"")</f>
        <v/>
      </c>
      <c r="E370" s="27" t="str">
        <f>IFERROR((F369+D370)*'Investment Calculator'!$C$7/'Investment Calculator'!$F$4,"")</f>
        <v/>
      </c>
      <c r="F370" s="27" t="str">
        <f>IFERROR(ABS(FV('Investment Calculator'!$C$7/'Investment Calculator'!$F$4,'SIP Schedule'!C370,'SIP Schedule'!D370,,1)),"")</f>
        <v/>
      </c>
    </row>
    <row r="371" spans="3:6" x14ac:dyDescent="0.3">
      <c r="C371" s="1" t="str">
        <f>IF(C370&lt;'Investment Calculator'!$C$8*'Investment Calculator'!$F$4,'SIP Schedule'!C370+1,"")</f>
        <v/>
      </c>
      <c r="D371" s="27" t="str">
        <f>IF(C371&lt;='Investment Calculator'!$C$8*'Investment Calculator'!$F$4,'Investment Calculator'!$C$6,"")</f>
        <v/>
      </c>
      <c r="E371" s="27" t="str">
        <f>IFERROR((F370+D371)*'Investment Calculator'!$C$7/'Investment Calculator'!$F$4,"")</f>
        <v/>
      </c>
      <c r="F371" s="27" t="str">
        <f>IFERROR(ABS(FV('Investment Calculator'!$C$7/'Investment Calculator'!$F$4,'SIP Schedule'!C371,'SIP Schedule'!D371,,1)),"")</f>
        <v/>
      </c>
    </row>
    <row r="372" spans="3:6" x14ac:dyDescent="0.3">
      <c r="C372" s="1" t="str">
        <f>IF(C371&lt;'Investment Calculator'!$C$8*'Investment Calculator'!$F$4,'SIP Schedule'!C371+1,"")</f>
        <v/>
      </c>
      <c r="D372" s="27" t="str">
        <f>IF(C372&lt;='Investment Calculator'!$C$8*'Investment Calculator'!$F$4,'Investment Calculator'!$C$6,"")</f>
        <v/>
      </c>
      <c r="E372" s="27" t="str">
        <f>IFERROR((F371+D372)*'Investment Calculator'!$C$7/'Investment Calculator'!$F$4,"")</f>
        <v/>
      </c>
      <c r="F372" s="27" t="str">
        <f>IFERROR(ABS(FV('Investment Calculator'!$C$7/'Investment Calculator'!$F$4,'SIP Schedule'!C372,'SIP Schedule'!D372,,1)),"")</f>
        <v/>
      </c>
    </row>
    <row r="373" spans="3:6" x14ac:dyDescent="0.3">
      <c r="C373" s="1" t="str">
        <f>IF(C372&lt;'Investment Calculator'!$C$8*'Investment Calculator'!$F$4,'SIP Schedule'!C372+1,"")</f>
        <v/>
      </c>
      <c r="D373" s="27" t="str">
        <f>IF(C373&lt;='Investment Calculator'!$C$8*'Investment Calculator'!$F$4,'Investment Calculator'!$C$6,"")</f>
        <v/>
      </c>
      <c r="E373" s="27" t="str">
        <f>IFERROR((F372+D373)*'Investment Calculator'!$C$7/'Investment Calculator'!$F$4,"")</f>
        <v/>
      </c>
      <c r="F373" s="27" t="str">
        <f>IFERROR(ABS(FV('Investment Calculator'!$C$7/'Investment Calculator'!$F$4,'SIP Schedule'!C373,'SIP Schedule'!D373,,1)),"")</f>
        <v/>
      </c>
    </row>
    <row r="374" spans="3:6" x14ac:dyDescent="0.3">
      <c r="C374" s="1" t="str">
        <f>IF(C373&lt;'Investment Calculator'!$C$8*'Investment Calculator'!$F$4,'SIP Schedule'!C373+1,"")</f>
        <v/>
      </c>
      <c r="D374" s="27" t="str">
        <f>IF(C374&lt;='Investment Calculator'!$C$8*'Investment Calculator'!$F$4,'Investment Calculator'!$C$6,"")</f>
        <v/>
      </c>
      <c r="E374" s="27" t="str">
        <f>IFERROR((F373+D374)*'Investment Calculator'!$C$7/'Investment Calculator'!$F$4,"")</f>
        <v/>
      </c>
      <c r="F374" s="27" t="str">
        <f>IFERROR(ABS(FV('Investment Calculator'!$C$7/'Investment Calculator'!$F$4,'SIP Schedule'!C374,'SIP Schedule'!D374,,1)),"")</f>
        <v/>
      </c>
    </row>
    <row r="375" spans="3:6" x14ac:dyDescent="0.3">
      <c r="C375" s="1" t="str">
        <f>IF(C374&lt;'Investment Calculator'!$C$8*'Investment Calculator'!$F$4,'SIP Schedule'!C374+1,"")</f>
        <v/>
      </c>
      <c r="D375" s="27" t="str">
        <f>IF(C375&lt;='Investment Calculator'!$C$8*'Investment Calculator'!$F$4,'Investment Calculator'!$C$6,"")</f>
        <v/>
      </c>
      <c r="E375" s="27" t="str">
        <f>IFERROR((F374+D375)*'Investment Calculator'!$C$7/'Investment Calculator'!$F$4,"")</f>
        <v/>
      </c>
      <c r="F375" s="27" t="str">
        <f>IFERROR(ABS(FV('Investment Calculator'!$C$7/'Investment Calculator'!$F$4,'SIP Schedule'!C375,'SIP Schedule'!D375,,1)),"")</f>
        <v/>
      </c>
    </row>
    <row r="376" spans="3:6" x14ac:dyDescent="0.3">
      <c r="C376" s="1" t="str">
        <f>IF(C375&lt;'Investment Calculator'!$C$8*'Investment Calculator'!$F$4,'SIP Schedule'!C375+1,"")</f>
        <v/>
      </c>
      <c r="D376" s="27" t="str">
        <f>IF(C376&lt;='Investment Calculator'!$C$8*'Investment Calculator'!$F$4,'Investment Calculator'!$C$6,"")</f>
        <v/>
      </c>
      <c r="E376" s="27" t="str">
        <f>IFERROR((F375+D376)*'Investment Calculator'!$C$7/'Investment Calculator'!$F$4,"")</f>
        <v/>
      </c>
      <c r="F376" s="27" t="str">
        <f>IFERROR(ABS(FV('Investment Calculator'!$C$7/'Investment Calculator'!$F$4,'SIP Schedule'!C376,'SIP Schedule'!D376,,1)),"")</f>
        <v/>
      </c>
    </row>
    <row r="377" spans="3:6" x14ac:dyDescent="0.3">
      <c r="C377" s="1" t="str">
        <f>IF(C376&lt;'Investment Calculator'!$C$8*'Investment Calculator'!$F$4,'SIP Schedule'!C376+1,"")</f>
        <v/>
      </c>
      <c r="D377" s="27" t="str">
        <f>IF(C377&lt;='Investment Calculator'!$C$8*'Investment Calculator'!$F$4,'Investment Calculator'!$C$6,"")</f>
        <v/>
      </c>
      <c r="E377" s="27" t="str">
        <f>IFERROR((F376+D377)*'Investment Calculator'!$C$7/'Investment Calculator'!$F$4,"")</f>
        <v/>
      </c>
      <c r="F377" s="27" t="str">
        <f>IFERROR(ABS(FV('Investment Calculator'!$C$7/'Investment Calculator'!$F$4,'SIP Schedule'!C377,'SIP Schedule'!D377,,1)),"")</f>
        <v/>
      </c>
    </row>
    <row r="378" spans="3:6" x14ac:dyDescent="0.3">
      <c r="C378" s="1" t="str">
        <f>IF(C377&lt;'Investment Calculator'!$C$8*'Investment Calculator'!$F$4,'SIP Schedule'!C377+1,"")</f>
        <v/>
      </c>
      <c r="D378" s="27" t="str">
        <f>IF(C378&lt;='Investment Calculator'!$C$8*'Investment Calculator'!$F$4,'Investment Calculator'!$C$6,"")</f>
        <v/>
      </c>
      <c r="E378" s="27" t="str">
        <f>IFERROR((F377+D378)*'Investment Calculator'!$C$7/'Investment Calculator'!$F$4,"")</f>
        <v/>
      </c>
      <c r="F378" s="27" t="str">
        <f>IFERROR(ABS(FV('Investment Calculator'!$C$7/'Investment Calculator'!$F$4,'SIP Schedule'!C378,'SIP Schedule'!D378,,1)),"")</f>
        <v/>
      </c>
    </row>
    <row r="379" spans="3:6" x14ac:dyDescent="0.3">
      <c r="C379" s="1" t="str">
        <f>IF(C378&lt;'Investment Calculator'!$C$8*'Investment Calculator'!$F$4,'SIP Schedule'!C378+1,"")</f>
        <v/>
      </c>
      <c r="D379" s="27" t="str">
        <f>IF(C379&lt;='Investment Calculator'!$C$8*'Investment Calculator'!$F$4,'Investment Calculator'!$C$6,"")</f>
        <v/>
      </c>
      <c r="E379" s="27" t="str">
        <f>IFERROR((F378+D379)*'Investment Calculator'!$C$7/'Investment Calculator'!$F$4,"")</f>
        <v/>
      </c>
      <c r="F379" s="27" t="str">
        <f>IFERROR(ABS(FV('Investment Calculator'!$C$7/'Investment Calculator'!$F$4,'SIP Schedule'!C379,'SIP Schedule'!D379,,1)),"")</f>
        <v/>
      </c>
    </row>
    <row r="380" spans="3:6" x14ac:dyDescent="0.3">
      <c r="C380" s="1" t="str">
        <f>IF(C379&lt;'Investment Calculator'!$C$8*'Investment Calculator'!$F$4,'SIP Schedule'!C379+1,"")</f>
        <v/>
      </c>
      <c r="D380" s="27" t="str">
        <f>IF(C380&lt;='Investment Calculator'!$C$8*'Investment Calculator'!$F$4,'Investment Calculator'!$C$6,"")</f>
        <v/>
      </c>
      <c r="E380" s="27" t="str">
        <f>IFERROR((F379+D380)*'Investment Calculator'!$C$7/'Investment Calculator'!$F$4,"")</f>
        <v/>
      </c>
      <c r="F380" s="27" t="str">
        <f>IFERROR(ABS(FV('Investment Calculator'!$C$7/'Investment Calculator'!$F$4,'SIP Schedule'!C380,'SIP Schedule'!D380,,1)),"")</f>
        <v/>
      </c>
    </row>
    <row r="381" spans="3:6" x14ac:dyDescent="0.3">
      <c r="C381" s="1" t="str">
        <f>IF(C380&lt;'Investment Calculator'!$C$8*'Investment Calculator'!$F$4,'SIP Schedule'!C380+1,"")</f>
        <v/>
      </c>
      <c r="D381" s="27" t="str">
        <f>IF(C381&lt;='Investment Calculator'!$C$8*'Investment Calculator'!$F$4,'Investment Calculator'!$C$6,"")</f>
        <v/>
      </c>
      <c r="E381" s="27" t="str">
        <f>IFERROR((F380+D381)*'Investment Calculator'!$C$7/'Investment Calculator'!$F$4,"")</f>
        <v/>
      </c>
      <c r="F381" s="27" t="str">
        <f>IFERROR(ABS(FV('Investment Calculator'!$C$7/'Investment Calculator'!$F$4,'SIP Schedule'!C381,'SIP Schedule'!D381,,1)),"")</f>
        <v/>
      </c>
    </row>
    <row r="382" spans="3:6" x14ac:dyDescent="0.3">
      <c r="C382" s="1" t="str">
        <f>IF(C381&lt;'Investment Calculator'!$C$8*'Investment Calculator'!$F$4,'SIP Schedule'!C381+1,"")</f>
        <v/>
      </c>
      <c r="D382" s="27" t="str">
        <f>IF(C382&lt;='Investment Calculator'!$C$8*'Investment Calculator'!$F$4,'Investment Calculator'!$C$6,"")</f>
        <v/>
      </c>
      <c r="E382" s="27" t="str">
        <f>IFERROR((F381+D382)*'Investment Calculator'!$C$7/'Investment Calculator'!$F$4,"")</f>
        <v/>
      </c>
      <c r="F382" s="27" t="str">
        <f>IFERROR(ABS(FV('Investment Calculator'!$C$7/'Investment Calculator'!$F$4,'SIP Schedule'!C382,'SIP Schedule'!D382,,1)),"")</f>
        <v/>
      </c>
    </row>
    <row r="383" spans="3:6" x14ac:dyDescent="0.3">
      <c r="C383" s="1" t="str">
        <f>IF(C382&lt;'Investment Calculator'!$C$8*'Investment Calculator'!$F$4,'SIP Schedule'!C382+1,"")</f>
        <v/>
      </c>
      <c r="D383" s="27" t="str">
        <f>IF(C383&lt;='Investment Calculator'!$C$8*'Investment Calculator'!$F$4,'Investment Calculator'!$C$6,"")</f>
        <v/>
      </c>
      <c r="E383" s="27" t="str">
        <f>IFERROR((F382+D383)*'Investment Calculator'!$C$7/'Investment Calculator'!$F$4,"")</f>
        <v/>
      </c>
      <c r="F383" s="27" t="str">
        <f>IFERROR(ABS(FV('Investment Calculator'!$C$7/'Investment Calculator'!$F$4,'SIP Schedule'!C383,'SIP Schedule'!D383,,1)),"")</f>
        <v/>
      </c>
    </row>
    <row r="384" spans="3:6" x14ac:dyDescent="0.3">
      <c r="C384" s="1" t="str">
        <f>IF(C383&lt;'Investment Calculator'!$C$8*'Investment Calculator'!$F$4,'SIP Schedule'!C383+1,"")</f>
        <v/>
      </c>
      <c r="D384" s="27" t="str">
        <f>IF(C384&lt;='Investment Calculator'!$C$8*'Investment Calculator'!$F$4,'Investment Calculator'!$C$6,"")</f>
        <v/>
      </c>
      <c r="E384" s="27" t="str">
        <f>IFERROR((F383+D384)*'Investment Calculator'!$C$7/'Investment Calculator'!$F$4,"")</f>
        <v/>
      </c>
      <c r="F384" s="27" t="str">
        <f>IFERROR(ABS(FV('Investment Calculator'!$C$7/'Investment Calculator'!$F$4,'SIP Schedule'!C384,'SIP Schedule'!D384,,1)),"")</f>
        <v/>
      </c>
    </row>
    <row r="385" spans="3:6" x14ac:dyDescent="0.3">
      <c r="C385" s="1" t="str">
        <f>IF(C384&lt;'Investment Calculator'!$C$8*'Investment Calculator'!$F$4,'SIP Schedule'!C384+1,"")</f>
        <v/>
      </c>
      <c r="D385" s="27" t="str">
        <f>IF(C385&lt;='Investment Calculator'!$C$8*'Investment Calculator'!$F$4,'Investment Calculator'!$C$6,"")</f>
        <v/>
      </c>
      <c r="E385" s="27" t="str">
        <f>IFERROR((F384+D385)*'Investment Calculator'!$C$7/'Investment Calculator'!$F$4,"")</f>
        <v/>
      </c>
      <c r="F385" s="27" t="str">
        <f>IFERROR(ABS(FV('Investment Calculator'!$C$7/'Investment Calculator'!$F$4,'SIP Schedule'!C385,'SIP Schedule'!D385,,1)),"")</f>
        <v/>
      </c>
    </row>
    <row r="386" spans="3:6" x14ac:dyDescent="0.3">
      <c r="C386" s="1" t="str">
        <f>IF(C385&lt;'Investment Calculator'!$C$8*'Investment Calculator'!$F$4,'SIP Schedule'!C385+1,"")</f>
        <v/>
      </c>
      <c r="D386" s="27" t="str">
        <f>IF(C386&lt;='Investment Calculator'!$C$8*'Investment Calculator'!$F$4,'Investment Calculator'!$C$6,"")</f>
        <v/>
      </c>
      <c r="E386" s="27" t="str">
        <f>IFERROR((F385+D386)*'Investment Calculator'!$C$7/'Investment Calculator'!$F$4,"")</f>
        <v/>
      </c>
      <c r="F386" s="27" t="str">
        <f>IFERROR(ABS(FV('Investment Calculator'!$C$7/'Investment Calculator'!$F$4,'SIP Schedule'!C386,'SIP Schedule'!D386,,1)),"")</f>
        <v/>
      </c>
    </row>
    <row r="387" spans="3:6" x14ac:dyDescent="0.3">
      <c r="C387" s="1" t="str">
        <f>IF(C386&lt;'Investment Calculator'!$C$8*'Investment Calculator'!$F$4,'SIP Schedule'!C386+1,"")</f>
        <v/>
      </c>
      <c r="D387" s="27" t="str">
        <f>IF(C387&lt;='Investment Calculator'!$C$8*'Investment Calculator'!$F$4,'Investment Calculator'!$C$6,"")</f>
        <v/>
      </c>
      <c r="E387" s="27" t="str">
        <f>IFERROR((F386+D387)*'Investment Calculator'!$C$7/'Investment Calculator'!$F$4,"")</f>
        <v/>
      </c>
      <c r="F387" s="27" t="str">
        <f>IFERROR(ABS(FV('Investment Calculator'!$C$7/'Investment Calculator'!$F$4,'SIP Schedule'!C387,'SIP Schedule'!D387,,1)),"")</f>
        <v/>
      </c>
    </row>
    <row r="388" spans="3:6" x14ac:dyDescent="0.3">
      <c r="C388" s="1" t="str">
        <f>IF(C387&lt;'Investment Calculator'!$C$8*'Investment Calculator'!$F$4,'SIP Schedule'!C387+1,"")</f>
        <v/>
      </c>
      <c r="D388" s="27" t="str">
        <f>IF(C388&lt;='Investment Calculator'!$C$8*'Investment Calculator'!$F$4,'Investment Calculator'!$C$6,"")</f>
        <v/>
      </c>
      <c r="E388" s="27" t="str">
        <f>IFERROR((F387+D388)*'Investment Calculator'!$C$7/'Investment Calculator'!$F$4,"")</f>
        <v/>
      </c>
      <c r="F388" s="27" t="str">
        <f>IFERROR(ABS(FV('Investment Calculator'!$C$7/'Investment Calculator'!$F$4,'SIP Schedule'!C388,'SIP Schedule'!D388,,1)),"")</f>
        <v/>
      </c>
    </row>
    <row r="389" spans="3:6" x14ac:dyDescent="0.3">
      <c r="C389" s="1" t="str">
        <f>IF(C388&lt;'Investment Calculator'!$C$8*'Investment Calculator'!$F$4,'SIP Schedule'!C388+1,"")</f>
        <v/>
      </c>
      <c r="D389" s="27" t="str">
        <f>IF(C389&lt;='Investment Calculator'!$C$8*'Investment Calculator'!$F$4,'Investment Calculator'!$C$6,"")</f>
        <v/>
      </c>
      <c r="E389" s="27" t="str">
        <f>IFERROR((F388+D389)*'Investment Calculator'!$C$7/'Investment Calculator'!$F$4,"")</f>
        <v/>
      </c>
      <c r="F389" s="27" t="str">
        <f>IFERROR(ABS(FV('Investment Calculator'!$C$7/'Investment Calculator'!$F$4,'SIP Schedule'!C389,'SIP Schedule'!D389,,1)),"")</f>
        <v/>
      </c>
    </row>
    <row r="390" spans="3:6" x14ac:dyDescent="0.3">
      <c r="C390" s="1" t="str">
        <f>IF(C389&lt;'Investment Calculator'!$C$8*'Investment Calculator'!$F$4,'SIP Schedule'!C389+1,"")</f>
        <v/>
      </c>
      <c r="D390" s="27" t="str">
        <f>IF(C390&lt;='Investment Calculator'!$C$8*'Investment Calculator'!$F$4,'Investment Calculator'!$C$6,"")</f>
        <v/>
      </c>
      <c r="E390" s="27" t="str">
        <f>IFERROR((F389+D390)*'Investment Calculator'!$C$7/'Investment Calculator'!$F$4,"")</f>
        <v/>
      </c>
      <c r="F390" s="27" t="str">
        <f>IFERROR(ABS(FV('Investment Calculator'!$C$7/'Investment Calculator'!$F$4,'SIP Schedule'!C390,'SIP Schedule'!D390,,1)),"")</f>
        <v/>
      </c>
    </row>
    <row r="391" spans="3:6" x14ac:dyDescent="0.3">
      <c r="C391" s="1" t="str">
        <f>IF(C390&lt;'Investment Calculator'!$C$8*'Investment Calculator'!$F$4,'SIP Schedule'!C390+1,"")</f>
        <v/>
      </c>
      <c r="D391" s="27" t="str">
        <f>IF(C391&lt;='Investment Calculator'!$C$8*'Investment Calculator'!$F$4,'Investment Calculator'!$C$6,"")</f>
        <v/>
      </c>
      <c r="E391" s="27" t="str">
        <f>IFERROR((F390+D391)*'Investment Calculator'!$C$7/'Investment Calculator'!$F$4,"")</f>
        <v/>
      </c>
      <c r="F391" s="27" t="str">
        <f>IFERROR(ABS(FV('Investment Calculator'!$C$7/'Investment Calculator'!$F$4,'SIP Schedule'!C391,'SIP Schedule'!D391,,1)),"")</f>
        <v/>
      </c>
    </row>
    <row r="392" spans="3:6" x14ac:dyDescent="0.3">
      <c r="C392" s="1" t="str">
        <f>IF(C391&lt;'Investment Calculator'!$C$8*'Investment Calculator'!$F$4,'SIP Schedule'!C391+1,"")</f>
        <v/>
      </c>
      <c r="D392" s="27" t="str">
        <f>IF(C392&lt;='Investment Calculator'!$C$8*'Investment Calculator'!$F$4,'Investment Calculator'!$C$6,"")</f>
        <v/>
      </c>
      <c r="E392" s="27" t="str">
        <f>IFERROR((F391+D392)*'Investment Calculator'!$C$7/'Investment Calculator'!$F$4,"")</f>
        <v/>
      </c>
      <c r="F392" s="27" t="str">
        <f>IFERROR(ABS(FV('Investment Calculator'!$C$7/'Investment Calculator'!$F$4,'SIP Schedule'!C392,'SIP Schedule'!D392,,1)),"")</f>
        <v/>
      </c>
    </row>
    <row r="393" spans="3:6" x14ac:dyDescent="0.3">
      <c r="C393" s="1" t="str">
        <f>IF(C392&lt;'Investment Calculator'!$C$8*'Investment Calculator'!$F$4,'SIP Schedule'!C392+1,"")</f>
        <v/>
      </c>
      <c r="D393" s="27" t="str">
        <f>IF(C393&lt;='Investment Calculator'!$C$8*'Investment Calculator'!$F$4,'Investment Calculator'!$C$6,"")</f>
        <v/>
      </c>
      <c r="E393" s="27" t="str">
        <f>IFERROR((F392+D393)*'Investment Calculator'!$C$7/'Investment Calculator'!$F$4,"")</f>
        <v/>
      </c>
      <c r="F393" s="27" t="str">
        <f>IFERROR(ABS(FV('Investment Calculator'!$C$7/'Investment Calculator'!$F$4,'SIP Schedule'!C393,'SIP Schedule'!D393,,1)),"")</f>
        <v/>
      </c>
    </row>
    <row r="394" spans="3:6" x14ac:dyDescent="0.3">
      <c r="C394" s="1" t="str">
        <f>IF(C393&lt;'Investment Calculator'!$C$8*'Investment Calculator'!$F$4,'SIP Schedule'!C393+1,"")</f>
        <v/>
      </c>
      <c r="D394" s="27" t="str">
        <f>IF(C394&lt;='Investment Calculator'!$C$8*'Investment Calculator'!$F$4,'Investment Calculator'!$C$6,"")</f>
        <v/>
      </c>
      <c r="E394" s="27" t="str">
        <f>IFERROR((F393+D394)*'Investment Calculator'!$C$7/'Investment Calculator'!$F$4,"")</f>
        <v/>
      </c>
      <c r="F394" s="27" t="str">
        <f>IFERROR(ABS(FV('Investment Calculator'!$C$7/'Investment Calculator'!$F$4,'SIP Schedule'!C394,'SIP Schedule'!D394,,1)),"")</f>
        <v/>
      </c>
    </row>
    <row r="395" spans="3:6" x14ac:dyDescent="0.3">
      <c r="C395" s="1" t="str">
        <f>IF(C394&lt;'Investment Calculator'!$C$8*'Investment Calculator'!$F$4,'SIP Schedule'!C394+1,"")</f>
        <v/>
      </c>
      <c r="D395" s="27" t="str">
        <f>IF(C395&lt;='Investment Calculator'!$C$8*'Investment Calculator'!$F$4,'Investment Calculator'!$C$6,"")</f>
        <v/>
      </c>
      <c r="E395" s="27" t="str">
        <f>IFERROR((F394+D395)*'Investment Calculator'!$C$7/'Investment Calculator'!$F$4,"")</f>
        <v/>
      </c>
      <c r="F395" s="27" t="str">
        <f>IFERROR(ABS(FV('Investment Calculator'!$C$7/'Investment Calculator'!$F$4,'SIP Schedule'!C395,'SIP Schedule'!D395,,1)),"")</f>
        <v/>
      </c>
    </row>
    <row r="396" spans="3:6" x14ac:dyDescent="0.3">
      <c r="C396" s="1" t="str">
        <f>IF(C395&lt;'Investment Calculator'!$C$8*'Investment Calculator'!$F$4,'SIP Schedule'!C395+1,"")</f>
        <v/>
      </c>
      <c r="D396" s="27" t="str">
        <f>IF(C396&lt;='Investment Calculator'!$C$8*'Investment Calculator'!$F$4,'Investment Calculator'!$C$6,"")</f>
        <v/>
      </c>
      <c r="E396" s="27" t="str">
        <f>IFERROR((F395+D396)*'Investment Calculator'!$C$7/'Investment Calculator'!$F$4,"")</f>
        <v/>
      </c>
      <c r="F396" s="27" t="str">
        <f>IFERROR(ABS(FV('Investment Calculator'!$C$7/'Investment Calculator'!$F$4,'SIP Schedule'!C396,'SIP Schedule'!D396,,1)),"")</f>
        <v/>
      </c>
    </row>
    <row r="397" spans="3:6" x14ac:dyDescent="0.3">
      <c r="C397" s="1" t="str">
        <f>IF(C396&lt;'Investment Calculator'!$C$8*'Investment Calculator'!$F$4,'SIP Schedule'!C396+1,"")</f>
        <v/>
      </c>
      <c r="D397" s="27" t="str">
        <f>IF(C397&lt;='Investment Calculator'!$C$8*'Investment Calculator'!$F$4,'Investment Calculator'!$C$6,"")</f>
        <v/>
      </c>
      <c r="E397" s="27" t="str">
        <f>IFERROR((F396+D397)*'Investment Calculator'!$C$7/'Investment Calculator'!$F$4,"")</f>
        <v/>
      </c>
      <c r="F397" s="27" t="str">
        <f>IFERROR(ABS(FV('Investment Calculator'!$C$7/'Investment Calculator'!$F$4,'SIP Schedule'!C397,'SIP Schedule'!D397,,1)),"")</f>
        <v/>
      </c>
    </row>
    <row r="398" spans="3:6" x14ac:dyDescent="0.3">
      <c r="C398" s="1" t="str">
        <f>IF(C397&lt;'Investment Calculator'!$C$8*'Investment Calculator'!$F$4,'SIP Schedule'!C397+1,"")</f>
        <v/>
      </c>
      <c r="D398" s="27" t="str">
        <f>IF(C398&lt;='Investment Calculator'!$C$8*'Investment Calculator'!$F$4,'Investment Calculator'!$C$6,"")</f>
        <v/>
      </c>
      <c r="E398" s="27" t="str">
        <f>IFERROR((F397+D398)*'Investment Calculator'!$C$7/'Investment Calculator'!$F$4,"")</f>
        <v/>
      </c>
      <c r="F398" s="27" t="str">
        <f>IFERROR(ABS(FV('Investment Calculator'!$C$7/'Investment Calculator'!$F$4,'SIP Schedule'!C398,'SIP Schedule'!D398,,1)),"")</f>
        <v/>
      </c>
    </row>
    <row r="399" spans="3:6" x14ac:dyDescent="0.3">
      <c r="C399" s="1" t="str">
        <f>IF(C398&lt;'Investment Calculator'!$C$8*'Investment Calculator'!$F$4,'SIP Schedule'!C398+1,"")</f>
        <v/>
      </c>
      <c r="D399" s="27" t="str">
        <f>IF(C399&lt;='Investment Calculator'!$C$8*'Investment Calculator'!$F$4,'Investment Calculator'!$C$6,"")</f>
        <v/>
      </c>
      <c r="E399" s="27" t="str">
        <f>IFERROR((F398+D399)*'Investment Calculator'!$C$7/'Investment Calculator'!$F$4,"")</f>
        <v/>
      </c>
      <c r="F399" s="27" t="str">
        <f>IFERROR(ABS(FV('Investment Calculator'!$C$7/'Investment Calculator'!$F$4,'SIP Schedule'!C399,'SIP Schedule'!D399,,1)),"")</f>
        <v/>
      </c>
    </row>
    <row r="400" spans="3:6" x14ac:dyDescent="0.3">
      <c r="C400" s="1" t="str">
        <f>IF(C399&lt;'Investment Calculator'!$C$8*'Investment Calculator'!$F$4,'SIP Schedule'!C399+1,"")</f>
        <v/>
      </c>
      <c r="D400" s="27" t="str">
        <f>IF(C400&lt;='Investment Calculator'!$C$8*'Investment Calculator'!$F$4,'Investment Calculator'!$C$6,"")</f>
        <v/>
      </c>
      <c r="E400" s="27" t="str">
        <f>IFERROR((F399+D400)*'Investment Calculator'!$C$7/'Investment Calculator'!$F$4,"")</f>
        <v/>
      </c>
      <c r="F400" s="27" t="str">
        <f>IFERROR(ABS(FV('Investment Calculator'!$C$7/'Investment Calculator'!$F$4,'SIP Schedule'!C400,'SIP Schedule'!D400,,1)),"")</f>
        <v/>
      </c>
    </row>
    <row r="401" spans="3:6" x14ac:dyDescent="0.3">
      <c r="C401" s="1" t="str">
        <f>IF(C400&lt;'Investment Calculator'!$C$8*'Investment Calculator'!$F$4,'SIP Schedule'!C400+1,"")</f>
        <v/>
      </c>
      <c r="D401" s="27" t="str">
        <f>IF(C401&lt;='Investment Calculator'!$C$8*'Investment Calculator'!$F$4,'Investment Calculator'!$C$6,"")</f>
        <v/>
      </c>
      <c r="E401" s="27" t="str">
        <f>IFERROR((F400+D401)*'Investment Calculator'!$C$7/'Investment Calculator'!$F$4,"")</f>
        <v/>
      </c>
      <c r="F401" s="27" t="str">
        <f>IFERROR(ABS(FV('Investment Calculator'!$C$7/'Investment Calculator'!$F$4,'SIP Schedule'!C401,'SIP Schedule'!D401,,1)),"")</f>
        <v/>
      </c>
    </row>
    <row r="402" spans="3:6" x14ac:dyDescent="0.3">
      <c r="C402" s="1" t="str">
        <f>IF(C401&lt;'Investment Calculator'!$C$8*'Investment Calculator'!$F$4,'SIP Schedule'!C401+1,"")</f>
        <v/>
      </c>
      <c r="D402" s="27" t="str">
        <f>IF(C402&lt;='Investment Calculator'!$C$8*'Investment Calculator'!$F$4,'Investment Calculator'!$C$6,"")</f>
        <v/>
      </c>
      <c r="E402" s="27" t="str">
        <f>IFERROR((F401+D402)*'Investment Calculator'!$C$7/'Investment Calculator'!$F$4,"")</f>
        <v/>
      </c>
      <c r="F402" s="27" t="str">
        <f>IFERROR(ABS(FV('Investment Calculator'!$C$7/'Investment Calculator'!$F$4,'SIP Schedule'!C402,'SIP Schedule'!D402,,1)),"")</f>
        <v/>
      </c>
    </row>
    <row r="403" spans="3:6" x14ac:dyDescent="0.3">
      <c r="C403" s="1" t="str">
        <f>IF(C402&lt;'Investment Calculator'!$C$8*'Investment Calculator'!$F$4,'SIP Schedule'!C402+1,"")</f>
        <v/>
      </c>
      <c r="D403" s="27" t="str">
        <f>IF(C403&lt;='Investment Calculator'!$C$8*'Investment Calculator'!$F$4,'Investment Calculator'!$C$6,"")</f>
        <v/>
      </c>
      <c r="E403" s="27" t="str">
        <f>IFERROR((F402+D403)*'Investment Calculator'!$C$7/'Investment Calculator'!$F$4,"")</f>
        <v/>
      </c>
      <c r="F403" s="27" t="str">
        <f>IFERROR(ABS(FV('Investment Calculator'!$C$7/'Investment Calculator'!$F$4,'SIP Schedule'!C403,'SIP Schedule'!D403,,1)),"")</f>
        <v/>
      </c>
    </row>
    <row r="404" spans="3:6" x14ac:dyDescent="0.3">
      <c r="C404" s="1" t="str">
        <f>IF(C403&lt;'Investment Calculator'!$C$8*'Investment Calculator'!$F$4,'SIP Schedule'!C403+1,"")</f>
        <v/>
      </c>
      <c r="D404" s="27" t="str">
        <f>IF(C404&lt;='Investment Calculator'!$C$8*'Investment Calculator'!$F$4,'Investment Calculator'!$C$6,"")</f>
        <v/>
      </c>
      <c r="E404" s="27" t="str">
        <f>IFERROR((F403+D404)*'Investment Calculator'!$C$7/'Investment Calculator'!$F$4,"")</f>
        <v/>
      </c>
      <c r="F404" s="27" t="str">
        <f>IFERROR(ABS(FV('Investment Calculator'!$C$7/'Investment Calculator'!$F$4,'SIP Schedule'!C404,'SIP Schedule'!D404,,1)),"")</f>
        <v/>
      </c>
    </row>
    <row r="405" spans="3:6" x14ac:dyDescent="0.3">
      <c r="C405" s="1" t="str">
        <f>IF(C404&lt;'Investment Calculator'!$C$8*'Investment Calculator'!$F$4,'SIP Schedule'!C404+1,"")</f>
        <v/>
      </c>
      <c r="D405" s="27" t="str">
        <f>IF(C405&lt;='Investment Calculator'!$C$8*'Investment Calculator'!$F$4,'Investment Calculator'!$C$6,"")</f>
        <v/>
      </c>
      <c r="E405" s="27" t="str">
        <f>IFERROR((F404+D405)*'Investment Calculator'!$C$7/'Investment Calculator'!$F$4,"")</f>
        <v/>
      </c>
      <c r="F405" s="27" t="str">
        <f>IFERROR(ABS(FV('Investment Calculator'!$C$7/'Investment Calculator'!$F$4,'SIP Schedule'!C405,'SIP Schedule'!D405,,1)),"")</f>
        <v/>
      </c>
    </row>
    <row r="406" spans="3:6" x14ac:dyDescent="0.3">
      <c r="C406" s="1" t="str">
        <f>IF(C405&lt;'Investment Calculator'!$C$8*'Investment Calculator'!$F$4,'SIP Schedule'!C405+1,"")</f>
        <v/>
      </c>
      <c r="D406" s="27" t="str">
        <f>IF(C406&lt;='Investment Calculator'!$C$8*'Investment Calculator'!$F$4,'Investment Calculator'!$C$6,"")</f>
        <v/>
      </c>
      <c r="E406" s="27" t="str">
        <f>IFERROR((F405+D406)*'Investment Calculator'!$C$7/'Investment Calculator'!$F$4,"")</f>
        <v/>
      </c>
      <c r="F406" s="27" t="str">
        <f>IFERROR(ABS(FV('Investment Calculator'!$C$7/'Investment Calculator'!$F$4,'SIP Schedule'!C406,'SIP Schedule'!D406,,1)),"")</f>
        <v/>
      </c>
    </row>
    <row r="407" spans="3:6" x14ac:dyDescent="0.3">
      <c r="C407" s="1" t="str">
        <f>IF(C406&lt;'Investment Calculator'!$C$8*'Investment Calculator'!$F$4,'SIP Schedule'!C406+1,"")</f>
        <v/>
      </c>
      <c r="D407" s="27" t="str">
        <f>IF(C407&lt;='Investment Calculator'!$C$8*'Investment Calculator'!$F$4,'Investment Calculator'!$C$6,"")</f>
        <v/>
      </c>
      <c r="E407" s="27" t="str">
        <f>IFERROR((F406+D407)*'Investment Calculator'!$C$7/'Investment Calculator'!$F$4,"")</f>
        <v/>
      </c>
      <c r="F407" s="27" t="str">
        <f>IFERROR(ABS(FV('Investment Calculator'!$C$7/'Investment Calculator'!$F$4,'SIP Schedule'!C407,'SIP Schedule'!D407,,1)),"")</f>
        <v/>
      </c>
    </row>
    <row r="408" spans="3:6" x14ac:dyDescent="0.3">
      <c r="C408" s="1" t="str">
        <f>IF(C407&lt;'Investment Calculator'!$C$8*'Investment Calculator'!$F$4,'SIP Schedule'!C407+1,"")</f>
        <v/>
      </c>
      <c r="D408" s="27" t="str">
        <f>IF(C408&lt;='Investment Calculator'!$C$8*'Investment Calculator'!$F$4,'Investment Calculator'!$C$6,"")</f>
        <v/>
      </c>
      <c r="E408" s="27" t="str">
        <f>IFERROR((F407+D408)*'Investment Calculator'!$C$7/'Investment Calculator'!$F$4,"")</f>
        <v/>
      </c>
      <c r="F408" s="27" t="str">
        <f>IFERROR(ABS(FV('Investment Calculator'!$C$7/'Investment Calculator'!$F$4,'SIP Schedule'!C408,'SIP Schedule'!D408,,1)),"")</f>
        <v/>
      </c>
    </row>
    <row r="409" spans="3:6" x14ac:dyDescent="0.3">
      <c r="C409" s="1" t="str">
        <f>IF(C408&lt;'Investment Calculator'!$C$8*'Investment Calculator'!$F$4,'SIP Schedule'!C408+1,"")</f>
        <v/>
      </c>
      <c r="D409" s="27" t="str">
        <f>IF(C409&lt;='Investment Calculator'!$C$8*'Investment Calculator'!$F$4,'Investment Calculator'!$C$6,"")</f>
        <v/>
      </c>
      <c r="E409" s="27" t="str">
        <f>IFERROR((F408+D409)*'Investment Calculator'!$C$7/'Investment Calculator'!$F$4,"")</f>
        <v/>
      </c>
      <c r="F409" s="27" t="str">
        <f>IFERROR(ABS(FV('Investment Calculator'!$C$7/'Investment Calculator'!$F$4,'SIP Schedule'!C409,'SIP Schedule'!D409,,1)),"")</f>
        <v/>
      </c>
    </row>
    <row r="410" spans="3:6" x14ac:dyDescent="0.3">
      <c r="C410" s="1" t="str">
        <f>IF(C409&lt;'Investment Calculator'!$C$8*'Investment Calculator'!$F$4,'SIP Schedule'!C409+1,"")</f>
        <v/>
      </c>
      <c r="D410" s="27" t="str">
        <f>IF(C410&lt;='Investment Calculator'!$C$8*'Investment Calculator'!$F$4,'Investment Calculator'!$C$6,"")</f>
        <v/>
      </c>
      <c r="E410" s="27" t="str">
        <f>IFERROR((F409+D410)*'Investment Calculator'!$C$7/'Investment Calculator'!$F$4,"")</f>
        <v/>
      </c>
      <c r="F410" s="27" t="str">
        <f>IFERROR(ABS(FV('Investment Calculator'!$C$7/'Investment Calculator'!$F$4,'SIP Schedule'!C410,'SIP Schedule'!D410,,1)),"")</f>
        <v/>
      </c>
    </row>
    <row r="411" spans="3:6" x14ac:dyDescent="0.3">
      <c r="C411" s="1" t="str">
        <f>IF(C410&lt;'Investment Calculator'!$C$8*'Investment Calculator'!$F$4,'SIP Schedule'!C410+1,"")</f>
        <v/>
      </c>
      <c r="D411" s="27" t="str">
        <f>IF(C411&lt;='Investment Calculator'!$C$8*'Investment Calculator'!$F$4,'Investment Calculator'!$C$6,"")</f>
        <v/>
      </c>
      <c r="E411" s="27" t="str">
        <f>IFERROR((F410+D411)*'Investment Calculator'!$C$7/'Investment Calculator'!$F$4,"")</f>
        <v/>
      </c>
      <c r="F411" s="27" t="str">
        <f>IFERROR(ABS(FV('Investment Calculator'!$C$7/'Investment Calculator'!$F$4,'SIP Schedule'!C411,'SIP Schedule'!D411,,1)),"")</f>
        <v/>
      </c>
    </row>
    <row r="412" spans="3:6" x14ac:dyDescent="0.3">
      <c r="C412" s="1" t="str">
        <f>IF(C411&lt;'Investment Calculator'!$C$8*'Investment Calculator'!$F$4,'SIP Schedule'!C411+1,"")</f>
        <v/>
      </c>
      <c r="D412" s="27" t="str">
        <f>IF(C412&lt;='Investment Calculator'!$C$8*'Investment Calculator'!$F$4,'Investment Calculator'!$C$6,"")</f>
        <v/>
      </c>
      <c r="E412" s="27" t="str">
        <f>IFERROR((F411+D412)*'Investment Calculator'!$C$7/'Investment Calculator'!$F$4,"")</f>
        <v/>
      </c>
      <c r="F412" s="27" t="str">
        <f>IFERROR(ABS(FV('Investment Calculator'!$C$7/'Investment Calculator'!$F$4,'SIP Schedule'!C412,'SIP Schedule'!D412,,1)),"")</f>
        <v/>
      </c>
    </row>
    <row r="413" spans="3:6" x14ac:dyDescent="0.3">
      <c r="C413" s="1" t="str">
        <f>IF(C412&lt;'Investment Calculator'!$C$8*'Investment Calculator'!$F$4,'SIP Schedule'!C412+1,"")</f>
        <v/>
      </c>
      <c r="D413" s="27" t="str">
        <f>IF(C413&lt;='Investment Calculator'!$C$8*'Investment Calculator'!$F$4,'Investment Calculator'!$C$6,"")</f>
        <v/>
      </c>
      <c r="E413" s="27" t="str">
        <f>IFERROR((F412+D413)*'Investment Calculator'!$C$7/'Investment Calculator'!$F$4,"")</f>
        <v/>
      </c>
      <c r="F413" s="27" t="str">
        <f>IFERROR(ABS(FV('Investment Calculator'!$C$7/'Investment Calculator'!$F$4,'SIP Schedule'!C413,'SIP Schedule'!D413,,1)),"")</f>
        <v/>
      </c>
    </row>
    <row r="414" spans="3:6" x14ac:dyDescent="0.3">
      <c r="C414" s="1" t="str">
        <f>IF(C413&lt;'Investment Calculator'!$C$8*'Investment Calculator'!$F$4,'SIP Schedule'!C413+1,"")</f>
        <v/>
      </c>
      <c r="D414" s="27" t="str">
        <f>IF(C414&lt;='Investment Calculator'!$C$8*'Investment Calculator'!$F$4,'Investment Calculator'!$C$6,"")</f>
        <v/>
      </c>
      <c r="E414" s="27" t="str">
        <f>IFERROR((F413+D414)*'Investment Calculator'!$C$7/'Investment Calculator'!$F$4,"")</f>
        <v/>
      </c>
      <c r="F414" s="27" t="str">
        <f>IFERROR(ABS(FV('Investment Calculator'!$C$7/'Investment Calculator'!$F$4,'SIP Schedule'!C414,'SIP Schedule'!D414,,1)),"")</f>
        <v/>
      </c>
    </row>
    <row r="415" spans="3:6" x14ac:dyDescent="0.3">
      <c r="C415" s="1" t="str">
        <f>IF(C414&lt;'Investment Calculator'!$C$8*'Investment Calculator'!$F$4,'SIP Schedule'!C414+1,"")</f>
        <v/>
      </c>
      <c r="D415" s="27" t="str">
        <f>IF(C415&lt;='Investment Calculator'!$C$8*'Investment Calculator'!$F$4,'Investment Calculator'!$C$6,"")</f>
        <v/>
      </c>
      <c r="E415" s="27" t="str">
        <f>IFERROR((F414+D415)*'Investment Calculator'!$C$7/'Investment Calculator'!$F$4,"")</f>
        <v/>
      </c>
      <c r="F415" s="27" t="str">
        <f>IFERROR(ABS(FV('Investment Calculator'!$C$7/'Investment Calculator'!$F$4,'SIP Schedule'!C415,'SIP Schedule'!D415,,1)),"")</f>
        <v/>
      </c>
    </row>
    <row r="416" spans="3:6" x14ac:dyDescent="0.3">
      <c r="C416" s="1" t="str">
        <f>IF(C415&lt;'Investment Calculator'!$C$8*'Investment Calculator'!$F$4,'SIP Schedule'!C415+1,"")</f>
        <v/>
      </c>
      <c r="D416" s="27" t="str">
        <f>IF(C416&lt;='Investment Calculator'!$C$8*'Investment Calculator'!$F$4,'Investment Calculator'!$C$6,"")</f>
        <v/>
      </c>
      <c r="E416" s="27" t="str">
        <f>IFERROR((F415+D416)*'Investment Calculator'!$C$7/'Investment Calculator'!$F$4,"")</f>
        <v/>
      </c>
      <c r="F416" s="27" t="str">
        <f>IFERROR(ABS(FV('Investment Calculator'!$C$7/'Investment Calculator'!$F$4,'SIP Schedule'!C416,'SIP Schedule'!D416,,1)),"")</f>
        <v/>
      </c>
    </row>
    <row r="417" spans="3:6" x14ac:dyDescent="0.3">
      <c r="C417" s="1" t="str">
        <f>IF(C416&lt;'Investment Calculator'!$C$8*'Investment Calculator'!$F$4,'SIP Schedule'!C416+1,"")</f>
        <v/>
      </c>
      <c r="D417" s="27" t="str">
        <f>IF(C417&lt;='Investment Calculator'!$C$8*'Investment Calculator'!$F$4,'Investment Calculator'!$C$6,"")</f>
        <v/>
      </c>
      <c r="E417" s="27" t="str">
        <f>IFERROR((F416+D417)*'Investment Calculator'!$C$7/'Investment Calculator'!$F$4,"")</f>
        <v/>
      </c>
      <c r="F417" s="27" t="str">
        <f>IFERROR(ABS(FV('Investment Calculator'!$C$7/'Investment Calculator'!$F$4,'SIP Schedule'!C417,'SIP Schedule'!D417,,1)),"")</f>
        <v/>
      </c>
    </row>
    <row r="418" spans="3:6" x14ac:dyDescent="0.3">
      <c r="C418" s="1" t="str">
        <f>IF(C417&lt;'Investment Calculator'!$C$8*'Investment Calculator'!$F$4,'SIP Schedule'!C417+1,"")</f>
        <v/>
      </c>
      <c r="D418" s="27" t="str">
        <f>IF(C418&lt;='Investment Calculator'!$C$8*'Investment Calculator'!$F$4,'Investment Calculator'!$C$6,"")</f>
        <v/>
      </c>
      <c r="E418" s="27" t="str">
        <f>IFERROR((F417+D418)*'Investment Calculator'!$C$7/'Investment Calculator'!$F$4,"")</f>
        <v/>
      </c>
      <c r="F418" s="27" t="str">
        <f>IFERROR(ABS(FV('Investment Calculator'!$C$7/'Investment Calculator'!$F$4,'SIP Schedule'!C418,'SIP Schedule'!D418,,1)),"")</f>
        <v/>
      </c>
    </row>
    <row r="419" spans="3:6" x14ac:dyDescent="0.3">
      <c r="C419" s="1" t="str">
        <f>IF(C418&lt;'Investment Calculator'!$C$8*'Investment Calculator'!$F$4,'SIP Schedule'!C418+1,"")</f>
        <v/>
      </c>
      <c r="D419" s="27" t="str">
        <f>IF(C419&lt;='Investment Calculator'!$C$8*'Investment Calculator'!$F$4,'Investment Calculator'!$C$6,"")</f>
        <v/>
      </c>
      <c r="E419" s="27" t="str">
        <f>IFERROR((F418+D419)*'Investment Calculator'!$C$7/'Investment Calculator'!$F$4,"")</f>
        <v/>
      </c>
      <c r="F419" s="27" t="str">
        <f>IFERROR(ABS(FV('Investment Calculator'!$C$7/'Investment Calculator'!$F$4,'SIP Schedule'!C419,'SIP Schedule'!D419,,1)),"")</f>
        <v/>
      </c>
    </row>
    <row r="420" spans="3:6" x14ac:dyDescent="0.3">
      <c r="C420" s="1" t="str">
        <f>IF(C419&lt;'Investment Calculator'!$C$8*'Investment Calculator'!$F$4,'SIP Schedule'!C419+1,"")</f>
        <v/>
      </c>
      <c r="D420" s="27" t="str">
        <f>IF(C420&lt;='Investment Calculator'!$C$8*'Investment Calculator'!$F$4,'Investment Calculator'!$C$6,"")</f>
        <v/>
      </c>
      <c r="E420" s="27" t="str">
        <f>IFERROR((F419+D420)*'Investment Calculator'!$C$7/'Investment Calculator'!$F$4,"")</f>
        <v/>
      </c>
      <c r="F420" s="27" t="str">
        <f>IFERROR(ABS(FV('Investment Calculator'!$C$7/'Investment Calculator'!$F$4,'SIP Schedule'!C420,'SIP Schedule'!D420,,1)),"")</f>
        <v/>
      </c>
    </row>
    <row r="421" spans="3:6" x14ac:dyDescent="0.3">
      <c r="C421" s="1" t="str">
        <f>IF(C420&lt;'Investment Calculator'!$C$8*'Investment Calculator'!$F$4,'SIP Schedule'!C420+1,"")</f>
        <v/>
      </c>
      <c r="D421" s="27" t="str">
        <f>IF(C421&lt;='Investment Calculator'!$C$8*'Investment Calculator'!$F$4,'Investment Calculator'!$C$6,"")</f>
        <v/>
      </c>
      <c r="E421" s="27" t="str">
        <f>IFERROR((F420+D421)*'Investment Calculator'!$C$7/'Investment Calculator'!$F$4,"")</f>
        <v/>
      </c>
      <c r="F421" s="27" t="str">
        <f>IFERROR(ABS(FV('Investment Calculator'!$C$7/'Investment Calculator'!$F$4,'SIP Schedule'!C421,'SIP Schedule'!D421,,1)),"")</f>
        <v/>
      </c>
    </row>
    <row r="422" spans="3:6" x14ac:dyDescent="0.3">
      <c r="C422" s="1" t="str">
        <f>IF(C421&lt;'Investment Calculator'!$C$8*'Investment Calculator'!$F$4,'SIP Schedule'!C421+1,"")</f>
        <v/>
      </c>
      <c r="D422" s="27" t="str">
        <f>IF(C422&lt;='Investment Calculator'!$C$8*'Investment Calculator'!$F$4,'Investment Calculator'!$C$6,"")</f>
        <v/>
      </c>
      <c r="E422" s="27" t="str">
        <f>IFERROR((F421+D422)*'Investment Calculator'!$C$7/'Investment Calculator'!$F$4,"")</f>
        <v/>
      </c>
      <c r="F422" s="27" t="str">
        <f>IFERROR(ABS(FV('Investment Calculator'!$C$7/'Investment Calculator'!$F$4,'SIP Schedule'!C422,'SIP Schedule'!D422,,1)),"")</f>
        <v/>
      </c>
    </row>
    <row r="423" spans="3:6" x14ac:dyDescent="0.3">
      <c r="C423" s="1" t="str">
        <f>IF(C422&lt;'Investment Calculator'!$C$8*'Investment Calculator'!$F$4,'SIP Schedule'!C422+1,"")</f>
        <v/>
      </c>
      <c r="D423" s="27" t="str">
        <f>IF(C423&lt;='Investment Calculator'!$C$8*'Investment Calculator'!$F$4,'Investment Calculator'!$C$6,"")</f>
        <v/>
      </c>
      <c r="E423" s="27" t="str">
        <f>IFERROR((F422+D423)*'Investment Calculator'!$C$7/'Investment Calculator'!$F$4,"")</f>
        <v/>
      </c>
      <c r="F423" s="27" t="str">
        <f>IFERROR(ABS(FV('Investment Calculator'!$C$7/'Investment Calculator'!$F$4,'SIP Schedule'!C423,'SIP Schedule'!D423,,1)),"")</f>
        <v/>
      </c>
    </row>
    <row r="424" spans="3:6" x14ac:dyDescent="0.3">
      <c r="C424" s="1" t="str">
        <f>IF(C423&lt;'Investment Calculator'!$C$8*'Investment Calculator'!$F$4,'SIP Schedule'!C423+1,"")</f>
        <v/>
      </c>
      <c r="D424" s="27" t="str">
        <f>IF(C424&lt;='Investment Calculator'!$C$8*'Investment Calculator'!$F$4,'Investment Calculator'!$C$6,"")</f>
        <v/>
      </c>
      <c r="E424" s="27" t="str">
        <f>IFERROR((F423+D424)*'Investment Calculator'!$C$7/'Investment Calculator'!$F$4,"")</f>
        <v/>
      </c>
      <c r="F424" s="27" t="str">
        <f>IFERROR(ABS(FV('Investment Calculator'!$C$7/'Investment Calculator'!$F$4,'SIP Schedule'!C424,'SIP Schedule'!D424,,1)),"")</f>
        <v/>
      </c>
    </row>
    <row r="425" spans="3:6" x14ac:dyDescent="0.3">
      <c r="C425" s="1" t="str">
        <f>IF(C424&lt;'Investment Calculator'!$C$8*'Investment Calculator'!$F$4,'SIP Schedule'!C424+1,"")</f>
        <v/>
      </c>
      <c r="D425" s="27" t="str">
        <f>IF(C425&lt;='Investment Calculator'!$C$8*'Investment Calculator'!$F$4,'Investment Calculator'!$C$6,"")</f>
        <v/>
      </c>
      <c r="E425" s="27" t="str">
        <f>IFERROR((F424+D425)*'Investment Calculator'!$C$7/'Investment Calculator'!$F$4,"")</f>
        <v/>
      </c>
      <c r="F425" s="27" t="str">
        <f>IFERROR(ABS(FV('Investment Calculator'!$C$7/'Investment Calculator'!$F$4,'SIP Schedule'!C425,'SIP Schedule'!D425,,1)),"")</f>
        <v/>
      </c>
    </row>
    <row r="426" spans="3:6" x14ac:dyDescent="0.3">
      <c r="C426" s="1" t="str">
        <f>IF(C425&lt;'Investment Calculator'!$C$8*'Investment Calculator'!$F$4,'SIP Schedule'!C425+1,"")</f>
        <v/>
      </c>
      <c r="D426" s="27" t="str">
        <f>IF(C426&lt;='Investment Calculator'!$C$8*'Investment Calculator'!$F$4,'Investment Calculator'!$C$6,"")</f>
        <v/>
      </c>
      <c r="E426" s="27" t="str">
        <f>IFERROR((F425+D426)*'Investment Calculator'!$C$7/'Investment Calculator'!$F$4,"")</f>
        <v/>
      </c>
      <c r="F426" s="27" t="str">
        <f>IFERROR(ABS(FV('Investment Calculator'!$C$7/'Investment Calculator'!$F$4,'SIP Schedule'!C426,'SIP Schedule'!D426,,1)),"")</f>
        <v/>
      </c>
    </row>
    <row r="427" spans="3:6" x14ac:dyDescent="0.3">
      <c r="C427" s="1" t="str">
        <f>IF(C426&lt;'Investment Calculator'!$C$8*'Investment Calculator'!$F$4,'SIP Schedule'!C426+1,"")</f>
        <v/>
      </c>
      <c r="D427" s="27" t="str">
        <f>IF(C427&lt;='Investment Calculator'!$C$8*'Investment Calculator'!$F$4,'Investment Calculator'!$C$6,"")</f>
        <v/>
      </c>
      <c r="E427" s="27" t="str">
        <f>IFERROR((F426+D427)*'Investment Calculator'!$C$7/'Investment Calculator'!$F$4,"")</f>
        <v/>
      </c>
      <c r="F427" s="27" t="str">
        <f>IFERROR(ABS(FV('Investment Calculator'!$C$7/'Investment Calculator'!$F$4,'SIP Schedule'!C427,'SIP Schedule'!D427,,1)),"")</f>
        <v/>
      </c>
    </row>
    <row r="428" spans="3:6" x14ac:dyDescent="0.3">
      <c r="C428" s="1" t="str">
        <f>IF(C427&lt;'Investment Calculator'!$C$8*'Investment Calculator'!$F$4,'SIP Schedule'!C427+1,"")</f>
        <v/>
      </c>
      <c r="D428" s="27" t="str">
        <f>IF(C428&lt;='Investment Calculator'!$C$8*'Investment Calculator'!$F$4,'Investment Calculator'!$C$6,"")</f>
        <v/>
      </c>
      <c r="E428" s="27" t="str">
        <f>IFERROR((F427+D428)*'Investment Calculator'!$C$7/'Investment Calculator'!$F$4,"")</f>
        <v/>
      </c>
      <c r="F428" s="27" t="str">
        <f>IFERROR(ABS(FV('Investment Calculator'!$C$7/'Investment Calculator'!$F$4,'SIP Schedule'!C428,'SIP Schedule'!D428,,1)),"")</f>
        <v/>
      </c>
    </row>
    <row r="429" spans="3:6" x14ac:dyDescent="0.3">
      <c r="C429" s="1" t="str">
        <f>IF(C428&lt;'Investment Calculator'!$C$8*'Investment Calculator'!$F$4,'SIP Schedule'!C428+1,"")</f>
        <v/>
      </c>
      <c r="D429" s="27" t="str">
        <f>IF(C429&lt;='Investment Calculator'!$C$8*'Investment Calculator'!$F$4,'Investment Calculator'!$C$6,"")</f>
        <v/>
      </c>
      <c r="E429" s="27" t="str">
        <f>IFERROR((F428+D429)*'Investment Calculator'!$C$7/'Investment Calculator'!$F$4,"")</f>
        <v/>
      </c>
      <c r="F429" s="27" t="str">
        <f>IFERROR(ABS(FV('Investment Calculator'!$C$7/'Investment Calculator'!$F$4,'SIP Schedule'!C429,'SIP Schedule'!D429,,1)),"")</f>
        <v/>
      </c>
    </row>
    <row r="430" spans="3:6" x14ac:dyDescent="0.3">
      <c r="C430" s="1" t="str">
        <f>IF(C429&lt;'Investment Calculator'!$C$8*'Investment Calculator'!$F$4,'SIP Schedule'!C429+1,"")</f>
        <v/>
      </c>
      <c r="D430" s="27" t="str">
        <f>IF(C430&lt;='Investment Calculator'!$C$8*'Investment Calculator'!$F$4,'Investment Calculator'!$C$6,"")</f>
        <v/>
      </c>
      <c r="E430" s="27" t="str">
        <f>IFERROR((F429+D430)*'Investment Calculator'!$C$7/'Investment Calculator'!$F$4,"")</f>
        <v/>
      </c>
      <c r="F430" s="27" t="str">
        <f>IFERROR(ABS(FV('Investment Calculator'!$C$7/'Investment Calculator'!$F$4,'SIP Schedule'!C430,'SIP Schedule'!D430,,1)),"")</f>
        <v/>
      </c>
    </row>
    <row r="431" spans="3:6" x14ac:dyDescent="0.3">
      <c r="C431" s="1" t="str">
        <f>IF(C430&lt;'Investment Calculator'!$C$8*'Investment Calculator'!$F$4,'SIP Schedule'!C430+1,"")</f>
        <v/>
      </c>
      <c r="D431" s="27" t="str">
        <f>IF(C431&lt;='Investment Calculator'!$C$8*'Investment Calculator'!$F$4,'Investment Calculator'!$C$6,"")</f>
        <v/>
      </c>
      <c r="E431" s="27" t="str">
        <f>IFERROR((F430+D431)*'Investment Calculator'!$C$7/'Investment Calculator'!$F$4,"")</f>
        <v/>
      </c>
      <c r="F431" s="27" t="str">
        <f>IFERROR(ABS(FV('Investment Calculator'!$C$7/'Investment Calculator'!$F$4,'SIP Schedule'!C431,'SIP Schedule'!D431,,1)),"")</f>
        <v/>
      </c>
    </row>
    <row r="432" spans="3:6" x14ac:dyDescent="0.3">
      <c r="C432" s="1" t="str">
        <f>IF(C431&lt;'Investment Calculator'!$C$8*'Investment Calculator'!$F$4,'SIP Schedule'!C431+1,"")</f>
        <v/>
      </c>
      <c r="D432" s="27" t="str">
        <f>IF(C432&lt;='Investment Calculator'!$C$8*'Investment Calculator'!$F$4,'Investment Calculator'!$C$6,"")</f>
        <v/>
      </c>
      <c r="E432" s="27" t="str">
        <f>IFERROR((F431+D432)*'Investment Calculator'!$C$7/'Investment Calculator'!$F$4,"")</f>
        <v/>
      </c>
      <c r="F432" s="27" t="str">
        <f>IFERROR(ABS(FV('Investment Calculator'!$C$7/'Investment Calculator'!$F$4,'SIP Schedule'!C432,'SIP Schedule'!D432,,1)),"")</f>
        <v/>
      </c>
    </row>
    <row r="433" spans="3:6" x14ac:dyDescent="0.3">
      <c r="C433" s="1" t="str">
        <f>IF(C432&lt;'Investment Calculator'!$C$8*'Investment Calculator'!$F$4,'SIP Schedule'!C432+1,"")</f>
        <v/>
      </c>
      <c r="D433" s="27" t="str">
        <f>IF(C433&lt;='Investment Calculator'!$C$8*'Investment Calculator'!$F$4,'Investment Calculator'!$C$6,"")</f>
        <v/>
      </c>
      <c r="E433" s="27" t="str">
        <f>IFERROR((F432+D433)*'Investment Calculator'!$C$7/'Investment Calculator'!$F$4,"")</f>
        <v/>
      </c>
      <c r="F433" s="27" t="str">
        <f>IFERROR(ABS(FV('Investment Calculator'!$C$7/'Investment Calculator'!$F$4,'SIP Schedule'!C433,'SIP Schedule'!D433,,1)),"")</f>
        <v/>
      </c>
    </row>
    <row r="434" spans="3:6" x14ac:dyDescent="0.3">
      <c r="C434" s="1" t="str">
        <f>IF(C433&lt;'Investment Calculator'!$C$8*'Investment Calculator'!$F$4,'SIP Schedule'!C433+1,"")</f>
        <v/>
      </c>
      <c r="D434" s="27" t="str">
        <f>IF(C434&lt;='Investment Calculator'!$C$8*'Investment Calculator'!$F$4,'Investment Calculator'!$C$6,"")</f>
        <v/>
      </c>
      <c r="E434" s="27" t="str">
        <f>IFERROR((F433+D434)*'Investment Calculator'!$C$7/'Investment Calculator'!$F$4,"")</f>
        <v/>
      </c>
      <c r="F434" s="27" t="str">
        <f>IFERROR(ABS(FV('Investment Calculator'!$C$7/'Investment Calculator'!$F$4,'SIP Schedule'!C434,'SIP Schedule'!D434,,1)),"")</f>
        <v/>
      </c>
    </row>
    <row r="435" spans="3:6" x14ac:dyDescent="0.3">
      <c r="C435" s="1" t="str">
        <f>IF(C434&lt;'Investment Calculator'!$C$8*'Investment Calculator'!$F$4,'SIP Schedule'!C434+1,"")</f>
        <v/>
      </c>
      <c r="D435" s="27" t="str">
        <f>IF(C435&lt;='Investment Calculator'!$C$8*'Investment Calculator'!$F$4,'Investment Calculator'!$C$6,"")</f>
        <v/>
      </c>
      <c r="E435" s="27" t="str">
        <f>IFERROR((F434+D435)*'Investment Calculator'!$C$7/'Investment Calculator'!$F$4,"")</f>
        <v/>
      </c>
      <c r="F435" s="27" t="str">
        <f>IFERROR(ABS(FV('Investment Calculator'!$C$7/'Investment Calculator'!$F$4,'SIP Schedule'!C435,'SIP Schedule'!D435,,1)),"")</f>
        <v/>
      </c>
    </row>
    <row r="436" spans="3:6" x14ac:dyDescent="0.3">
      <c r="C436" s="1" t="str">
        <f>IF(C435&lt;'Investment Calculator'!$C$8*'Investment Calculator'!$F$4,'SIP Schedule'!C435+1,"")</f>
        <v/>
      </c>
      <c r="D436" s="27" t="str">
        <f>IF(C436&lt;='Investment Calculator'!$C$8*'Investment Calculator'!$F$4,'Investment Calculator'!$C$6,"")</f>
        <v/>
      </c>
      <c r="E436" s="27" t="str">
        <f>IFERROR((F435+D436)*'Investment Calculator'!$C$7/'Investment Calculator'!$F$4,"")</f>
        <v/>
      </c>
      <c r="F436" s="27" t="str">
        <f>IFERROR(ABS(FV('Investment Calculator'!$C$7/'Investment Calculator'!$F$4,'SIP Schedule'!C436,'SIP Schedule'!D436,,1)),"")</f>
        <v/>
      </c>
    </row>
    <row r="437" spans="3:6" x14ac:dyDescent="0.3">
      <c r="C437" s="1" t="str">
        <f>IF(C436&lt;'Investment Calculator'!$C$8*'Investment Calculator'!$F$4,'SIP Schedule'!C436+1,"")</f>
        <v/>
      </c>
      <c r="D437" s="27" t="str">
        <f>IF(C437&lt;='Investment Calculator'!$C$8*'Investment Calculator'!$F$4,'Investment Calculator'!$C$6,"")</f>
        <v/>
      </c>
      <c r="E437" s="27" t="str">
        <f>IFERROR((F436+D437)*'Investment Calculator'!$C$7/'Investment Calculator'!$F$4,"")</f>
        <v/>
      </c>
      <c r="F437" s="27" t="str">
        <f>IFERROR(ABS(FV('Investment Calculator'!$C$7/'Investment Calculator'!$F$4,'SIP Schedule'!C437,'SIP Schedule'!D437,,1)),"")</f>
        <v/>
      </c>
    </row>
    <row r="438" spans="3:6" x14ac:dyDescent="0.3">
      <c r="C438" s="1" t="str">
        <f>IF(C437&lt;'Investment Calculator'!$C$8*'Investment Calculator'!$F$4,'SIP Schedule'!C437+1,"")</f>
        <v/>
      </c>
      <c r="D438" s="27" t="str">
        <f>IF(C438&lt;='Investment Calculator'!$C$8*'Investment Calculator'!$F$4,'Investment Calculator'!$C$6,"")</f>
        <v/>
      </c>
      <c r="E438" s="27" t="str">
        <f>IFERROR((F437+D438)*'Investment Calculator'!$C$7/'Investment Calculator'!$F$4,"")</f>
        <v/>
      </c>
      <c r="F438" s="27" t="str">
        <f>IFERROR(ABS(FV('Investment Calculator'!$C$7/'Investment Calculator'!$F$4,'SIP Schedule'!C438,'SIP Schedule'!D438,,1)),"")</f>
        <v/>
      </c>
    </row>
    <row r="439" spans="3:6" x14ac:dyDescent="0.3">
      <c r="C439" s="1" t="str">
        <f>IF(C438&lt;'Investment Calculator'!$C$8*'Investment Calculator'!$F$4,'SIP Schedule'!C438+1,"")</f>
        <v/>
      </c>
      <c r="D439" s="27" t="str">
        <f>IF(C439&lt;='Investment Calculator'!$C$8*'Investment Calculator'!$F$4,'Investment Calculator'!$C$6,"")</f>
        <v/>
      </c>
      <c r="E439" s="27" t="str">
        <f>IFERROR((F438+D439)*'Investment Calculator'!$C$7/'Investment Calculator'!$F$4,"")</f>
        <v/>
      </c>
      <c r="F439" s="27" t="str">
        <f>IFERROR(ABS(FV('Investment Calculator'!$C$7/'Investment Calculator'!$F$4,'SIP Schedule'!C439,'SIP Schedule'!D439,,1)),"")</f>
        <v/>
      </c>
    </row>
    <row r="440" spans="3:6" x14ac:dyDescent="0.3">
      <c r="C440" s="1" t="str">
        <f>IF(C439&lt;'Investment Calculator'!$C$8*'Investment Calculator'!$F$4,'SIP Schedule'!C439+1,"")</f>
        <v/>
      </c>
      <c r="D440" s="27" t="str">
        <f>IF(C440&lt;='Investment Calculator'!$C$8*'Investment Calculator'!$F$4,'Investment Calculator'!$C$6,"")</f>
        <v/>
      </c>
      <c r="E440" s="27" t="str">
        <f>IFERROR((F439+D440)*'Investment Calculator'!$C$7/'Investment Calculator'!$F$4,"")</f>
        <v/>
      </c>
      <c r="F440" s="27" t="str">
        <f>IFERROR(ABS(FV('Investment Calculator'!$C$7/'Investment Calculator'!$F$4,'SIP Schedule'!C440,'SIP Schedule'!D440,,1)),"")</f>
        <v/>
      </c>
    </row>
    <row r="441" spans="3:6" x14ac:dyDescent="0.3">
      <c r="C441" s="1" t="str">
        <f>IF(C440&lt;'Investment Calculator'!$C$8*'Investment Calculator'!$F$4,'SIP Schedule'!C440+1,"")</f>
        <v/>
      </c>
      <c r="D441" s="27" t="str">
        <f>IF(C441&lt;='Investment Calculator'!$C$8*'Investment Calculator'!$F$4,'Investment Calculator'!$C$6,"")</f>
        <v/>
      </c>
      <c r="E441" s="27" t="str">
        <f>IFERROR((F440+D441)*'Investment Calculator'!$C$7/'Investment Calculator'!$F$4,"")</f>
        <v/>
      </c>
      <c r="F441" s="27" t="str">
        <f>IFERROR(ABS(FV('Investment Calculator'!$C$7/'Investment Calculator'!$F$4,'SIP Schedule'!C441,'SIP Schedule'!D441,,1)),"")</f>
        <v/>
      </c>
    </row>
    <row r="442" spans="3:6" x14ac:dyDescent="0.3">
      <c r="C442" s="1" t="str">
        <f>IF(C441&lt;'Investment Calculator'!$C$8*'Investment Calculator'!$F$4,'SIP Schedule'!C441+1,"")</f>
        <v/>
      </c>
      <c r="D442" s="27" t="str">
        <f>IF(C442&lt;='Investment Calculator'!$C$8*'Investment Calculator'!$F$4,'Investment Calculator'!$C$6,"")</f>
        <v/>
      </c>
      <c r="E442" s="27" t="str">
        <f>IFERROR((F441+D442)*'Investment Calculator'!$C$7/'Investment Calculator'!$F$4,"")</f>
        <v/>
      </c>
      <c r="F442" s="27" t="str">
        <f>IFERROR(ABS(FV('Investment Calculator'!$C$7/'Investment Calculator'!$F$4,'SIP Schedule'!C442,'SIP Schedule'!D442,,1)),"")</f>
        <v/>
      </c>
    </row>
    <row r="443" spans="3:6" x14ac:dyDescent="0.3">
      <c r="C443" s="1" t="str">
        <f>IF(C442&lt;'Investment Calculator'!$C$8*'Investment Calculator'!$F$4,'SIP Schedule'!C442+1,"")</f>
        <v/>
      </c>
      <c r="D443" s="27" t="str">
        <f>IF(C443&lt;='Investment Calculator'!$C$8*'Investment Calculator'!$F$4,'Investment Calculator'!$C$6,"")</f>
        <v/>
      </c>
      <c r="E443" s="27" t="str">
        <f>IFERROR((F442+D443)*'Investment Calculator'!$C$7/'Investment Calculator'!$F$4,"")</f>
        <v/>
      </c>
      <c r="F443" s="27" t="str">
        <f>IFERROR(ABS(FV('Investment Calculator'!$C$7/'Investment Calculator'!$F$4,'SIP Schedule'!C443,'SIP Schedule'!D443,,1)),"")</f>
        <v/>
      </c>
    </row>
    <row r="444" spans="3:6" x14ac:dyDescent="0.3">
      <c r="C444" s="1" t="str">
        <f>IF(C443&lt;'Investment Calculator'!$C$8*'Investment Calculator'!$F$4,'SIP Schedule'!C443+1,"")</f>
        <v/>
      </c>
      <c r="D444" s="27" t="str">
        <f>IF(C444&lt;='Investment Calculator'!$C$8*'Investment Calculator'!$F$4,'Investment Calculator'!$C$6,"")</f>
        <v/>
      </c>
      <c r="E444" s="27" t="str">
        <f>IFERROR((F443+D444)*'Investment Calculator'!$C$7/'Investment Calculator'!$F$4,"")</f>
        <v/>
      </c>
      <c r="F444" s="27" t="str">
        <f>IFERROR(ABS(FV('Investment Calculator'!$C$7/'Investment Calculator'!$F$4,'SIP Schedule'!C444,'SIP Schedule'!D444,,1)),"")</f>
        <v/>
      </c>
    </row>
    <row r="445" spans="3:6" x14ac:dyDescent="0.3">
      <c r="C445" s="1" t="str">
        <f>IF(C444&lt;'Investment Calculator'!$C$8*'Investment Calculator'!$F$4,'SIP Schedule'!C444+1,"")</f>
        <v/>
      </c>
      <c r="D445" s="27" t="str">
        <f>IF(C445&lt;='Investment Calculator'!$C$8*'Investment Calculator'!$F$4,'Investment Calculator'!$C$6,"")</f>
        <v/>
      </c>
      <c r="E445" s="27" t="str">
        <f>IFERROR((F444+D445)*'Investment Calculator'!$C$7/'Investment Calculator'!$F$4,"")</f>
        <v/>
      </c>
      <c r="F445" s="27" t="str">
        <f>IFERROR(ABS(FV('Investment Calculator'!$C$7/'Investment Calculator'!$F$4,'SIP Schedule'!C445,'SIP Schedule'!D445,,1)),"")</f>
        <v/>
      </c>
    </row>
    <row r="446" spans="3:6" x14ac:dyDescent="0.3">
      <c r="C446" s="1" t="str">
        <f>IF(C445&lt;'Investment Calculator'!$C$8*'Investment Calculator'!$F$4,'SIP Schedule'!C445+1,"")</f>
        <v/>
      </c>
      <c r="D446" s="27" t="str">
        <f>IF(C446&lt;='Investment Calculator'!$C$8*'Investment Calculator'!$F$4,'Investment Calculator'!$C$6,"")</f>
        <v/>
      </c>
      <c r="E446" s="27" t="str">
        <f>IFERROR((F445+D446)*'Investment Calculator'!$C$7/'Investment Calculator'!$F$4,"")</f>
        <v/>
      </c>
      <c r="F446" s="27" t="str">
        <f>IFERROR(ABS(FV('Investment Calculator'!$C$7/'Investment Calculator'!$F$4,'SIP Schedule'!C446,'SIP Schedule'!D446,,1)),"")</f>
        <v/>
      </c>
    </row>
    <row r="447" spans="3:6" x14ac:dyDescent="0.3">
      <c r="C447" s="1" t="str">
        <f>IF(C446&lt;'Investment Calculator'!$C$8*'Investment Calculator'!$F$4,'SIP Schedule'!C446+1,"")</f>
        <v/>
      </c>
      <c r="D447" s="27" t="str">
        <f>IF(C447&lt;='Investment Calculator'!$C$8*'Investment Calculator'!$F$4,'Investment Calculator'!$C$6,"")</f>
        <v/>
      </c>
      <c r="E447" s="27" t="str">
        <f>IFERROR((F446+D447)*'Investment Calculator'!$C$7/'Investment Calculator'!$F$4,"")</f>
        <v/>
      </c>
      <c r="F447" s="27" t="str">
        <f>IFERROR(ABS(FV('Investment Calculator'!$C$7/'Investment Calculator'!$F$4,'SIP Schedule'!C447,'SIP Schedule'!D447,,1)),"")</f>
        <v/>
      </c>
    </row>
    <row r="448" spans="3:6" x14ac:dyDescent="0.3">
      <c r="C448" s="1" t="str">
        <f>IF(C447&lt;'Investment Calculator'!$C$8*'Investment Calculator'!$F$4,'SIP Schedule'!C447+1,"")</f>
        <v/>
      </c>
      <c r="D448" s="27" t="str">
        <f>IF(C448&lt;='Investment Calculator'!$C$8*'Investment Calculator'!$F$4,'Investment Calculator'!$C$6,"")</f>
        <v/>
      </c>
      <c r="E448" s="27" t="str">
        <f>IFERROR((F447+D448)*'Investment Calculator'!$C$7/'Investment Calculator'!$F$4,"")</f>
        <v/>
      </c>
      <c r="F448" s="27" t="str">
        <f>IFERROR(ABS(FV('Investment Calculator'!$C$7/'Investment Calculator'!$F$4,'SIP Schedule'!C448,'SIP Schedule'!D448,,1)),"")</f>
        <v/>
      </c>
    </row>
    <row r="449" spans="3:6" x14ac:dyDescent="0.3">
      <c r="C449" s="1" t="str">
        <f>IF(C448&lt;'Investment Calculator'!$C$8*'Investment Calculator'!$F$4,'SIP Schedule'!C448+1,"")</f>
        <v/>
      </c>
      <c r="D449" s="27" t="str">
        <f>IF(C449&lt;='Investment Calculator'!$C$8*'Investment Calculator'!$F$4,'Investment Calculator'!$C$6,"")</f>
        <v/>
      </c>
      <c r="E449" s="27" t="str">
        <f>IFERROR((F448+D449)*'Investment Calculator'!$C$7/'Investment Calculator'!$F$4,"")</f>
        <v/>
      </c>
      <c r="F449" s="27" t="str">
        <f>IFERROR(ABS(FV('Investment Calculator'!$C$7/'Investment Calculator'!$F$4,'SIP Schedule'!C449,'SIP Schedule'!D449,,1)),"")</f>
        <v/>
      </c>
    </row>
    <row r="450" spans="3:6" x14ac:dyDescent="0.3">
      <c r="C450" s="1" t="str">
        <f>IF(C449&lt;'Investment Calculator'!$C$8*'Investment Calculator'!$F$4,'SIP Schedule'!C449+1,"")</f>
        <v/>
      </c>
      <c r="D450" s="27" t="str">
        <f>IF(C450&lt;='Investment Calculator'!$C$8*'Investment Calculator'!$F$4,'Investment Calculator'!$C$6,"")</f>
        <v/>
      </c>
      <c r="E450" s="27" t="str">
        <f>IFERROR((F449+D450)*'Investment Calculator'!$C$7/'Investment Calculator'!$F$4,"")</f>
        <v/>
      </c>
      <c r="F450" s="27" t="str">
        <f>IFERROR(ABS(FV('Investment Calculator'!$C$7/'Investment Calculator'!$F$4,'SIP Schedule'!C450,'SIP Schedule'!D450,,1)),"")</f>
        <v/>
      </c>
    </row>
    <row r="451" spans="3:6" x14ac:dyDescent="0.3">
      <c r="C451" s="1" t="str">
        <f>IF(C450&lt;'Investment Calculator'!$C$8*'Investment Calculator'!$F$4,'SIP Schedule'!C450+1,"")</f>
        <v/>
      </c>
      <c r="D451" s="27" t="str">
        <f>IF(C451&lt;='Investment Calculator'!$C$8*'Investment Calculator'!$F$4,'Investment Calculator'!$C$6,"")</f>
        <v/>
      </c>
      <c r="E451" s="27" t="str">
        <f>IFERROR((F450+D451)*'Investment Calculator'!$C$7/'Investment Calculator'!$F$4,"")</f>
        <v/>
      </c>
      <c r="F451" s="27" t="str">
        <f>IFERROR(ABS(FV('Investment Calculator'!$C$7/'Investment Calculator'!$F$4,'SIP Schedule'!C451,'SIP Schedule'!D451,,1)),"")</f>
        <v/>
      </c>
    </row>
    <row r="452" spans="3:6" x14ac:dyDescent="0.3">
      <c r="C452" s="1" t="str">
        <f>IF(C451&lt;'Investment Calculator'!$C$8*'Investment Calculator'!$F$4,'SIP Schedule'!C451+1,"")</f>
        <v/>
      </c>
      <c r="D452" s="27" t="str">
        <f>IF(C452&lt;='Investment Calculator'!$C$8*'Investment Calculator'!$F$4,'Investment Calculator'!$C$6,"")</f>
        <v/>
      </c>
      <c r="E452" s="27" t="str">
        <f>IFERROR((F451+D452)*'Investment Calculator'!$C$7/'Investment Calculator'!$F$4,"")</f>
        <v/>
      </c>
      <c r="F452" s="27" t="str">
        <f>IFERROR(ABS(FV('Investment Calculator'!$C$7/'Investment Calculator'!$F$4,'SIP Schedule'!C452,'SIP Schedule'!D452,,1)),"")</f>
        <v/>
      </c>
    </row>
    <row r="453" spans="3:6" x14ac:dyDescent="0.3">
      <c r="C453" s="1" t="str">
        <f>IF(C452&lt;'Investment Calculator'!$C$8*'Investment Calculator'!$F$4,'SIP Schedule'!C452+1,"")</f>
        <v/>
      </c>
      <c r="D453" s="27" t="str">
        <f>IF(C453&lt;='Investment Calculator'!$C$8*'Investment Calculator'!$F$4,'Investment Calculator'!$C$6,"")</f>
        <v/>
      </c>
      <c r="E453" s="27" t="str">
        <f>IFERROR((F452+D453)*'Investment Calculator'!$C$7/'Investment Calculator'!$F$4,"")</f>
        <v/>
      </c>
      <c r="F453" s="27" t="str">
        <f>IFERROR(ABS(FV('Investment Calculator'!$C$7/'Investment Calculator'!$F$4,'SIP Schedule'!C453,'SIP Schedule'!D453,,1)),"")</f>
        <v/>
      </c>
    </row>
    <row r="454" spans="3:6" x14ac:dyDescent="0.3">
      <c r="C454" s="1" t="str">
        <f>IF(C453&lt;'Investment Calculator'!$C$8*'Investment Calculator'!$F$4,'SIP Schedule'!C453+1,"")</f>
        <v/>
      </c>
      <c r="D454" s="27" t="str">
        <f>IF(C454&lt;='Investment Calculator'!$C$8*'Investment Calculator'!$F$4,'Investment Calculator'!$C$6,"")</f>
        <v/>
      </c>
      <c r="E454" s="27" t="str">
        <f>IFERROR((F453+D454)*'Investment Calculator'!$C$7/'Investment Calculator'!$F$4,"")</f>
        <v/>
      </c>
      <c r="F454" s="27" t="str">
        <f>IFERROR(ABS(FV('Investment Calculator'!$C$7/'Investment Calculator'!$F$4,'SIP Schedule'!C454,'SIP Schedule'!D454,,1)),"")</f>
        <v/>
      </c>
    </row>
    <row r="455" spans="3:6" x14ac:dyDescent="0.3">
      <c r="C455" s="1" t="str">
        <f>IF(C454&lt;'Investment Calculator'!$C$8*'Investment Calculator'!$F$4,'SIP Schedule'!C454+1,"")</f>
        <v/>
      </c>
      <c r="D455" s="27" t="str">
        <f>IF(C455&lt;='Investment Calculator'!$C$8*'Investment Calculator'!$F$4,'Investment Calculator'!$C$6,"")</f>
        <v/>
      </c>
      <c r="E455" s="27" t="str">
        <f>IFERROR((F454+D455)*'Investment Calculator'!$C$7/'Investment Calculator'!$F$4,"")</f>
        <v/>
      </c>
      <c r="F455" s="27" t="str">
        <f>IFERROR(ABS(FV('Investment Calculator'!$C$7/'Investment Calculator'!$F$4,'SIP Schedule'!C455,'SIP Schedule'!D455,,1)),"")</f>
        <v/>
      </c>
    </row>
    <row r="456" spans="3:6" x14ac:dyDescent="0.3">
      <c r="C456" s="1" t="str">
        <f>IF(C455&lt;'Investment Calculator'!$C$8*'Investment Calculator'!$F$4,'SIP Schedule'!C455+1,"")</f>
        <v/>
      </c>
      <c r="D456" s="27" t="str">
        <f>IF(C456&lt;='Investment Calculator'!$C$8*'Investment Calculator'!$F$4,'Investment Calculator'!$C$6,"")</f>
        <v/>
      </c>
      <c r="E456" s="27" t="str">
        <f>IFERROR((F455+D456)*'Investment Calculator'!$C$7/'Investment Calculator'!$F$4,"")</f>
        <v/>
      </c>
      <c r="F456" s="27" t="str">
        <f>IFERROR(ABS(FV('Investment Calculator'!$C$7/'Investment Calculator'!$F$4,'SIP Schedule'!C456,'SIP Schedule'!D456,,1)),"")</f>
        <v/>
      </c>
    </row>
    <row r="457" spans="3:6" x14ac:dyDescent="0.3">
      <c r="C457" s="1" t="str">
        <f>IF(C456&lt;'Investment Calculator'!$C$8*'Investment Calculator'!$F$4,'SIP Schedule'!C456+1,"")</f>
        <v/>
      </c>
      <c r="D457" s="27" t="str">
        <f>IF(C457&lt;='Investment Calculator'!$C$8*'Investment Calculator'!$F$4,'Investment Calculator'!$C$6,"")</f>
        <v/>
      </c>
      <c r="E457" s="27" t="str">
        <f>IFERROR((F456+D457)*'Investment Calculator'!$C$7/'Investment Calculator'!$F$4,"")</f>
        <v/>
      </c>
      <c r="F457" s="27" t="str">
        <f>IFERROR(ABS(FV('Investment Calculator'!$C$7/'Investment Calculator'!$F$4,'SIP Schedule'!C457,'SIP Schedule'!D457,,1)),"")</f>
        <v/>
      </c>
    </row>
    <row r="458" spans="3:6" x14ac:dyDescent="0.3">
      <c r="C458" s="1" t="str">
        <f>IF(C457&lt;'Investment Calculator'!$C$8*'Investment Calculator'!$F$4,'SIP Schedule'!C457+1,"")</f>
        <v/>
      </c>
      <c r="D458" s="27" t="str">
        <f>IF(C458&lt;='Investment Calculator'!$C$8*'Investment Calculator'!$F$4,'Investment Calculator'!$C$6,"")</f>
        <v/>
      </c>
      <c r="E458" s="27" t="str">
        <f>IFERROR((F457+D458)*'Investment Calculator'!$C$7/'Investment Calculator'!$F$4,"")</f>
        <v/>
      </c>
      <c r="F458" s="27" t="str">
        <f>IFERROR(ABS(FV('Investment Calculator'!$C$7/'Investment Calculator'!$F$4,'SIP Schedule'!C458,'SIP Schedule'!D458,,1)),"")</f>
        <v/>
      </c>
    </row>
    <row r="459" spans="3:6" x14ac:dyDescent="0.3">
      <c r="C459" s="1" t="str">
        <f>IF(C458&lt;'Investment Calculator'!$C$8*'Investment Calculator'!$F$4,'SIP Schedule'!C458+1,"")</f>
        <v/>
      </c>
      <c r="D459" s="27" t="str">
        <f>IF(C459&lt;='Investment Calculator'!$C$8*'Investment Calculator'!$F$4,'Investment Calculator'!$C$6,"")</f>
        <v/>
      </c>
      <c r="E459" s="27" t="str">
        <f>IFERROR((F458+D459)*'Investment Calculator'!$C$7/'Investment Calculator'!$F$4,"")</f>
        <v/>
      </c>
      <c r="F459" s="27" t="str">
        <f>IFERROR(ABS(FV('Investment Calculator'!$C$7/'Investment Calculator'!$F$4,'SIP Schedule'!C459,'SIP Schedule'!D459,,1)),"")</f>
        <v/>
      </c>
    </row>
    <row r="460" spans="3:6" x14ac:dyDescent="0.3">
      <c r="C460" s="1" t="str">
        <f>IF(C459&lt;'Investment Calculator'!$C$8*'Investment Calculator'!$F$4,'SIP Schedule'!C459+1,"")</f>
        <v/>
      </c>
      <c r="D460" s="27" t="str">
        <f>IF(C460&lt;='Investment Calculator'!$C$8*'Investment Calculator'!$F$4,'Investment Calculator'!$C$6,"")</f>
        <v/>
      </c>
      <c r="E460" s="27" t="str">
        <f>IFERROR((F459+D460)*'Investment Calculator'!$C$7/'Investment Calculator'!$F$4,"")</f>
        <v/>
      </c>
      <c r="F460" s="27" t="str">
        <f>IFERROR(ABS(FV('Investment Calculator'!$C$7/'Investment Calculator'!$F$4,'SIP Schedule'!C460,'SIP Schedule'!D460,,1)),"")</f>
        <v/>
      </c>
    </row>
    <row r="461" spans="3:6" x14ac:dyDescent="0.3">
      <c r="C461" s="1" t="str">
        <f>IF(C460&lt;'Investment Calculator'!$C$8*'Investment Calculator'!$F$4,'SIP Schedule'!C460+1,"")</f>
        <v/>
      </c>
      <c r="D461" s="27" t="str">
        <f>IF(C461&lt;='Investment Calculator'!$C$8*'Investment Calculator'!$F$4,'Investment Calculator'!$C$6,"")</f>
        <v/>
      </c>
      <c r="E461" s="27" t="str">
        <f>IFERROR((F460+D461)*'Investment Calculator'!$C$7/'Investment Calculator'!$F$4,"")</f>
        <v/>
      </c>
      <c r="F461" s="27" t="str">
        <f>IFERROR(ABS(FV('Investment Calculator'!$C$7/'Investment Calculator'!$F$4,'SIP Schedule'!C461,'SIP Schedule'!D461,,1)),"")</f>
        <v/>
      </c>
    </row>
    <row r="462" spans="3:6" x14ac:dyDescent="0.3">
      <c r="C462" s="1" t="str">
        <f>IF(C461&lt;'Investment Calculator'!$C$8*'Investment Calculator'!$F$4,'SIP Schedule'!C461+1,"")</f>
        <v/>
      </c>
      <c r="D462" s="27" t="str">
        <f>IF(C462&lt;='Investment Calculator'!$C$8*'Investment Calculator'!$F$4,'Investment Calculator'!$C$6,"")</f>
        <v/>
      </c>
      <c r="E462" s="27" t="str">
        <f>IFERROR((F461+D462)*'Investment Calculator'!$C$7/'Investment Calculator'!$F$4,"")</f>
        <v/>
      </c>
      <c r="F462" s="27" t="str">
        <f>IFERROR(ABS(FV('Investment Calculator'!$C$7/'Investment Calculator'!$F$4,'SIP Schedule'!C462,'SIP Schedule'!D462,,1)),"")</f>
        <v/>
      </c>
    </row>
    <row r="463" spans="3:6" x14ac:dyDescent="0.3">
      <c r="C463" s="1" t="str">
        <f>IF(C462&lt;'Investment Calculator'!$C$8*'Investment Calculator'!$F$4,'SIP Schedule'!C462+1,"")</f>
        <v/>
      </c>
      <c r="D463" s="27" t="str">
        <f>IF(C463&lt;='Investment Calculator'!$C$8*'Investment Calculator'!$F$4,'Investment Calculator'!$C$6,"")</f>
        <v/>
      </c>
      <c r="E463" s="27" t="str">
        <f>IFERROR((F462+D463)*'Investment Calculator'!$C$7/'Investment Calculator'!$F$4,"")</f>
        <v/>
      </c>
      <c r="F463" s="27" t="str">
        <f>IFERROR(ABS(FV('Investment Calculator'!$C$7/'Investment Calculator'!$F$4,'SIP Schedule'!C463,'SIP Schedule'!D463,,1)),"")</f>
        <v/>
      </c>
    </row>
    <row r="464" spans="3:6" x14ac:dyDescent="0.3">
      <c r="C464" s="1" t="str">
        <f>IF(C463&lt;'Investment Calculator'!$C$8*'Investment Calculator'!$F$4,'SIP Schedule'!C463+1,"")</f>
        <v/>
      </c>
      <c r="D464" s="27" t="str">
        <f>IF(C464&lt;='Investment Calculator'!$C$8*'Investment Calculator'!$F$4,'Investment Calculator'!$C$6,"")</f>
        <v/>
      </c>
      <c r="E464" s="27" t="str">
        <f>IFERROR((F463+D464)*'Investment Calculator'!$C$7/'Investment Calculator'!$F$4,"")</f>
        <v/>
      </c>
      <c r="F464" s="27" t="str">
        <f>IFERROR(ABS(FV('Investment Calculator'!$C$7/'Investment Calculator'!$F$4,'SIP Schedule'!C464,'SIP Schedule'!D464,,1)),"")</f>
        <v/>
      </c>
    </row>
    <row r="465" spans="3:6" x14ac:dyDescent="0.3">
      <c r="C465" s="1" t="str">
        <f>IF(C464&lt;'Investment Calculator'!$C$8*'Investment Calculator'!$F$4,'SIP Schedule'!C464+1,"")</f>
        <v/>
      </c>
      <c r="D465" s="27" t="str">
        <f>IF(C465&lt;='Investment Calculator'!$C$8*'Investment Calculator'!$F$4,'Investment Calculator'!$C$6,"")</f>
        <v/>
      </c>
      <c r="E465" s="27" t="str">
        <f>IFERROR((F464+D465)*'Investment Calculator'!$C$7/'Investment Calculator'!$F$4,"")</f>
        <v/>
      </c>
      <c r="F465" s="27" t="str">
        <f>IFERROR(ABS(FV('Investment Calculator'!$C$7/'Investment Calculator'!$F$4,'SIP Schedule'!C465,'SIP Schedule'!D465,,1)),"")</f>
        <v/>
      </c>
    </row>
    <row r="466" spans="3:6" x14ac:dyDescent="0.3">
      <c r="C466" s="1" t="str">
        <f>IF(C465&lt;'Investment Calculator'!$C$8*'Investment Calculator'!$F$4,'SIP Schedule'!C465+1,"")</f>
        <v/>
      </c>
      <c r="D466" s="27" t="str">
        <f>IF(C466&lt;='Investment Calculator'!$C$8*'Investment Calculator'!$F$4,'Investment Calculator'!$C$6,"")</f>
        <v/>
      </c>
      <c r="E466" s="27" t="str">
        <f>IFERROR((F465+D466)*'Investment Calculator'!$C$7/'Investment Calculator'!$F$4,"")</f>
        <v/>
      </c>
      <c r="F466" s="27" t="str">
        <f>IFERROR(ABS(FV('Investment Calculator'!$C$7/'Investment Calculator'!$F$4,'SIP Schedule'!C466,'SIP Schedule'!D466,,1)),"")</f>
        <v/>
      </c>
    </row>
    <row r="467" spans="3:6" x14ac:dyDescent="0.3">
      <c r="C467" s="1" t="str">
        <f>IF(C466&lt;'Investment Calculator'!$C$8*'Investment Calculator'!$F$4,'SIP Schedule'!C466+1,"")</f>
        <v/>
      </c>
      <c r="D467" s="27" t="str">
        <f>IF(C467&lt;='Investment Calculator'!$C$8*'Investment Calculator'!$F$4,'Investment Calculator'!$C$6,"")</f>
        <v/>
      </c>
      <c r="E467" s="27" t="str">
        <f>IFERROR((F466+D467)*'Investment Calculator'!$C$7/'Investment Calculator'!$F$4,"")</f>
        <v/>
      </c>
      <c r="F467" s="27" t="str">
        <f>IFERROR(ABS(FV('Investment Calculator'!$C$7/'Investment Calculator'!$F$4,'SIP Schedule'!C467,'SIP Schedule'!D467,,1)),"")</f>
        <v/>
      </c>
    </row>
    <row r="468" spans="3:6" x14ac:dyDescent="0.3">
      <c r="C468" s="1" t="str">
        <f>IF(C467&lt;'Investment Calculator'!$C$8*'Investment Calculator'!$F$4,'SIP Schedule'!C467+1,"")</f>
        <v/>
      </c>
      <c r="D468" s="27" t="str">
        <f>IF(C468&lt;='Investment Calculator'!$C$8*'Investment Calculator'!$F$4,'Investment Calculator'!$C$6,"")</f>
        <v/>
      </c>
      <c r="E468" s="27" t="str">
        <f>IFERROR((F467+D468)*'Investment Calculator'!$C$7/'Investment Calculator'!$F$4,"")</f>
        <v/>
      </c>
      <c r="F468" s="27" t="str">
        <f>IFERROR(ABS(FV('Investment Calculator'!$C$7/'Investment Calculator'!$F$4,'SIP Schedule'!C468,'SIP Schedule'!D468,,1)),"")</f>
        <v/>
      </c>
    </row>
    <row r="469" spans="3:6" x14ac:dyDescent="0.3">
      <c r="C469" s="1" t="str">
        <f>IF(C468&lt;'Investment Calculator'!$C$8*'Investment Calculator'!$F$4,'SIP Schedule'!C468+1,"")</f>
        <v/>
      </c>
      <c r="D469" s="27" t="str">
        <f>IF(C469&lt;='Investment Calculator'!$C$8*'Investment Calculator'!$F$4,'Investment Calculator'!$C$6,"")</f>
        <v/>
      </c>
      <c r="E469" s="27" t="str">
        <f>IFERROR((F468+D469)*'Investment Calculator'!$C$7/'Investment Calculator'!$F$4,"")</f>
        <v/>
      </c>
      <c r="F469" s="27" t="str">
        <f>IFERROR(ABS(FV('Investment Calculator'!$C$7/'Investment Calculator'!$F$4,'SIP Schedule'!C469,'SIP Schedule'!D469,,1)),"")</f>
        <v/>
      </c>
    </row>
    <row r="470" spans="3:6" x14ac:dyDescent="0.3">
      <c r="C470" s="1" t="str">
        <f>IF(C469&lt;'Investment Calculator'!$C$8*'Investment Calculator'!$F$4,'SIP Schedule'!C469+1,"")</f>
        <v/>
      </c>
      <c r="D470" s="27" t="str">
        <f>IF(C470&lt;='Investment Calculator'!$C$8*'Investment Calculator'!$F$4,'Investment Calculator'!$C$6,"")</f>
        <v/>
      </c>
      <c r="E470" s="27" t="str">
        <f>IFERROR((F469+D470)*'Investment Calculator'!$C$7/'Investment Calculator'!$F$4,"")</f>
        <v/>
      </c>
      <c r="F470" s="27" t="str">
        <f>IFERROR(ABS(FV('Investment Calculator'!$C$7/'Investment Calculator'!$F$4,'SIP Schedule'!C470,'SIP Schedule'!D470,,1)),"")</f>
        <v/>
      </c>
    </row>
    <row r="471" spans="3:6" x14ac:dyDescent="0.3">
      <c r="C471" s="1" t="str">
        <f>IF(C470&lt;'Investment Calculator'!$C$8*'Investment Calculator'!$F$4,'SIP Schedule'!C470+1,"")</f>
        <v/>
      </c>
      <c r="D471" s="27" t="str">
        <f>IF(C471&lt;='Investment Calculator'!$C$8*'Investment Calculator'!$F$4,'Investment Calculator'!$C$6,"")</f>
        <v/>
      </c>
      <c r="E471" s="27" t="str">
        <f>IFERROR((F470+D471)*'Investment Calculator'!$C$7/'Investment Calculator'!$F$4,"")</f>
        <v/>
      </c>
      <c r="F471" s="27" t="str">
        <f>IFERROR(ABS(FV('Investment Calculator'!$C$7/'Investment Calculator'!$F$4,'SIP Schedule'!C471,'SIP Schedule'!D471,,1)),"")</f>
        <v/>
      </c>
    </row>
    <row r="472" spans="3:6" x14ac:dyDescent="0.3">
      <c r="C472" s="1" t="str">
        <f>IF(C471&lt;'Investment Calculator'!$C$8*'Investment Calculator'!$F$4,'SIP Schedule'!C471+1,"")</f>
        <v/>
      </c>
      <c r="D472" s="27" t="str">
        <f>IF(C472&lt;='Investment Calculator'!$C$8*'Investment Calculator'!$F$4,'Investment Calculator'!$C$6,"")</f>
        <v/>
      </c>
      <c r="E472" s="27" t="str">
        <f>IFERROR((F471+D472)*'Investment Calculator'!$C$7/'Investment Calculator'!$F$4,"")</f>
        <v/>
      </c>
      <c r="F472" s="27" t="str">
        <f>IFERROR(ABS(FV('Investment Calculator'!$C$7/'Investment Calculator'!$F$4,'SIP Schedule'!C472,'SIP Schedule'!D472,,1)),"")</f>
        <v/>
      </c>
    </row>
    <row r="473" spans="3:6" x14ac:dyDescent="0.3">
      <c r="C473" s="1" t="str">
        <f>IF(C472&lt;'Investment Calculator'!$C$8*'Investment Calculator'!$F$4,'SIP Schedule'!C472+1,"")</f>
        <v/>
      </c>
      <c r="D473" s="27" t="str">
        <f>IF(C473&lt;='Investment Calculator'!$C$8*'Investment Calculator'!$F$4,'Investment Calculator'!$C$6,"")</f>
        <v/>
      </c>
      <c r="E473" s="27" t="str">
        <f>IFERROR((F472+D473)*'Investment Calculator'!$C$7/'Investment Calculator'!$F$4,"")</f>
        <v/>
      </c>
      <c r="F473" s="27" t="str">
        <f>IFERROR(ABS(FV('Investment Calculator'!$C$7/'Investment Calculator'!$F$4,'SIP Schedule'!C473,'SIP Schedule'!D473,,1)),"")</f>
        <v/>
      </c>
    </row>
    <row r="474" spans="3:6" x14ac:dyDescent="0.3">
      <c r="C474" s="1" t="str">
        <f>IF(C473&lt;'Investment Calculator'!$C$8*'Investment Calculator'!$F$4,'SIP Schedule'!C473+1,"")</f>
        <v/>
      </c>
      <c r="D474" s="27" t="str">
        <f>IF(C474&lt;='Investment Calculator'!$C$8*'Investment Calculator'!$F$4,'Investment Calculator'!$C$6,"")</f>
        <v/>
      </c>
      <c r="E474" s="27" t="str">
        <f>IFERROR((F473+D474)*'Investment Calculator'!$C$7/'Investment Calculator'!$F$4,"")</f>
        <v/>
      </c>
      <c r="F474" s="27" t="str">
        <f>IFERROR(ABS(FV('Investment Calculator'!$C$7/'Investment Calculator'!$F$4,'SIP Schedule'!C474,'SIP Schedule'!D474,,1)),"")</f>
        <v/>
      </c>
    </row>
    <row r="475" spans="3:6" x14ac:dyDescent="0.3">
      <c r="C475" s="1" t="str">
        <f>IF(C474&lt;'Investment Calculator'!$C$8*'Investment Calculator'!$F$4,'SIP Schedule'!C474+1,"")</f>
        <v/>
      </c>
      <c r="D475" s="27" t="str">
        <f>IF(C475&lt;='Investment Calculator'!$C$8*'Investment Calculator'!$F$4,'Investment Calculator'!$C$6,"")</f>
        <v/>
      </c>
      <c r="E475" s="27" t="str">
        <f>IFERROR((F474+D475)*'Investment Calculator'!$C$7/'Investment Calculator'!$F$4,"")</f>
        <v/>
      </c>
      <c r="F475" s="27" t="str">
        <f>IFERROR(ABS(FV('Investment Calculator'!$C$7/'Investment Calculator'!$F$4,'SIP Schedule'!C475,'SIP Schedule'!D475,,1)),"")</f>
        <v/>
      </c>
    </row>
    <row r="476" spans="3:6" x14ac:dyDescent="0.3">
      <c r="C476" s="1" t="str">
        <f>IF(C475&lt;'Investment Calculator'!$C$8*'Investment Calculator'!$F$4,'SIP Schedule'!C475+1,"")</f>
        <v/>
      </c>
      <c r="D476" s="27" t="str">
        <f>IF(C476&lt;='Investment Calculator'!$C$8*'Investment Calculator'!$F$4,'Investment Calculator'!$C$6,"")</f>
        <v/>
      </c>
      <c r="E476" s="27" t="str">
        <f>IFERROR((F475+D476)*'Investment Calculator'!$C$7/'Investment Calculator'!$F$4,"")</f>
        <v/>
      </c>
      <c r="F476" s="27" t="str">
        <f>IFERROR(ABS(FV('Investment Calculator'!$C$7/'Investment Calculator'!$F$4,'SIP Schedule'!C476,'SIP Schedule'!D476,,1)),"")</f>
        <v/>
      </c>
    </row>
    <row r="477" spans="3:6" x14ac:dyDescent="0.3">
      <c r="C477" s="1" t="str">
        <f>IF(C476&lt;'Investment Calculator'!$C$8*'Investment Calculator'!$F$4,'SIP Schedule'!C476+1,"")</f>
        <v/>
      </c>
      <c r="D477" s="27" t="str">
        <f>IF(C477&lt;='Investment Calculator'!$C$8*'Investment Calculator'!$F$4,'Investment Calculator'!$C$6,"")</f>
        <v/>
      </c>
      <c r="E477" s="27" t="str">
        <f>IFERROR((F476+D477)*'Investment Calculator'!$C$7/'Investment Calculator'!$F$4,"")</f>
        <v/>
      </c>
      <c r="F477" s="27" t="str">
        <f>IFERROR(ABS(FV('Investment Calculator'!$C$7/'Investment Calculator'!$F$4,'SIP Schedule'!C477,'SIP Schedule'!D477,,1)),"")</f>
        <v/>
      </c>
    </row>
    <row r="478" spans="3:6" x14ac:dyDescent="0.3">
      <c r="C478" s="1" t="str">
        <f>IF(C477&lt;'Investment Calculator'!$C$8*'Investment Calculator'!$F$4,'SIP Schedule'!C477+1,"")</f>
        <v/>
      </c>
      <c r="D478" s="27" t="str">
        <f>IF(C478&lt;='Investment Calculator'!$C$8*'Investment Calculator'!$F$4,'Investment Calculator'!$C$6,"")</f>
        <v/>
      </c>
      <c r="E478" s="27" t="str">
        <f>IFERROR((F477+D478)*'Investment Calculator'!$C$7/'Investment Calculator'!$F$4,"")</f>
        <v/>
      </c>
      <c r="F478" s="27" t="str">
        <f>IFERROR(ABS(FV('Investment Calculator'!$C$7/'Investment Calculator'!$F$4,'SIP Schedule'!C478,'SIP Schedule'!D478,,1)),"")</f>
        <v/>
      </c>
    </row>
    <row r="479" spans="3:6" x14ac:dyDescent="0.3">
      <c r="C479" s="1" t="str">
        <f>IF(C478&lt;'Investment Calculator'!$C$8*'Investment Calculator'!$F$4,'SIP Schedule'!C478+1,"")</f>
        <v/>
      </c>
      <c r="D479" s="27" t="str">
        <f>IF(C479&lt;='Investment Calculator'!$C$8*'Investment Calculator'!$F$4,'Investment Calculator'!$C$6,"")</f>
        <v/>
      </c>
      <c r="E479" s="27" t="str">
        <f>IFERROR((F478+D479)*'Investment Calculator'!$C$7/'Investment Calculator'!$F$4,"")</f>
        <v/>
      </c>
      <c r="F479" s="27" t="str">
        <f>IFERROR(ABS(FV('Investment Calculator'!$C$7/'Investment Calculator'!$F$4,'SIP Schedule'!C479,'SIP Schedule'!D479,,1)),"")</f>
        <v/>
      </c>
    </row>
    <row r="480" spans="3:6" x14ac:dyDescent="0.3">
      <c r="C480" s="1" t="str">
        <f>IF(C479&lt;'Investment Calculator'!$C$8*'Investment Calculator'!$F$4,'SIP Schedule'!C479+1,"")</f>
        <v/>
      </c>
      <c r="D480" s="27" t="str">
        <f>IF(C480&lt;='Investment Calculator'!$C$8*'Investment Calculator'!$F$4,'Investment Calculator'!$C$6,"")</f>
        <v/>
      </c>
      <c r="E480" s="27" t="str">
        <f>IFERROR((F479+D480)*'Investment Calculator'!$C$7/'Investment Calculator'!$F$4,"")</f>
        <v/>
      </c>
      <c r="F480" s="27" t="str">
        <f>IFERROR(ABS(FV('Investment Calculator'!$C$7/'Investment Calculator'!$F$4,'SIP Schedule'!C480,'SIP Schedule'!D480,,1)),"")</f>
        <v/>
      </c>
    </row>
    <row r="481" spans="3:6" x14ac:dyDescent="0.3">
      <c r="C481" s="1" t="str">
        <f>IF(C480&lt;'Investment Calculator'!$C$8*'Investment Calculator'!$F$4,'SIP Schedule'!C480+1,"")</f>
        <v/>
      </c>
      <c r="D481" s="27" t="str">
        <f>IF(C481&lt;='Investment Calculator'!$C$8*'Investment Calculator'!$F$4,'Investment Calculator'!$C$6,"")</f>
        <v/>
      </c>
      <c r="E481" s="27" t="str">
        <f>IFERROR((F480+D481)*'Investment Calculator'!$C$7/'Investment Calculator'!$F$4,"")</f>
        <v/>
      </c>
      <c r="F481" s="27" t="str">
        <f>IFERROR(ABS(FV('Investment Calculator'!$C$7/'Investment Calculator'!$F$4,'SIP Schedule'!C481,'SIP Schedule'!D481,,1)),"")</f>
        <v/>
      </c>
    </row>
    <row r="482" spans="3:6" x14ac:dyDescent="0.3">
      <c r="C482" s="1" t="str">
        <f>IF(C481&lt;'Investment Calculator'!$C$8*'Investment Calculator'!$F$4,'SIP Schedule'!C481+1,"")</f>
        <v/>
      </c>
      <c r="D482" s="27" t="str">
        <f>IF(C482&lt;='Investment Calculator'!$C$8*'Investment Calculator'!$F$4,'Investment Calculator'!$C$6,"")</f>
        <v/>
      </c>
      <c r="E482" s="27" t="str">
        <f>IFERROR((F481+D482)*'Investment Calculator'!$C$7/'Investment Calculator'!$F$4,"")</f>
        <v/>
      </c>
      <c r="F482" s="27" t="str">
        <f>IFERROR(ABS(FV('Investment Calculator'!$C$7/'Investment Calculator'!$F$4,'SIP Schedule'!C482,'SIP Schedule'!D482,,1)),"")</f>
        <v/>
      </c>
    </row>
    <row r="483" spans="3:6" x14ac:dyDescent="0.3">
      <c r="C483" s="1" t="str">
        <f>IF(C482&lt;'Investment Calculator'!$C$8*'Investment Calculator'!$F$4,'SIP Schedule'!C482+1,"")</f>
        <v/>
      </c>
      <c r="D483" s="27" t="str">
        <f>IF(C483&lt;='Investment Calculator'!$C$8*'Investment Calculator'!$F$4,'Investment Calculator'!$C$6,"")</f>
        <v/>
      </c>
      <c r="E483" s="27" t="str">
        <f>IFERROR((F482+D483)*'Investment Calculator'!$C$7/'Investment Calculator'!$F$4,"")</f>
        <v/>
      </c>
      <c r="F483" s="27" t="str">
        <f>IFERROR(ABS(FV('Investment Calculator'!$C$7/'Investment Calculator'!$F$4,'SIP Schedule'!C483,'SIP Schedule'!D483,,1)),"")</f>
        <v/>
      </c>
    </row>
    <row r="484" spans="3:6" x14ac:dyDescent="0.3">
      <c r="C484" s="1" t="str">
        <f>IF(C483&lt;'Investment Calculator'!$C$8*'Investment Calculator'!$F$4,'SIP Schedule'!C483+1,"")</f>
        <v/>
      </c>
      <c r="D484" s="27" t="str">
        <f>IF(C484&lt;='Investment Calculator'!$C$8*'Investment Calculator'!$F$4,'Investment Calculator'!$C$6,"")</f>
        <v/>
      </c>
      <c r="E484" s="27" t="str">
        <f>IFERROR((F483+D484)*'Investment Calculator'!$C$7/'Investment Calculator'!$F$4,"")</f>
        <v/>
      </c>
      <c r="F484" s="27" t="str">
        <f>IFERROR(ABS(FV('Investment Calculator'!$C$7/'Investment Calculator'!$F$4,'SIP Schedule'!C484,'SIP Schedule'!D484,,1)),"")</f>
        <v/>
      </c>
    </row>
    <row r="485" spans="3:6" x14ac:dyDescent="0.3">
      <c r="C485" s="1" t="str">
        <f>IF(C484&lt;'Investment Calculator'!$C$8*'Investment Calculator'!$F$4,'SIP Schedule'!C484+1,"")</f>
        <v/>
      </c>
      <c r="D485" s="27" t="str">
        <f>IF(C485&lt;='Investment Calculator'!$C$8*'Investment Calculator'!$F$4,'Investment Calculator'!$C$6,"")</f>
        <v/>
      </c>
      <c r="E485" s="27" t="str">
        <f>IFERROR((F484+D485)*'Investment Calculator'!$C$7/'Investment Calculator'!$F$4,"")</f>
        <v/>
      </c>
      <c r="F485" s="27" t="str">
        <f>IFERROR(ABS(FV('Investment Calculator'!$C$7/'Investment Calculator'!$F$4,'SIP Schedule'!C485,'SIP Schedule'!D485,,1)),"")</f>
        <v/>
      </c>
    </row>
    <row r="486" spans="3:6" x14ac:dyDescent="0.3">
      <c r="C486" s="1" t="str">
        <f>IF(C485&lt;'Investment Calculator'!$C$8*'Investment Calculator'!$F$4,'SIP Schedule'!C485+1,"")</f>
        <v/>
      </c>
      <c r="D486" s="27" t="str">
        <f>IF(C486&lt;='Investment Calculator'!$C$8*'Investment Calculator'!$F$4,'Investment Calculator'!$C$6,"")</f>
        <v/>
      </c>
      <c r="E486" s="27" t="str">
        <f>IFERROR((F485+D486)*'Investment Calculator'!$C$7/'Investment Calculator'!$F$4,"")</f>
        <v/>
      </c>
      <c r="F486" s="27" t="str">
        <f>IFERROR(ABS(FV('Investment Calculator'!$C$7/'Investment Calculator'!$F$4,'SIP Schedule'!C486,'SIP Schedule'!D486,,1)),"")</f>
        <v/>
      </c>
    </row>
    <row r="487" spans="3:6" x14ac:dyDescent="0.3">
      <c r="C487" s="1" t="str">
        <f>IF(C486&lt;'Investment Calculator'!$C$8*'Investment Calculator'!$F$4,'SIP Schedule'!C486+1,"")</f>
        <v/>
      </c>
      <c r="D487" s="27" t="str">
        <f>IF(C487&lt;='Investment Calculator'!$C$8*'Investment Calculator'!$F$4,'Investment Calculator'!$C$6,"")</f>
        <v/>
      </c>
      <c r="E487" s="27" t="str">
        <f>IFERROR((F486+D487)*'Investment Calculator'!$C$7/'Investment Calculator'!$F$4,"")</f>
        <v/>
      </c>
      <c r="F487" s="27" t="str">
        <f>IFERROR(ABS(FV('Investment Calculator'!$C$7/'Investment Calculator'!$F$4,'SIP Schedule'!C487,'SIP Schedule'!D487,,1)),"")</f>
        <v/>
      </c>
    </row>
    <row r="488" spans="3:6" x14ac:dyDescent="0.3">
      <c r="C488" s="1" t="str">
        <f>IF(C487&lt;'Investment Calculator'!$C$8*'Investment Calculator'!$F$4,'SIP Schedule'!C487+1,"")</f>
        <v/>
      </c>
      <c r="D488" s="27" t="str">
        <f>IF(C488&lt;='Investment Calculator'!$C$8*'Investment Calculator'!$F$4,'Investment Calculator'!$C$6,"")</f>
        <v/>
      </c>
      <c r="E488" s="27" t="str">
        <f>IFERROR((F487+D488)*'Investment Calculator'!$C$7/'Investment Calculator'!$F$4,"")</f>
        <v/>
      </c>
      <c r="F488" s="27" t="str">
        <f>IFERROR(ABS(FV('Investment Calculator'!$C$7/'Investment Calculator'!$F$4,'SIP Schedule'!C488,'SIP Schedule'!D488,,1)),"")</f>
        <v/>
      </c>
    </row>
    <row r="489" spans="3:6" x14ac:dyDescent="0.3">
      <c r="C489" s="1" t="str">
        <f>IF(C488&lt;'Investment Calculator'!$C$8*'Investment Calculator'!$F$4,'SIP Schedule'!C488+1,"")</f>
        <v/>
      </c>
      <c r="D489" s="27" t="str">
        <f>IF(C489&lt;='Investment Calculator'!$C$8*'Investment Calculator'!$F$4,'Investment Calculator'!$C$6,"")</f>
        <v/>
      </c>
      <c r="E489" s="27" t="str">
        <f>IFERROR((F488+D489)*'Investment Calculator'!$C$7/'Investment Calculator'!$F$4,"")</f>
        <v/>
      </c>
      <c r="F489" s="27" t="str">
        <f>IFERROR(ABS(FV('Investment Calculator'!$C$7/'Investment Calculator'!$F$4,'SIP Schedule'!C489,'SIP Schedule'!D489,,1)),"")</f>
        <v/>
      </c>
    </row>
    <row r="490" spans="3:6" x14ac:dyDescent="0.3">
      <c r="C490" s="1" t="str">
        <f>IF(C489&lt;'Investment Calculator'!$C$8*'Investment Calculator'!$F$4,'SIP Schedule'!C489+1,"")</f>
        <v/>
      </c>
      <c r="D490" s="27" t="str">
        <f>IF(C490&lt;='Investment Calculator'!$C$8*'Investment Calculator'!$F$4,'Investment Calculator'!$C$6,"")</f>
        <v/>
      </c>
      <c r="E490" s="27" t="str">
        <f>IFERROR((F489+D490)*'Investment Calculator'!$C$7/'Investment Calculator'!$F$4,"")</f>
        <v/>
      </c>
      <c r="F490" s="27" t="str">
        <f>IFERROR(ABS(FV('Investment Calculator'!$C$7/'Investment Calculator'!$F$4,'SIP Schedule'!C490,'SIP Schedule'!D490,,1)),"")</f>
        <v/>
      </c>
    </row>
    <row r="491" spans="3:6" x14ac:dyDescent="0.3">
      <c r="C491" s="1" t="str">
        <f>IF(C490&lt;'Investment Calculator'!$C$8*'Investment Calculator'!$F$4,'SIP Schedule'!C490+1,"")</f>
        <v/>
      </c>
      <c r="D491" s="27" t="str">
        <f>IF(C491&lt;='Investment Calculator'!$C$8*'Investment Calculator'!$F$4,'Investment Calculator'!$C$6,"")</f>
        <v/>
      </c>
      <c r="E491" s="27" t="str">
        <f>IFERROR((F490+D491)*'Investment Calculator'!$C$7/'Investment Calculator'!$F$4,"")</f>
        <v/>
      </c>
      <c r="F491" s="27" t="str">
        <f>IFERROR(ABS(FV('Investment Calculator'!$C$7/'Investment Calculator'!$F$4,'SIP Schedule'!C491,'SIP Schedule'!D491,,1)),"")</f>
        <v/>
      </c>
    </row>
    <row r="492" spans="3:6" x14ac:dyDescent="0.3">
      <c r="C492" s="1" t="str">
        <f>IF(C491&lt;'Investment Calculator'!$C$8*'Investment Calculator'!$F$4,'SIP Schedule'!C491+1,"")</f>
        <v/>
      </c>
      <c r="D492" s="27" t="str">
        <f>IF(C492&lt;='Investment Calculator'!$C$8*'Investment Calculator'!$F$4,'Investment Calculator'!$C$6,"")</f>
        <v/>
      </c>
      <c r="E492" s="27" t="str">
        <f>IFERROR((F491+D492)*'Investment Calculator'!$C$7/'Investment Calculator'!$F$4,"")</f>
        <v/>
      </c>
      <c r="F492" s="27" t="str">
        <f>IFERROR(ABS(FV('Investment Calculator'!$C$7/'Investment Calculator'!$F$4,'SIP Schedule'!C492,'SIP Schedule'!D492,,1)),"")</f>
        <v/>
      </c>
    </row>
    <row r="493" spans="3:6" x14ac:dyDescent="0.3">
      <c r="C493" s="1" t="str">
        <f>IF(C492&lt;'Investment Calculator'!$C$8*'Investment Calculator'!$F$4,'SIP Schedule'!C492+1,"")</f>
        <v/>
      </c>
      <c r="D493" s="27" t="str">
        <f>IF(C493&lt;='Investment Calculator'!$C$8*'Investment Calculator'!$F$4,'Investment Calculator'!$C$6,"")</f>
        <v/>
      </c>
      <c r="E493" s="27" t="str">
        <f>IFERROR((F492+D493)*'Investment Calculator'!$C$7/'Investment Calculator'!$F$4,"")</f>
        <v/>
      </c>
      <c r="F493" s="27" t="str">
        <f>IFERROR(ABS(FV('Investment Calculator'!$C$7/'Investment Calculator'!$F$4,'SIP Schedule'!C493,'SIP Schedule'!D493,,1)),"")</f>
        <v/>
      </c>
    </row>
    <row r="494" spans="3:6" x14ac:dyDescent="0.3">
      <c r="C494" s="1" t="str">
        <f>IF(C493&lt;'Investment Calculator'!$C$8*'Investment Calculator'!$F$4,'SIP Schedule'!C493+1,"")</f>
        <v/>
      </c>
      <c r="D494" s="27" t="str">
        <f>IF(C494&lt;='Investment Calculator'!$C$8*'Investment Calculator'!$F$4,'Investment Calculator'!$C$6,"")</f>
        <v/>
      </c>
      <c r="E494" s="27" t="str">
        <f>IFERROR((F493+D494)*'Investment Calculator'!$C$7/'Investment Calculator'!$F$4,"")</f>
        <v/>
      </c>
      <c r="F494" s="27" t="str">
        <f>IFERROR(ABS(FV('Investment Calculator'!$C$7/'Investment Calculator'!$F$4,'SIP Schedule'!C494,'SIP Schedule'!D494,,1)),"")</f>
        <v/>
      </c>
    </row>
    <row r="495" spans="3:6" x14ac:dyDescent="0.3">
      <c r="C495" s="1" t="str">
        <f>IF(C494&lt;'Investment Calculator'!$C$8*'Investment Calculator'!$F$4,'SIP Schedule'!C494+1,"")</f>
        <v/>
      </c>
      <c r="D495" s="27" t="str">
        <f>IF(C495&lt;='Investment Calculator'!$C$8*'Investment Calculator'!$F$4,'Investment Calculator'!$C$6,"")</f>
        <v/>
      </c>
      <c r="E495" s="27" t="str">
        <f>IFERROR((F494+D495)*'Investment Calculator'!$C$7/'Investment Calculator'!$F$4,"")</f>
        <v/>
      </c>
      <c r="F495" s="27" t="str">
        <f>IFERROR(ABS(FV('Investment Calculator'!$C$7/'Investment Calculator'!$F$4,'SIP Schedule'!C495,'SIP Schedule'!D495,,1)),"")</f>
        <v/>
      </c>
    </row>
    <row r="496" spans="3:6" x14ac:dyDescent="0.3">
      <c r="C496" s="1" t="str">
        <f>IF(C495&lt;'Investment Calculator'!$C$8*'Investment Calculator'!$F$4,'SIP Schedule'!C495+1,"")</f>
        <v/>
      </c>
      <c r="D496" s="27" t="str">
        <f>IF(C496&lt;='Investment Calculator'!$C$8*'Investment Calculator'!$F$4,'Investment Calculator'!$C$6,"")</f>
        <v/>
      </c>
      <c r="E496" s="27" t="str">
        <f>IFERROR((F495+D496)*'Investment Calculator'!$C$7/'Investment Calculator'!$F$4,"")</f>
        <v/>
      </c>
      <c r="F496" s="27" t="str">
        <f>IFERROR(ABS(FV('Investment Calculator'!$C$7/'Investment Calculator'!$F$4,'SIP Schedule'!C496,'SIP Schedule'!D496,,1)),"")</f>
        <v/>
      </c>
    </row>
    <row r="497" spans="3:6" x14ac:dyDescent="0.3">
      <c r="C497" s="1" t="str">
        <f>IF(C496&lt;'Investment Calculator'!$C$8*'Investment Calculator'!$F$4,'SIP Schedule'!C496+1,"")</f>
        <v/>
      </c>
      <c r="D497" s="27" t="str">
        <f>IF(C497&lt;='Investment Calculator'!$C$8*'Investment Calculator'!$F$4,'Investment Calculator'!$C$6,"")</f>
        <v/>
      </c>
      <c r="E497" s="27" t="str">
        <f>IFERROR((F496+D497)*'Investment Calculator'!$C$7/'Investment Calculator'!$F$4,"")</f>
        <v/>
      </c>
      <c r="F497" s="27" t="str">
        <f>IFERROR(ABS(FV('Investment Calculator'!$C$7/'Investment Calculator'!$F$4,'SIP Schedule'!C497,'SIP Schedule'!D497,,1)),"")</f>
        <v/>
      </c>
    </row>
    <row r="498" spans="3:6" x14ac:dyDescent="0.3">
      <c r="C498" s="1" t="str">
        <f>IF(C497&lt;'Investment Calculator'!$C$8*'Investment Calculator'!$F$4,'SIP Schedule'!C497+1,"")</f>
        <v/>
      </c>
      <c r="D498" s="27" t="str">
        <f>IF(C498&lt;='Investment Calculator'!$C$8*'Investment Calculator'!$F$4,'Investment Calculator'!$C$6,"")</f>
        <v/>
      </c>
      <c r="E498" s="27" t="str">
        <f>IFERROR((F497+D498)*'Investment Calculator'!$C$7/'Investment Calculator'!$F$4,"")</f>
        <v/>
      </c>
      <c r="F498" s="27" t="str">
        <f>IFERROR(ABS(FV('Investment Calculator'!$C$7/'Investment Calculator'!$F$4,'SIP Schedule'!C498,'SIP Schedule'!D498,,1)),"")</f>
        <v/>
      </c>
    </row>
    <row r="499" spans="3:6" x14ac:dyDescent="0.3">
      <c r="C499" s="1" t="str">
        <f>IF(C498&lt;'Investment Calculator'!$C$8*'Investment Calculator'!$F$4,'SIP Schedule'!C498+1,"")</f>
        <v/>
      </c>
      <c r="D499" s="27" t="str">
        <f>IF(C499&lt;='Investment Calculator'!$C$8*'Investment Calculator'!$F$4,'Investment Calculator'!$C$6,"")</f>
        <v/>
      </c>
      <c r="E499" s="27" t="str">
        <f>IFERROR((F498+D499)*'Investment Calculator'!$C$7/'Investment Calculator'!$F$4,"")</f>
        <v/>
      </c>
      <c r="F499" s="27" t="str">
        <f>IFERROR(ABS(FV('Investment Calculator'!$C$7/'Investment Calculator'!$F$4,'SIP Schedule'!C499,'SIP Schedule'!D499,,1)),"")</f>
        <v/>
      </c>
    </row>
    <row r="500" spans="3:6" x14ac:dyDescent="0.3">
      <c r="C500" s="1" t="str">
        <f>IF(C499&lt;'Investment Calculator'!$C$8*'Investment Calculator'!$F$4,'SIP Schedule'!C499+1,"")</f>
        <v/>
      </c>
      <c r="D500" s="27" t="str">
        <f>IF(C500&lt;='Investment Calculator'!$C$8*'Investment Calculator'!$F$4,'Investment Calculator'!$C$6,"")</f>
        <v/>
      </c>
      <c r="E500" s="27" t="str">
        <f>IFERROR((F499+D500)*'Investment Calculator'!$C$7/'Investment Calculator'!$F$4,"")</f>
        <v/>
      </c>
      <c r="F500" s="27" t="str">
        <f>IFERROR(ABS(FV('Investment Calculator'!$C$7/'Investment Calculator'!$F$4,'SIP Schedule'!C500,'SIP Schedule'!D500,,1)),"")</f>
        <v/>
      </c>
    </row>
    <row r="501" spans="3:6" x14ac:dyDescent="0.3">
      <c r="C501" s="1" t="str">
        <f>IF(C500&lt;'Investment Calculator'!$C$8*'Investment Calculator'!$F$4,'SIP Schedule'!C500+1,"")</f>
        <v/>
      </c>
      <c r="D501" s="27" t="str">
        <f>IF(C501&lt;='Investment Calculator'!$C$8*'Investment Calculator'!$F$4,'Investment Calculator'!$C$6,"")</f>
        <v/>
      </c>
      <c r="E501" s="27" t="str">
        <f>IFERROR((F500+D501)*'Investment Calculator'!$C$7/'Investment Calculator'!$F$4,"")</f>
        <v/>
      </c>
      <c r="F501" s="27" t="str">
        <f>IFERROR(ABS(FV('Investment Calculator'!$C$7/'Investment Calculator'!$F$4,'SIP Schedule'!C501,'SIP Schedule'!D501,,1)),"")</f>
        <v/>
      </c>
    </row>
    <row r="502" spans="3:6" x14ac:dyDescent="0.3">
      <c r="C502" s="1" t="str">
        <f>IF(C501&lt;'Investment Calculator'!$C$8*'Investment Calculator'!$F$4,'SIP Schedule'!C501+1,"")</f>
        <v/>
      </c>
      <c r="D502" s="27" t="str">
        <f>IF(C502&lt;='Investment Calculator'!$C$8*'Investment Calculator'!$F$4,'Investment Calculator'!$C$6,"")</f>
        <v/>
      </c>
      <c r="E502" s="27" t="str">
        <f>IFERROR((F501+D502)*'Investment Calculator'!$C$7/'Investment Calculator'!$F$4,"")</f>
        <v/>
      </c>
      <c r="F502" s="27" t="str">
        <f>IFERROR(ABS(FV('Investment Calculator'!$C$7/'Investment Calculator'!$F$4,'SIP Schedule'!C502,'SIP Schedule'!D502,,1)),"")</f>
        <v/>
      </c>
    </row>
    <row r="503" spans="3:6" x14ac:dyDescent="0.3">
      <c r="C503" s="1" t="str">
        <f>IF(C502&lt;'Investment Calculator'!$C$8*'Investment Calculator'!$F$4,'SIP Schedule'!C502+1,"")</f>
        <v/>
      </c>
      <c r="D503" s="27" t="str">
        <f>IF(C503&lt;='Investment Calculator'!$C$8*'Investment Calculator'!$F$4,'Investment Calculator'!$C$6,"")</f>
        <v/>
      </c>
      <c r="E503" s="27" t="str">
        <f>IFERROR((F502+D503)*'Investment Calculator'!$C$7/'Investment Calculator'!$F$4,"")</f>
        <v/>
      </c>
      <c r="F503" s="27" t="str">
        <f>IFERROR(ABS(FV('Investment Calculator'!$C$7/'Investment Calculator'!$F$4,'SIP Schedule'!C503,'SIP Schedule'!D503,,1)),"")</f>
        <v/>
      </c>
    </row>
    <row r="504" spans="3:6" x14ac:dyDescent="0.3">
      <c r="C504" s="1" t="str">
        <f>IF(C503&lt;'Investment Calculator'!$C$8*'Investment Calculator'!$F$4,'SIP Schedule'!C503+1,"")</f>
        <v/>
      </c>
      <c r="D504" s="27" t="str">
        <f>IF(C504&lt;='Investment Calculator'!$C$8*'Investment Calculator'!$F$4,'Investment Calculator'!$C$6,"")</f>
        <v/>
      </c>
      <c r="E504" s="27" t="str">
        <f>IFERROR((F503+D504)*'Investment Calculator'!$C$7/'Investment Calculator'!$F$4,"")</f>
        <v/>
      </c>
      <c r="F504" s="27" t="str">
        <f>IFERROR(ABS(FV('Investment Calculator'!$C$7/'Investment Calculator'!$F$4,'SIP Schedule'!C504,'SIP Schedule'!D504,,1)),"")</f>
        <v/>
      </c>
    </row>
    <row r="505" spans="3:6" x14ac:dyDescent="0.3">
      <c r="C505" s="1" t="str">
        <f>IF(C504&lt;'Investment Calculator'!$C$8*'Investment Calculator'!$F$4,'SIP Schedule'!C504+1,"")</f>
        <v/>
      </c>
      <c r="D505" s="27" t="str">
        <f>IF(C505&lt;='Investment Calculator'!$C$8*'Investment Calculator'!$F$4,'Investment Calculator'!$C$6,"")</f>
        <v/>
      </c>
      <c r="E505" s="27" t="str">
        <f>IFERROR((F504+D505)*'Investment Calculator'!$C$7/'Investment Calculator'!$F$4,"")</f>
        <v/>
      </c>
      <c r="F505" s="27" t="str">
        <f>IFERROR(ABS(FV('Investment Calculator'!$C$7/'Investment Calculator'!$F$4,'SIP Schedule'!C505,'SIP Schedule'!D505,,1)),"")</f>
        <v/>
      </c>
    </row>
    <row r="506" spans="3:6" x14ac:dyDescent="0.3">
      <c r="C506" s="1" t="str">
        <f>IF(C505&lt;'Investment Calculator'!$C$8*'Investment Calculator'!$F$4,'SIP Schedule'!C505+1,"")</f>
        <v/>
      </c>
      <c r="D506" s="27" t="str">
        <f>IF(C506&lt;='Investment Calculator'!$C$8*'Investment Calculator'!$F$4,'Investment Calculator'!$C$6,"")</f>
        <v/>
      </c>
      <c r="E506" s="27" t="str">
        <f>IFERROR((F505+D506)*'Investment Calculator'!$C$7/'Investment Calculator'!$F$4,"")</f>
        <v/>
      </c>
      <c r="F506" s="27" t="str">
        <f>IFERROR(ABS(FV('Investment Calculator'!$C$7/'Investment Calculator'!$F$4,'SIP Schedule'!C506,'SIP Schedule'!D506,,1)),"")</f>
        <v/>
      </c>
    </row>
    <row r="507" spans="3:6" x14ac:dyDescent="0.3">
      <c r="C507" s="1" t="str">
        <f>IF(C506&lt;'Investment Calculator'!$C$8*'Investment Calculator'!$F$4,'SIP Schedule'!C506+1,"")</f>
        <v/>
      </c>
      <c r="D507" s="27" t="str">
        <f>IF(C507&lt;='Investment Calculator'!$C$8*'Investment Calculator'!$F$4,'Investment Calculator'!$C$6,"")</f>
        <v/>
      </c>
      <c r="E507" s="27" t="str">
        <f>IFERROR((F506+D507)*'Investment Calculator'!$C$7/'Investment Calculator'!$F$4,"")</f>
        <v/>
      </c>
      <c r="F507" s="27" t="str">
        <f>IFERROR(ABS(FV('Investment Calculator'!$C$7/'Investment Calculator'!$F$4,'SIP Schedule'!C507,'SIP Schedule'!D507,,1)),"")</f>
        <v/>
      </c>
    </row>
    <row r="508" spans="3:6" x14ac:dyDescent="0.3">
      <c r="C508" s="1" t="str">
        <f>IF(C507&lt;'Investment Calculator'!$C$8*'Investment Calculator'!$F$4,'SIP Schedule'!C507+1,"")</f>
        <v/>
      </c>
      <c r="D508" s="27" t="str">
        <f>IF(C508&lt;='Investment Calculator'!$C$8*'Investment Calculator'!$F$4,'Investment Calculator'!$C$6,"")</f>
        <v/>
      </c>
      <c r="E508" s="27" t="str">
        <f>IFERROR((F507+D508)*'Investment Calculator'!$C$7/'Investment Calculator'!$F$4,"")</f>
        <v/>
      </c>
      <c r="F508" s="27" t="str">
        <f>IFERROR(ABS(FV('Investment Calculator'!$C$7/'Investment Calculator'!$F$4,'SIP Schedule'!C508,'SIP Schedule'!D508,,1)),"")</f>
        <v/>
      </c>
    </row>
    <row r="509" spans="3:6" x14ac:dyDescent="0.3">
      <c r="C509" s="1" t="str">
        <f>IF(C508&lt;'Investment Calculator'!$C$8*'Investment Calculator'!$F$4,'SIP Schedule'!C508+1,"")</f>
        <v/>
      </c>
      <c r="D509" s="27" t="str">
        <f>IF(C509&lt;='Investment Calculator'!$C$8*'Investment Calculator'!$F$4,'Investment Calculator'!$C$6,"")</f>
        <v/>
      </c>
      <c r="E509" s="27" t="str">
        <f>IFERROR((F508+D509)*'Investment Calculator'!$C$7/'Investment Calculator'!$F$4,"")</f>
        <v/>
      </c>
      <c r="F509" s="27" t="str">
        <f>IFERROR(ABS(FV('Investment Calculator'!$C$7/'Investment Calculator'!$F$4,'SIP Schedule'!C509,'SIP Schedule'!D509,,1)),"")</f>
        <v/>
      </c>
    </row>
    <row r="510" spans="3:6" x14ac:dyDescent="0.3">
      <c r="C510" s="1" t="str">
        <f>IF(C509&lt;'Investment Calculator'!$C$8*'Investment Calculator'!$F$4,'SIP Schedule'!C509+1,"")</f>
        <v/>
      </c>
      <c r="D510" s="27" t="str">
        <f>IF(C510&lt;='Investment Calculator'!$C$8*'Investment Calculator'!$F$4,'Investment Calculator'!$C$6,"")</f>
        <v/>
      </c>
      <c r="E510" s="27" t="str">
        <f>IFERROR((F509+D510)*'Investment Calculator'!$C$7/'Investment Calculator'!$F$4,"")</f>
        <v/>
      </c>
      <c r="F510" s="27" t="str">
        <f>IFERROR(ABS(FV('Investment Calculator'!$C$7/'Investment Calculator'!$F$4,'SIP Schedule'!C510,'SIP Schedule'!D510,,1)),"")</f>
        <v/>
      </c>
    </row>
    <row r="511" spans="3:6" x14ac:dyDescent="0.3">
      <c r="C511" s="1" t="str">
        <f>IF(C510&lt;'Investment Calculator'!$C$8*'Investment Calculator'!$F$4,'SIP Schedule'!C510+1,"")</f>
        <v/>
      </c>
      <c r="D511" s="27" t="str">
        <f>IF(C511&lt;='Investment Calculator'!$C$8*'Investment Calculator'!$F$4,'Investment Calculator'!$C$6,"")</f>
        <v/>
      </c>
      <c r="E511" s="27" t="str">
        <f>IFERROR((F510+D511)*'Investment Calculator'!$C$7/'Investment Calculator'!$F$4,"")</f>
        <v/>
      </c>
      <c r="F511" s="27" t="str">
        <f>IFERROR(ABS(FV('Investment Calculator'!$C$7/'Investment Calculator'!$F$4,'SIP Schedule'!C511,'SIP Schedule'!D511,,1)),"")</f>
        <v/>
      </c>
    </row>
    <row r="512" spans="3:6" x14ac:dyDescent="0.3">
      <c r="C512" s="1" t="str">
        <f>IF(C511&lt;'Investment Calculator'!$C$8*'Investment Calculator'!$F$4,'SIP Schedule'!C511+1,"")</f>
        <v/>
      </c>
      <c r="D512" s="27" t="str">
        <f>IF(C512&lt;='Investment Calculator'!$C$8*'Investment Calculator'!$F$4,'Investment Calculator'!$C$6,"")</f>
        <v/>
      </c>
      <c r="E512" s="27" t="str">
        <f>IFERROR((F511+D512)*'Investment Calculator'!$C$7/'Investment Calculator'!$F$4,"")</f>
        <v/>
      </c>
      <c r="F512" s="27" t="str">
        <f>IFERROR(ABS(FV('Investment Calculator'!$C$7/'Investment Calculator'!$F$4,'SIP Schedule'!C512,'SIP Schedule'!D512,,1)),"")</f>
        <v/>
      </c>
    </row>
    <row r="513" spans="3:6" x14ac:dyDescent="0.3">
      <c r="C513" s="1" t="str">
        <f>IF(C512&lt;'Investment Calculator'!$C$8*'Investment Calculator'!$F$4,'SIP Schedule'!C512+1,"")</f>
        <v/>
      </c>
      <c r="D513" s="27" t="str">
        <f>IF(C513&lt;='Investment Calculator'!$C$8*'Investment Calculator'!$F$4,'Investment Calculator'!$C$6,"")</f>
        <v/>
      </c>
      <c r="E513" s="27" t="str">
        <f>IFERROR((F512+D513)*'Investment Calculator'!$C$7/'Investment Calculator'!$F$4,"")</f>
        <v/>
      </c>
      <c r="F513" s="27" t="str">
        <f>IFERROR(ABS(FV('Investment Calculator'!$C$7/'Investment Calculator'!$F$4,'SIP Schedule'!C513,'SIP Schedule'!D513,,1)),"")</f>
        <v/>
      </c>
    </row>
    <row r="514" spans="3:6" x14ac:dyDescent="0.3">
      <c r="C514" s="1" t="str">
        <f>IF(C513&lt;'Investment Calculator'!$C$8*'Investment Calculator'!$F$4,'SIP Schedule'!C513+1,"")</f>
        <v/>
      </c>
      <c r="D514" s="27" t="str">
        <f>IF(C514&lt;='Investment Calculator'!$C$8*'Investment Calculator'!$F$4,'Investment Calculator'!$C$6,"")</f>
        <v/>
      </c>
      <c r="E514" s="27" t="str">
        <f>IFERROR((F513+D514)*'Investment Calculator'!$C$7/'Investment Calculator'!$F$4,"")</f>
        <v/>
      </c>
      <c r="F514" s="27" t="str">
        <f>IFERROR(ABS(FV('Investment Calculator'!$C$7/'Investment Calculator'!$F$4,'SIP Schedule'!C514,'SIP Schedule'!D514,,1)),"")</f>
        <v/>
      </c>
    </row>
    <row r="515" spans="3:6" x14ac:dyDescent="0.3">
      <c r="C515" s="1" t="str">
        <f>IF(C514&lt;'Investment Calculator'!$C$8*'Investment Calculator'!$F$4,'SIP Schedule'!C514+1,"")</f>
        <v/>
      </c>
      <c r="D515" s="27" t="str">
        <f>IF(C515&lt;='Investment Calculator'!$C$8*'Investment Calculator'!$F$4,'Investment Calculator'!$C$6,"")</f>
        <v/>
      </c>
      <c r="E515" s="27" t="str">
        <f>IFERROR((F514+D515)*'Investment Calculator'!$C$7/'Investment Calculator'!$F$4,"")</f>
        <v/>
      </c>
      <c r="F515" s="27" t="str">
        <f>IFERROR(ABS(FV('Investment Calculator'!$C$7/'Investment Calculator'!$F$4,'SIP Schedule'!C515,'SIP Schedule'!D515,,1)),"")</f>
        <v/>
      </c>
    </row>
    <row r="516" spans="3:6" x14ac:dyDescent="0.3">
      <c r="C516" s="1" t="str">
        <f>IF(C515&lt;'Investment Calculator'!$C$8*'Investment Calculator'!$F$4,'SIP Schedule'!C515+1,"")</f>
        <v/>
      </c>
      <c r="D516" s="27" t="str">
        <f>IF(C516&lt;='Investment Calculator'!$C$8*'Investment Calculator'!$F$4,'Investment Calculator'!$C$6,"")</f>
        <v/>
      </c>
      <c r="E516" s="27" t="str">
        <f>IFERROR((F515+D516)*'Investment Calculator'!$C$7/'Investment Calculator'!$F$4,"")</f>
        <v/>
      </c>
      <c r="F516" s="27" t="str">
        <f>IFERROR(ABS(FV('Investment Calculator'!$C$7/'Investment Calculator'!$F$4,'SIP Schedule'!C516,'SIP Schedule'!D516,,1)),"")</f>
        <v/>
      </c>
    </row>
    <row r="517" spans="3:6" x14ac:dyDescent="0.3">
      <c r="C517" s="1" t="str">
        <f>IF(C516&lt;'Investment Calculator'!$C$8*'Investment Calculator'!$F$4,'SIP Schedule'!C516+1,"")</f>
        <v/>
      </c>
      <c r="D517" s="27" t="str">
        <f>IF(C517&lt;='Investment Calculator'!$C$8*'Investment Calculator'!$F$4,'Investment Calculator'!$C$6,"")</f>
        <v/>
      </c>
      <c r="E517" s="27" t="str">
        <f>IFERROR((F516+D517)*'Investment Calculator'!$C$7/'Investment Calculator'!$F$4,"")</f>
        <v/>
      </c>
      <c r="F517" s="27" t="str">
        <f>IFERROR(ABS(FV('Investment Calculator'!$C$7/'Investment Calculator'!$F$4,'SIP Schedule'!C517,'SIP Schedule'!D517,,1)),"")</f>
        <v/>
      </c>
    </row>
    <row r="518" spans="3:6" x14ac:dyDescent="0.3">
      <c r="C518" s="1" t="str">
        <f>IF(C517&lt;'Investment Calculator'!$C$8*'Investment Calculator'!$F$4,'SIP Schedule'!C517+1,"")</f>
        <v/>
      </c>
      <c r="D518" s="27" t="str">
        <f>IF(C518&lt;='Investment Calculator'!$C$8*'Investment Calculator'!$F$4,'Investment Calculator'!$C$6,"")</f>
        <v/>
      </c>
      <c r="E518" s="27" t="str">
        <f>IFERROR((F517+D518)*'Investment Calculator'!$C$7/'Investment Calculator'!$F$4,"")</f>
        <v/>
      </c>
      <c r="F518" s="27" t="str">
        <f>IFERROR(ABS(FV('Investment Calculator'!$C$7/'Investment Calculator'!$F$4,'SIP Schedule'!C518,'SIP Schedule'!D518,,1)),"")</f>
        <v/>
      </c>
    </row>
    <row r="519" spans="3:6" x14ac:dyDescent="0.3">
      <c r="C519" s="1" t="str">
        <f>IF(C518&lt;'Investment Calculator'!$C$8*'Investment Calculator'!$F$4,'SIP Schedule'!C518+1,"")</f>
        <v/>
      </c>
      <c r="D519" s="27" t="str">
        <f>IF(C519&lt;='Investment Calculator'!$C$8*'Investment Calculator'!$F$4,'Investment Calculator'!$C$6,"")</f>
        <v/>
      </c>
      <c r="E519" s="27" t="str">
        <f>IFERROR((F518+D519)*'Investment Calculator'!$C$7/'Investment Calculator'!$F$4,"")</f>
        <v/>
      </c>
      <c r="F519" s="27" t="str">
        <f>IFERROR(ABS(FV('Investment Calculator'!$C$7/'Investment Calculator'!$F$4,'SIP Schedule'!C519,'SIP Schedule'!D519,,1)),"")</f>
        <v/>
      </c>
    </row>
    <row r="520" spans="3:6" x14ac:dyDescent="0.3">
      <c r="C520" s="1" t="str">
        <f>IF(C519&lt;'Investment Calculator'!$C$8*'Investment Calculator'!$F$4,'SIP Schedule'!C519+1,"")</f>
        <v/>
      </c>
      <c r="D520" s="27" t="str">
        <f>IF(C520&lt;='Investment Calculator'!$C$8*'Investment Calculator'!$F$4,'Investment Calculator'!$C$6,"")</f>
        <v/>
      </c>
      <c r="E520" s="27" t="str">
        <f>IFERROR((F519+D520)*'Investment Calculator'!$C$7/'Investment Calculator'!$F$4,"")</f>
        <v/>
      </c>
      <c r="F520" s="27" t="str">
        <f>IFERROR(ABS(FV('Investment Calculator'!$C$7/'Investment Calculator'!$F$4,'SIP Schedule'!C520,'SIP Schedule'!D520,,1)),"")</f>
        <v/>
      </c>
    </row>
    <row r="521" spans="3:6" x14ac:dyDescent="0.3">
      <c r="C521" s="1" t="str">
        <f>IF(C520&lt;'Investment Calculator'!$C$8*'Investment Calculator'!$F$4,'SIP Schedule'!C520+1,"")</f>
        <v/>
      </c>
      <c r="D521" s="27" t="str">
        <f>IF(C521&lt;='Investment Calculator'!$C$8*'Investment Calculator'!$F$4,'Investment Calculator'!$C$6,"")</f>
        <v/>
      </c>
      <c r="E521" s="27" t="str">
        <f>IFERROR((F520+D521)*'Investment Calculator'!$C$7/'Investment Calculator'!$F$4,"")</f>
        <v/>
      </c>
      <c r="F521" s="27" t="str">
        <f>IFERROR(ABS(FV('Investment Calculator'!$C$7/'Investment Calculator'!$F$4,'SIP Schedule'!C521,'SIP Schedule'!D521,,1)),"")</f>
        <v/>
      </c>
    </row>
    <row r="522" spans="3:6" x14ac:dyDescent="0.3">
      <c r="C522" s="1" t="str">
        <f>IF(C521&lt;'Investment Calculator'!$C$8*'Investment Calculator'!$F$4,'SIP Schedule'!C521+1,"")</f>
        <v/>
      </c>
      <c r="D522" s="27" t="str">
        <f>IF(C522&lt;='Investment Calculator'!$C$8*'Investment Calculator'!$F$4,'Investment Calculator'!$C$6,"")</f>
        <v/>
      </c>
      <c r="E522" s="27" t="str">
        <f>IFERROR((F521+D522)*'Investment Calculator'!$C$7/'Investment Calculator'!$F$4,"")</f>
        <v/>
      </c>
      <c r="F522" s="27" t="str">
        <f>IFERROR(ABS(FV('Investment Calculator'!$C$7/'Investment Calculator'!$F$4,'SIP Schedule'!C522,'SIP Schedule'!D522,,1)),"")</f>
        <v/>
      </c>
    </row>
    <row r="523" spans="3:6" x14ac:dyDescent="0.3">
      <c r="C523" s="1" t="str">
        <f>IF(C522&lt;'Investment Calculator'!$C$8*'Investment Calculator'!$F$4,'SIP Schedule'!C522+1,"")</f>
        <v/>
      </c>
      <c r="D523" s="27" t="str">
        <f>IF(C523&lt;='Investment Calculator'!$C$8*'Investment Calculator'!$F$4,'Investment Calculator'!$C$6,"")</f>
        <v/>
      </c>
      <c r="E523" s="27" t="str">
        <f>IFERROR((F522+D523)*'Investment Calculator'!$C$7/'Investment Calculator'!$F$4,"")</f>
        <v/>
      </c>
      <c r="F523" s="27" t="str">
        <f>IFERROR(ABS(FV('Investment Calculator'!$C$7/'Investment Calculator'!$F$4,'SIP Schedule'!C523,'SIP Schedule'!D523,,1)),"")</f>
        <v/>
      </c>
    </row>
    <row r="524" spans="3:6" x14ac:dyDescent="0.3">
      <c r="C524" s="1" t="str">
        <f>IF(C523&lt;'Investment Calculator'!$C$8*'Investment Calculator'!$F$4,'SIP Schedule'!C523+1,"")</f>
        <v/>
      </c>
      <c r="D524" s="27" t="str">
        <f>IF(C524&lt;='Investment Calculator'!$C$8*'Investment Calculator'!$F$4,'Investment Calculator'!$C$6,"")</f>
        <v/>
      </c>
      <c r="E524" s="27" t="str">
        <f>IFERROR((F523+D524)*'Investment Calculator'!$C$7/'Investment Calculator'!$F$4,"")</f>
        <v/>
      </c>
      <c r="F524" s="27" t="str">
        <f>IFERROR(ABS(FV('Investment Calculator'!$C$7/'Investment Calculator'!$F$4,'SIP Schedule'!C524,'SIP Schedule'!D524,,1)),"")</f>
        <v/>
      </c>
    </row>
    <row r="525" spans="3:6" x14ac:dyDescent="0.3">
      <c r="C525" s="1" t="str">
        <f>IF(C524&lt;'Investment Calculator'!$C$8*'Investment Calculator'!$F$4,'SIP Schedule'!C524+1,"")</f>
        <v/>
      </c>
      <c r="D525" s="27" t="str">
        <f>IF(C525&lt;='Investment Calculator'!$C$8*'Investment Calculator'!$F$4,'Investment Calculator'!$C$6,"")</f>
        <v/>
      </c>
      <c r="E525" s="27" t="str">
        <f>IFERROR((F524+D525)*'Investment Calculator'!$C$7/'Investment Calculator'!$F$4,"")</f>
        <v/>
      </c>
      <c r="F525" s="27" t="str">
        <f>IFERROR(ABS(FV('Investment Calculator'!$C$7/'Investment Calculator'!$F$4,'SIP Schedule'!C525,'SIP Schedule'!D525,,1)),"")</f>
        <v/>
      </c>
    </row>
    <row r="526" spans="3:6" x14ac:dyDescent="0.3">
      <c r="C526" s="1" t="str">
        <f>IF(C525&lt;'Investment Calculator'!$C$8*'Investment Calculator'!$F$4,'SIP Schedule'!C525+1,"")</f>
        <v/>
      </c>
      <c r="D526" s="27" t="str">
        <f>IF(C526&lt;='Investment Calculator'!$C$8*'Investment Calculator'!$F$4,'Investment Calculator'!$C$6,"")</f>
        <v/>
      </c>
      <c r="E526" s="27" t="str">
        <f>IFERROR((F525+D526)*'Investment Calculator'!$C$7/'Investment Calculator'!$F$4,"")</f>
        <v/>
      </c>
      <c r="F526" s="27" t="str">
        <f>IFERROR(ABS(FV('Investment Calculator'!$C$7/'Investment Calculator'!$F$4,'SIP Schedule'!C526,'SIP Schedule'!D526,,1)),"")</f>
        <v/>
      </c>
    </row>
    <row r="527" spans="3:6" x14ac:dyDescent="0.3">
      <c r="C527" s="1" t="str">
        <f>IF(C526&lt;'Investment Calculator'!$C$8*'Investment Calculator'!$F$4,'SIP Schedule'!C526+1,"")</f>
        <v/>
      </c>
      <c r="D527" s="27" t="str">
        <f>IF(C527&lt;='Investment Calculator'!$C$8*'Investment Calculator'!$F$4,'Investment Calculator'!$C$6,"")</f>
        <v/>
      </c>
      <c r="E527" s="27" t="str">
        <f>IFERROR((F526+D527)*'Investment Calculator'!$C$7/'Investment Calculator'!$F$4,"")</f>
        <v/>
      </c>
      <c r="F527" s="27" t="str">
        <f>IFERROR(ABS(FV('Investment Calculator'!$C$7/'Investment Calculator'!$F$4,'SIP Schedule'!C527,'SIP Schedule'!D527,,1)),"")</f>
        <v/>
      </c>
    </row>
    <row r="528" spans="3:6" x14ac:dyDescent="0.3">
      <c r="C528" s="1" t="str">
        <f>IF(C527&lt;'Investment Calculator'!$C$8*'Investment Calculator'!$F$4,'SIP Schedule'!C527+1,"")</f>
        <v/>
      </c>
      <c r="D528" s="27" t="str">
        <f>IF(C528&lt;='Investment Calculator'!$C$8*'Investment Calculator'!$F$4,'Investment Calculator'!$C$6,"")</f>
        <v/>
      </c>
      <c r="E528" s="27" t="str">
        <f>IFERROR((F527+D528)*'Investment Calculator'!$C$7/'Investment Calculator'!$F$4,"")</f>
        <v/>
      </c>
      <c r="F528" s="27" t="str">
        <f>IFERROR(ABS(FV('Investment Calculator'!$C$7/'Investment Calculator'!$F$4,'SIP Schedule'!C528,'SIP Schedule'!D528,,1)),"")</f>
        <v/>
      </c>
    </row>
    <row r="529" spans="3:6" x14ac:dyDescent="0.3">
      <c r="C529" s="1" t="str">
        <f>IF(C528&lt;'Investment Calculator'!$C$8*'Investment Calculator'!$F$4,'SIP Schedule'!C528+1,"")</f>
        <v/>
      </c>
      <c r="D529" s="27" t="str">
        <f>IF(C529&lt;='Investment Calculator'!$C$8*'Investment Calculator'!$F$4,'Investment Calculator'!$C$6,"")</f>
        <v/>
      </c>
      <c r="E529" s="27" t="str">
        <f>IFERROR((F528+D529)*'Investment Calculator'!$C$7/'Investment Calculator'!$F$4,"")</f>
        <v/>
      </c>
      <c r="F529" s="27" t="str">
        <f>IFERROR(ABS(FV('Investment Calculator'!$C$7/'Investment Calculator'!$F$4,'SIP Schedule'!C529,'SIP Schedule'!D529,,1)),"")</f>
        <v/>
      </c>
    </row>
    <row r="530" spans="3:6" x14ac:dyDescent="0.3">
      <c r="C530" s="1" t="str">
        <f>IF(C529&lt;'Investment Calculator'!$C$8*'Investment Calculator'!$F$4,'SIP Schedule'!C529+1,"")</f>
        <v/>
      </c>
      <c r="D530" s="27" t="str">
        <f>IF(C530&lt;='Investment Calculator'!$C$8*'Investment Calculator'!$F$4,'Investment Calculator'!$C$6,"")</f>
        <v/>
      </c>
      <c r="E530" s="27" t="str">
        <f>IFERROR((F529+D530)*'Investment Calculator'!$C$7/'Investment Calculator'!$F$4,"")</f>
        <v/>
      </c>
      <c r="F530" s="27" t="str">
        <f>IFERROR(ABS(FV('Investment Calculator'!$C$7/'Investment Calculator'!$F$4,'SIP Schedule'!C530,'SIP Schedule'!D530,,1)),"")</f>
        <v/>
      </c>
    </row>
    <row r="531" spans="3:6" x14ac:dyDescent="0.3">
      <c r="C531" s="1" t="str">
        <f>IF(C530&lt;'Investment Calculator'!$C$8*'Investment Calculator'!$F$4,'SIP Schedule'!C530+1,"")</f>
        <v/>
      </c>
      <c r="D531" s="27" t="str">
        <f>IF(C531&lt;='Investment Calculator'!$C$8*'Investment Calculator'!$F$4,'Investment Calculator'!$C$6,"")</f>
        <v/>
      </c>
      <c r="E531" s="27" t="str">
        <f>IFERROR((F530+D531)*'Investment Calculator'!$C$7/'Investment Calculator'!$F$4,"")</f>
        <v/>
      </c>
      <c r="F531" s="27" t="str">
        <f>IFERROR(ABS(FV('Investment Calculator'!$C$7/'Investment Calculator'!$F$4,'SIP Schedule'!C531,'SIP Schedule'!D531,,1)),"")</f>
        <v/>
      </c>
    </row>
    <row r="532" spans="3:6" x14ac:dyDescent="0.3">
      <c r="C532" s="1" t="str">
        <f>IF(C531&lt;'Investment Calculator'!$C$8*'Investment Calculator'!$F$4,'SIP Schedule'!C531+1,"")</f>
        <v/>
      </c>
      <c r="D532" s="27" t="str">
        <f>IF(C532&lt;='Investment Calculator'!$C$8*'Investment Calculator'!$F$4,'Investment Calculator'!$C$6,"")</f>
        <v/>
      </c>
      <c r="E532" s="27" t="str">
        <f>IFERROR((F531+D532)*'Investment Calculator'!$C$7/'Investment Calculator'!$F$4,"")</f>
        <v/>
      </c>
      <c r="F532" s="27" t="str">
        <f>IFERROR(ABS(FV('Investment Calculator'!$C$7/'Investment Calculator'!$F$4,'SIP Schedule'!C532,'SIP Schedule'!D532,,1)),"")</f>
        <v/>
      </c>
    </row>
    <row r="533" spans="3:6" x14ac:dyDescent="0.3">
      <c r="C533" s="1" t="str">
        <f>IF(C532&lt;'Investment Calculator'!$C$8*'Investment Calculator'!$F$4,'SIP Schedule'!C532+1,"")</f>
        <v/>
      </c>
      <c r="D533" s="27" t="str">
        <f>IF(C533&lt;='Investment Calculator'!$C$8*'Investment Calculator'!$F$4,'Investment Calculator'!$C$6,"")</f>
        <v/>
      </c>
      <c r="E533" s="27" t="str">
        <f>IFERROR((F532+D533)*'Investment Calculator'!$C$7/'Investment Calculator'!$F$4,"")</f>
        <v/>
      </c>
      <c r="F533" s="27" t="str">
        <f>IFERROR(ABS(FV('Investment Calculator'!$C$7/'Investment Calculator'!$F$4,'SIP Schedule'!C533,'SIP Schedule'!D533,,1)),"")</f>
        <v/>
      </c>
    </row>
    <row r="534" spans="3:6" x14ac:dyDescent="0.3">
      <c r="C534" s="1" t="str">
        <f>IF(C533&lt;'Investment Calculator'!$C$8*'Investment Calculator'!$F$4,'SIP Schedule'!C533+1,"")</f>
        <v/>
      </c>
      <c r="D534" s="27" t="str">
        <f>IF(C534&lt;='Investment Calculator'!$C$8*'Investment Calculator'!$F$4,'Investment Calculator'!$C$6,"")</f>
        <v/>
      </c>
      <c r="E534" s="27" t="str">
        <f>IFERROR((F533+D534)*'Investment Calculator'!$C$7/'Investment Calculator'!$F$4,"")</f>
        <v/>
      </c>
      <c r="F534" s="27" t="str">
        <f>IFERROR(ABS(FV('Investment Calculator'!$C$7/'Investment Calculator'!$F$4,'SIP Schedule'!C534,'SIP Schedule'!D534,,1)),"")</f>
        <v/>
      </c>
    </row>
    <row r="535" spans="3:6" x14ac:dyDescent="0.3">
      <c r="C535" s="1" t="str">
        <f>IF(C534&lt;'Investment Calculator'!$C$8*'Investment Calculator'!$F$4,'SIP Schedule'!C534+1,"")</f>
        <v/>
      </c>
      <c r="D535" s="27" t="str">
        <f>IF(C535&lt;='Investment Calculator'!$C$8*'Investment Calculator'!$F$4,'Investment Calculator'!$C$6,"")</f>
        <v/>
      </c>
      <c r="E535" s="27" t="str">
        <f>IFERROR((F534+D535)*'Investment Calculator'!$C$7/'Investment Calculator'!$F$4,"")</f>
        <v/>
      </c>
      <c r="F535" s="27" t="str">
        <f>IFERROR(ABS(FV('Investment Calculator'!$C$7/'Investment Calculator'!$F$4,'SIP Schedule'!C535,'SIP Schedule'!D535,,1)),"")</f>
        <v/>
      </c>
    </row>
    <row r="536" spans="3:6" x14ac:dyDescent="0.3">
      <c r="C536" s="1" t="str">
        <f>IF(C535&lt;'Investment Calculator'!$C$8*'Investment Calculator'!$F$4,'SIP Schedule'!C535+1,"")</f>
        <v/>
      </c>
      <c r="D536" s="27" t="str">
        <f>IF(C536&lt;='Investment Calculator'!$C$8*'Investment Calculator'!$F$4,'Investment Calculator'!$C$6,"")</f>
        <v/>
      </c>
      <c r="E536" s="27" t="str">
        <f>IFERROR((F535+D536)*'Investment Calculator'!$C$7/'Investment Calculator'!$F$4,"")</f>
        <v/>
      </c>
      <c r="F536" s="27" t="str">
        <f>IFERROR(ABS(FV('Investment Calculator'!$C$7/'Investment Calculator'!$F$4,'SIP Schedule'!C536,'SIP Schedule'!D536,,1)),"")</f>
        <v/>
      </c>
    </row>
    <row r="537" spans="3:6" x14ac:dyDescent="0.3">
      <c r="C537" s="1" t="str">
        <f>IF(C536&lt;'Investment Calculator'!$C$8*'Investment Calculator'!$F$4,'SIP Schedule'!C536+1,"")</f>
        <v/>
      </c>
      <c r="D537" s="27" t="str">
        <f>IF(C537&lt;='Investment Calculator'!$C$8*'Investment Calculator'!$F$4,'Investment Calculator'!$C$6,"")</f>
        <v/>
      </c>
      <c r="E537" s="27" t="str">
        <f>IFERROR((F536+D537)*'Investment Calculator'!$C$7/'Investment Calculator'!$F$4,"")</f>
        <v/>
      </c>
      <c r="F537" s="27" t="str">
        <f>IFERROR(ABS(FV('Investment Calculator'!$C$7/'Investment Calculator'!$F$4,'SIP Schedule'!C537,'SIP Schedule'!D537,,1)),"")</f>
        <v/>
      </c>
    </row>
    <row r="538" spans="3:6" x14ac:dyDescent="0.3">
      <c r="C538" s="1" t="str">
        <f>IF(C537&lt;'Investment Calculator'!$C$8*'Investment Calculator'!$F$4,'SIP Schedule'!C537+1,"")</f>
        <v/>
      </c>
      <c r="D538" s="27" t="str">
        <f>IF(C538&lt;='Investment Calculator'!$C$8*'Investment Calculator'!$F$4,'Investment Calculator'!$C$6,"")</f>
        <v/>
      </c>
      <c r="E538" s="27" t="str">
        <f>IFERROR((F537+D538)*'Investment Calculator'!$C$7/'Investment Calculator'!$F$4,"")</f>
        <v/>
      </c>
      <c r="F538" s="27" t="str">
        <f>IFERROR(ABS(FV('Investment Calculator'!$C$7/'Investment Calculator'!$F$4,'SIP Schedule'!C538,'SIP Schedule'!D538,,1)),"")</f>
        <v/>
      </c>
    </row>
    <row r="539" spans="3:6" x14ac:dyDescent="0.3">
      <c r="C539" s="1" t="str">
        <f>IF(C538&lt;'Investment Calculator'!$C$8*'Investment Calculator'!$F$4,'SIP Schedule'!C538+1,"")</f>
        <v/>
      </c>
      <c r="D539" s="27" t="str">
        <f>IF(C539&lt;='Investment Calculator'!$C$8*'Investment Calculator'!$F$4,'Investment Calculator'!$C$6,"")</f>
        <v/>
      </c>
      <c r="E539" s="27" t="str">
        <f>IFERROR((F538+D539)*'Investment Calculator'!$C$7/'Investment Calculator'!$F$4,"")</f>
        <v/>
      </c>
      <c r="F539" s="27" t="str">
        <f>IFERROR(ABS(FV('Investment Calculator'!$C$7/'Investment Calculator'!$F$4,'SIP Schedule'!C539,'SIP Schedule'!D539,,1)),"")</f>
        <v/>
      </c>
    </row>
    <row r="540" spans="3:6" x14ac:dyDescent="0.3">
      <c r="C540" s="1" t="str">
        <f>IF(C539&lt;'Investment Calculator'!$C$8*'Investment Calculator'!$F$4,'SIP Schedule'!C539+1,"")</f>
        <v/>
      </c>
      <c r="D540" s="27" t="str">
        <f>IF(C540&lt;='Investment Calculator'!$C$8*'Investment Calculator'!$F$4,'Investment Calculator'!$C$6,"")</f>
        <v/>
      </c>
      <c r="E540" s="27" t="str">
        <f>IFERROR((F539+D540)*'Investment Calculator'!$C$7/'Investment Calculator'!$F$4,"")</f>
        <v/>
      </c>
      <c r="F540" s="27" t="str">
        <f>IFERROR(ABS(FV('Investment Calculator'!$C$7/'Investment Calculator'!$F$4,'SIP Schedule'!C540,'SIP Schedule'!D540,,1)),"")</f>
        <v/>
      </c>
    </row>
    <row r="541" spans="3:6" x14ac:dyDescent="0.3">
      <c r="C541" s="1" t="str">
        <f>IF(C540&lt;'Investment Calculator'!$C$8*'Investment Calculator'!$F$4,'SIP Schedule'!C540+1,"")</f>
        <v/>
      </c>
      <c r="D541" s="27" t="str">
        <f>IF(C541&lt;='Investment Calculator'!$C$8*'Investment Calculator'!$F$4,'Investment Calculator'!$C$6,"")</f>
        <v/>
      </c>
      <c r="E541" s="27" t="str">
        <f>IFERROR((F540+D541)*'Investment Calculator'!$C$7/'Investment Calculator'!$F$4,"")</f>
        <v/>
      </c>
      <c r="F541" s="27" t="str">
        <f>IFERROR(ABS(FV('Investment Calculator'!$C$7/'Investment Calculator'!$F$4,'SIP Schedule'!C541,'SIP Schedule'!D541,,1)),"")</f>
        <v/>
      </c>
    </row>
    <row r="542" spans="3:6" x14ac:dyDescent="0.3">
      <c r="C542" s="1" t="str">
        <f>IF(C541&lt;'Investment Calculator'!$C$8*'Investment Calculator'!$F$4,'SIP Schedule'!C541+1,"")</f>
        <v/>
      </c>
      <c r="D542" s="27" t="str">
        <f>IF(C542&lt;='Investment Calculator'!$C$8*'Investment Calculator'!$F$4,'Investment Calculator'!$C$6,"")</f>
        <v/>
      </c>
      <c r="E542" s="27" t="str">
        <f>IFERROR((F541+D542)*'Investment Calculator'!$C$7/'Investment Calculator'!$F$4,"")</f>
        <v/>
      </c>
      <c r="F542" s="27" t="str">
        <f>IFERROR(ABS(FV('Investment Calculator'!$C$7/'Investment Calculator'!$F$4,'SIP Schedule'!C542,'SIP Schedule'!D542,,1)),"")</f>
        <v/>
      </c>
    </row>
    <row r="543" spans="3:6" x14ac:dyDescent="0.3">
      <c r="C543" s="1" t="str">
        <f>IF(C542&lt;'Investment Calculator'!$C$8*'Investment Calculator'!$F$4,'SIP Schedule'!C542+1,"")</f>
        <v/>
      </c>
      <c r="D543" s="27" t="str">
        <f>IF(C543&lt;='Investment Calculator'!$C$8*'Investment Calculator'!$F$4,'Investment Calculator'!$C$6,"")</f>
        <v/>
      </c>
      <c r="E543" s="27" t="str">
        <f>IFERROR((F542+D543)*'Investment Calculator'!$C$7/'Investment Calculator'!$F$4,"")</f>
        <v/>
      </c>
      <c r="F543" s="27" t="str">
        <f>IFERROR(ABS(FV('Investment Calculator'!$C$7/'Investment Calculator'!$F$4,'SIP Schedule'!C543,'SIP Schedule'!D543,,1)),"")</f>
        <v/>
      </c>
    </row>
    <row r="544" spans="3:6" x14ac:dyDescent="0.3">
      <c r="C544" s="1" t="str">
        <f>IF(C543&lt;'Investment Calculator'!$C$8*'Investment Calculator'!$F$4,'SIP Schedule'!C543+1,"")</f>
        <v/>
      </c>
      <c r="D544" s="27" t="str">
        <f>IF(C544&lt;='Investment Calculator'!$C$8*'Investment Calculator'!$F$4,'Investment Calculator'!$C$6,"")</f>
        <v/>
      </c>
      <c r="E544" s="27" t="str">
        <f>IFERROR((F543+D544)*'Investment Calculator'!$C$7/'Investment Calculator'!$F$4,"")</f>
        <v/>
      </c>
      <c r="F544" s="27" t="str">
        <f>IFERROR(ABS(FV('Investment Calculator'!$C$7/'Investment Calculator'!$F$4,'SIP Schedule'!C544,'SIP Schedule'!D544,,1)),"")</f>
        <v/>
      </c>
    </row>
    <row r="545" spans="3:6" x14ac:dyDescent="0.3">
      <c r="C545" s="1" t="str">
        <f>IF(C544&lt;'Investment Calculator'!$C$8*'Investment Calculator'!$F$4,'SIP Schedule'!C544+1,"")</f>
        <v/>
      </c>
      <c r="D545" s="27" t="str">
        <f>IF(C545&lt;='Investment Calculator'!$C$8*'Investment Calculator'!$F$4,'Investment Calculator'!$C$6,"")</f>
        <v/>
      </c>
      <c r="E545" s="27" t="str">
        <f>IFERROR((F544+D545)*'Investment Calculator'!$C$7/'Investment Calculator'!$F$4,"")</f>
        <v/>
      </c>
      <c r="F545" s="27" t="str">
        <f>IFERROR(ABS(FV('Investment Calculator'!$C$7/'Investment Calculator'!$F$4,'SIP Schedule'!C545,'SIP Schedule'!D545,,1)),"")</f>
        <v/>
      </c>
    </row>
    <row r="546" spans="3:6" x14ac:dyDescent="0.3">
      <c r="C546" s="1" t="str">
        <f>IF(C545&lt;'Investment Calculator'!$C$8*'Investment Calculator'!$F$4,'SIP Schedule'!C545+1,"")</f>
        <v/>
      </c>
      <c r="D546" s="27" t="str">
        <f>IF(C546&lt;='Investment Calculator'!$C$8*'Investment Calculator'!$F$4,'Investment Calculator'!$C$6,"")</f>
        <v/>
      </c>
      <c r="E546" s="27" t="str">
        <f>IFERROR((F545+D546)*'Investment Calculator'!$C$7/'Investment Calculator'!$F$4,"")</f>
        <v/>
      </c>
      <c r="F546" s="27" t="str">
        <f>IFERROR(ABS(FV('Investment Calculator'!$C$7/'Investment Calculator'!$F$4,'SIP Schedule'!C546,'SIP Schedule'!D546,,1)),"")</f>
        <v/>
      </c>
    </row>
    <row r="547" spans="3:6" x14ac:dyDescent="0.3">
      <c r="C547" s="1" t="str">
        <f>IF(C546&lt;'Investment Calculator'!$C$8*'Investment Calculator'!$F$4,'SIP Schedule'!C546+1,"")</f>
        <v/>
      </c>
      <c r="D547" s="27" t="str">
        <f>IF(C547&lt;='Investment Calculator'!$C$8*'Investment Calculator'!$F$4,'Investment Calculator'!$C$6,"")</f>
        <v/>
      </c>
      <c r="E547" s="27" t="str">
        <f>IFERROR((F546+D547)*'Investment Calculator'!$C$7/'Investment Calculator'!$F$4,"")</f>
        <v/>
      </c>
      <c r="F547" s="27" t="str">
        <f>IFERROR(ABS(FV('Investment Calculator'!$C$7/'Investment Calculator'!$F$4,'SIP Schedule'!C547,'SIP Schedule'!D547,,1)),"")</f>
        <v/>
      </c>
    </row>
    <row r="548" spans="3:6" x14ac:dyDescent="0.3">
      <c r="C548" s="1" t="str">
        <f>IF(C547&lt;'Investment Calculator'!$C$8*'Investment Calculator'!$F$4,'SIP Schedule'!C547+1,"")</f>
        <v/>
      </c>
      <c r="D548" s="27" t="str">
        <f>IF(C548&lt;='Investment Calculator'!$C$8*'Investment Calculator'!$F$4,'Investment Calculator'!$C$6,"")</f>
        <v/>
      </c>
      <c r="E548" s="27" t="str">
        <f>IFERROR((F547+D548)*'Investment Calculator'!$C$7/'Investment Calculator'!$F$4,"")</f>
        <v/>
      </c>
      <c r="F548" s="27" t="str">
        <f>IFERROR(ABS(FV('Investment Calculator'!$C$7/'Investment Calculator'!$F$4,'SIP Schedule'!C548,'SIP Schedule'!D548,,1)),"")</f>
        <v/>
      </c>
    </row>
    <row r="549" spans="3:6" x14ac:dyDescent="0.3">
      <c r="C549" s="1" t="str">
        <f>IF(C548&lt;'Investment Calculator'!$C$8*'Investment Calculator'!$F$4,'SIP Schedule'!C548+1,"")</f>
        <v/>
      </c>
      <c r="D549" s="27" t="str">
        <f>IF(C549&lt;='Investment Calculator'!$C$8*'Investment Calculator'!$F$4,'Investment Calculator'!$C$6,"")</f>
        <v/>
      </c>
      <c r="E549" s="27" t="str">
        <f>IFERROR((F548+D549)*'Investment Calculator'!$C$7/'Investment Calculator'!$F$4,"")</f>
        <v/>
      </c>
      <c r="F549" s="27" t="str">
        <f>IFERROR(ABS(FV('Investment Calculator'!$C$7/'Investment Calculator'!$F$4,'SIP Schedule'!C549,'SIP Schedule'!D549,,1)),"")</f>
        <v/>
      </c>
    </row>
    <row r="550" spans="3:6" x14ac:dyDescent="0.3">
      <c r="C550" s="1" t="str">
        <f>IF(C549&lt;'Investment Calculator'!$C$8*'Investment Calculator'!$F$4,'SIP Schedule'!C549+1,"")</f>
        <v/>
      </c>
      <c r="D550" s="27" t="str">
        <f>IF(C550&lt;='Investment Calculator'!$C$8*'Investment Calculator'!$F$4,'Investment Calculator'!$C$6,"")</f>
        <v/>
      </c>
      <c r="E550" s="27" t="str">
        <f>IFERROR((F549+D550)*'Investment Calculator'!$C$7/'Investment Calculator'!$F$4,"")</f>
        <v/>
      </c>
      <c r="F550" s="27" t="str">
        <f>IFERROR(ABS(FV('Investment Calculator'!$C$7/'Investment Calculator'!$F$4,'SIP Schedule'!C550,'SIP Schedule'!D550,,1)),"")</f>
        <v/>
      </c>
    </row>
    <row r="551" spans="3:6" x14ac:dyDescent="0.3">
      <c r="C551" s="1" t="str">
        <f>IF(C550&lt;'Investment Calculator'!$C$8*'Investment Calculator'!$F$4,'SIP Schedule'!C550+1,"")</f>
        <v/>
      </c>
      <c r="D551" s="27" t="str">
        <f>IF(C551&lt;='Investment Calculator'!$C$8*'Investment Calculator'!$F$4,'Investment Calculator'!$C$6,"")</f>
        <v/>
      </c>
      <c r="E551" s="27" t="str">
        <f>IFERROR((F550+D551)*'Investment Calculator'!$C$7/'Investment Calculator'!$F$4,"")</f>
        <v/>
      </c>
      <c r="F551" s="27" t="str">
        <f>IFERROR(ABS(FV('Investment Calculator'!$C$7/'Investment Calculator'!$F$4,'SIP Schedule'!C551,'SIP Schedule'!D551,,1)),"")</f>
        <v/>
      </c>
    </row>
    <row r="552" spans="3:6" x14ac:dyDescent="0.3">
      <c r="C552" s="1" t="str">
        <f>IF(C551&lt;'Investment Calculator'!$C$8*'Investment Calculator'!$F$4,'SIP Schedule'!C551+1,"")</f>
        <v/>
      </c>
      <c r="D552" s="27" t="str">
        <f>IF(C552&lt;='Investment Calculator'!$C$8*'Investment Calculator'!$F$4,'Investment Calculator'!$C$6,"")</f>
        <v/>
      </c>
      <c r="E552" s="27" t="str">
        <f>IFERROR((F551+D552)*'Investment Calculator'!$C$7/'Investment Calculator'!$F$4,"")</f>
        <v/>
      </c>
      <c r="F552" s="27" t="str">
        <f>IFERROR(ABS(FV('Investment Calculator'!$C$7/'Investment Calculator'!$F$4,'SIP Schedule'!C552,'SIP Schedule'!D552,,1)),"")</f>
        <v/>
      </c>
    </row>
    <row r="553" spans="3:6" x14ac:dyDescent="0.3">
      <c r="C553" s="1" t="str">
        <f>IF(C552&lt;'Investment Calculator'!$C$8*'Investment Calculator'!$F$4,'SIP Schedule'!C552+1,"")</f>
        <v/>
      </c>
      <c r="D553" s="27" t="str">
        <f>IF(C553&lt;='Investment Calculator'!$C$8*'Investment Calculator'!$F$4,'Investment Calculator'!$C$6,"")</f>
        <v/>
      </c>
      <c r="E553" s="27" t="str">
        <f>IFERROR((F552+D553)*'Investment Calculator'!$C$7/'Investment Calculator'!$F$4,"")</f>
        <v/>
      </c>
      <c r="F553" s="27" t="str">
        <f>IFERROR(ABS(FV('Investment Calculator'!$C$7/'Investment Calculator'!$F$4,'SIP Schedule'!C553,'SIP Schedule'!D553,,1)),"")</f>
        <v/>
      </c>
    </row>
    <row r="554" spans="3:6" x14ac:dyDescent="0.3">
      <c r="C554" s="1" t="str">
        <f>IF(C553&lt;'Investment Calculator'!$C$8*'Investment Calculator'!$F$4,'SIP Schedule'!C553+1,"")</f>
        <v/>
      </c>
      <c r="D554" s="27" t="str">
        <f>IF(C554&lt;='Investment Calculator'!$C$8*'Investment Calculator'!$F$4,'Investment Calculator'!$C$6,"")</f>
        <v/>
      </c>
      <c r="E554" s="27" t="str">
        <f>IFERROR((F553+D554)*'Investment Calculator'!$C$7/'Investment Calculator'!$F$4,"")</f>
        <v/>
      </c>
      <c r="F554" s="27" t="str">
        <f>IFERROR(ABS(FV('Investment Calculator'!$C$7/'Investment Calculator'!$F$4,'SIP Schedule'!C554,'SIP Schedule'!D554,,1)),"")</f>
        <v/>
      </c>
    </row>
    <row r="555" spans="3:6" x14ac:dyDescent="0.3">
      <c r="C555" s="1" t="str">
        <f>IF(C554&lt;'Investment Calculator'!$C$8*'Investment Calculator'!$F$4,'SIP Schedule'!C554+1,"")</f>
        <v/>
      </c>
      <c r="D555" s="27" t="str">
        <f>IF(C555&lt;='Investment Calculator'!$C$8*'Investment Calculator'!$F$4,'Investment Calculator'!$C$6,"")</f>
        <v/>
      </c>
      <c r="E555" s="27" t="str">
        <f>IFERROR((F554+D555)*'Investment Calculator'!$C$7/'Investment Calculator'!$F$4,"")</f>
        <v/>
      </c>
      <c r="F555" s="27" t="str">
        <f>IFERROR(ABS(FV('Investment Calculator'!$C$7/'Investment Calculator'!$F$4,'SIP Schedule'!C555,'SIP Schedule'!D555,,1)),"")</f>
        <v/>
      </c>
    </row>
    <row r="556" spans="3:6" x14ac:dyDescent="0.3">
      <c r="C556" s="1" t="str">
        <f>IF(C555&lt;'Investment Calculator'!$C$8*'Investment Calculator'!$F$4,'SIP Schedule'!C555+1,"")</f>
        <v/>
      </c>
      <c r="D556" s="27" t="str">
        <f>IF(C556&lt;='Investment Calculator'!$C$8*'Investment Calculator'!$F$4,'Investment Calculator'!$C$6,"")</f>
        <v/>
      </c>
      <c r="E556" s="27" t="str">
        <f>IFERROR((F555+D556)*'Investment Calculator'!$C$7/'Investment Calculator'!$F$4,"")</f>
        <v/>
      </c>
      <c r="F556" s="27" t="str">
        <f>IFERROR(ABS(FV('Investment Calculator'!$C$7/'Investment Calculator'!$F$4,'SIP Schedule'!C556,'SIP Schedule'!D556,,1)),"")</f>
        <v/>
      </c>
    </row>
    <row r="557" spans="3:6" x14ac:dyDescent="0.3">
      <c r="C557" s="1" t="str">
        <f>IF(C556&lt;'Investment Calculator'!$C$8*'Investment Calculator'!$F$4,'SIP Schedule'!C556+1,"")</f>
        <v/>
      </c>
      <c r="D557" s="27" t="str">
        <f>IF(C557&lt;='Investment Calculator'!$C$8*'Investment Calculator'!$F$4,'Investment Calculator'!$C$6,"")</f>
        <v/>
      </c>
      <c r="E557" s="27" t="str">
        <f>IFERROR((F556+D557)*'Investment Calculator'!$C$7/'Investment Calculator'!$F$4,"")</f>
        <v/>
      </c>
      <c r="F557" s="27" t="str">
        <f>IFERROR(ABS(FV('Investment Calculator'!$C$7/'Investment Calculator'!$F$4,'SIP Schedule'!C557,'SIP Schedule'!D557,,1)),"")</f>
        <v/>
      </c>
    </row>
    <row r="558" spans="3:6" x14ac:dyDescent="0.3">
      <c r="C558" s="1" t="str">
        <f>IF(C557&lt;'Investment Calculator'!$C$8*'Investment Calculator'!$F$4,'SIP Schedule'!C557+1,"")</f>
        <v/>
      </c>
      <c r="D558" s="27" t="str">
        <f>IF(C558&lt;='Investment Calculator'!$C$8*'Investment Calculator'!$F$4,'Investment Calculator'!$C$6,"")</f>
        <v/>
      </c>
      <c r="E558" s="27" t="str">
        <f>IFERROR((F557+D558)*'Investment Calculator'!$C$7/'Investment Calculator'!$F$4,"")</f>
        <v/>
      </c>
      <c r="F558" s="27" t="str">
        <f>IFERROR(ABS(FV('Investment Calculator'!$C$7/'Investment Calculator'!$F$4,'SIP Schedule'!C558,'SIP Schedule'!D558,,1)),"")</f>
        <v/>
      </c>
    </row>
    <row r="559" spans="3:6" x14ac:dyDescent="0.3">
      <c r="C559" s="1" t="str">
        <f>IF(C558&lt;'Investment Calculator'!$C$8*'Investment Calculator'!$F$4,'SIP Schedule'!C558+1,"")</f>
        <v/>
      </c>
      <c r="D559" s="27" t="str">
        <f>IF(C559&lt;='Investment Calculator'!$C$8*'Investment Calculator'!$F$4,'Investment Calculator'!$C$6,"")</f>
        <v/>
      </c>
      <c r="E559" s="27" t="str">
        <f>IFERROR((F558+D559)*'Investment Calculator'!$C$7/'Investment Calculator'!$F$4,"")</f>
        <v/>
      </c>
      <c r="F559" s="27" t="str">
        <f>IFERROR(ABS(FV('Investment Calculator'!$C$7/'Investment Calculator'!$F$4,'SIP Schedule'!C559,'SIP Schedule'!D559,,1)),"")</f>
        <v/>
      </c>
    </row>
    <row r="560" spans="3:6" x14ac:dyDescent="0.3">
      <c r="C560" s="1" t="str">
        <f>IF(C559&lt;'Investment Calculator'!$C$8*'Investment Calculator'!$F$4,'SIP Schedule'!C559+1,"")</f>
        <v/>
      </c>
      <c r="D560" s="27" t="str">
        <f>IF(C560&lt;='Investment Calculator'!$C$8*'Investment Calculator'!$F$4,'Investment Calculator'!$C$6,"")</f>
        <v/>
      </c>
      <c r="E560" s="27" t="str">
        <f>IFERROR((F559+D560)*'Investment Calculator'!$C$7/'Investment Calculator'!$F$4,"")</f>
        <v/>
      </c>
      <c r="F560" s="27" t="str">
        <f>IFERROR(ABS(FV('Investment Calculator'!$C$7/'Investment Calculator'!$F$4,'SIP Schedule'!C560,'SIP Schedule'!D560,,1)),"")</f>
        <v/>
      </c>
    </row>
    <row r="561" spans="3:6" x14ac:dyDescent="0.3">
      <c r="C561" s="1" t="str">
        <f>IF(C560&lt;'Investment Calculator'!$C$8*'Investment Calculator'!$F$4,'SIP Schedule'!C560+1,"")</f>
        <v/>
      </c>
      <c r="D561" s="27" t="str">
        <f>IF(C561&lt;='Investment Calculator'!$C$8*'Investment Calculator'!$F$4,'Investment Calculator'!$C$6,"")</f>
        <v/>
      </c>
      <c r="E561" s="27" t="str">
        <f>IFERROR((F560+D561)*'Investment Calculator'!$C$7/'Investment Calculator'!$F$4,"")</f>
        <v/>
      </c>
      <c r="F561" s="27" t="str">
        <f>IFERROR(ABS(FV('Investment Calculator'!$C$7/'Investment Calculator'!$F$4,'SIP Schedule'!C561,'SIP Schedule'!D561,,1)),"")</f>
        <v/>
      </c>
    </row>
    <row r="562" spans="3:6" x14ac:dyDescent="0.3">
      <c r="C562" s="1" t="str">
        <f>IF(C561&lt;'Investment Calculator'!$C$8*'Investment Calculator'!$F$4,'SIP Schedule'!C561+1,"")</f>
        <v/>
      </c>
      <c r="D562" s="27" t="str">
        <f>IF(C562&lt;='Investment Calculator'!$C$8*'Investment Calculator'!$F$4,'Investment Calculator'!$C$6,"")</f>
        <v/>
      </c>
      <c r="E562" s="27" t="str">
        <f>IFERROR((F561+D562)*'Investment Calculator'!$C$7/'Investment Calculator'!$F$4,"")</f>
        <v/>
      </c>
      <c r="F562" s="27" t="str">
        <f>IFERROR(ABS(FV('Investment Calculator'!$C$7/'Investment Calculator'!$F$4,'SIP Schedule'!C562,'SIP Schedule'!D562,,1)),"")</f>
        <v/>
      </c>
    </row>
    <row r="563" spans="3:6" x14ac:dyDescent="0.3">
      <c r="C563" s="1" t="str">
        <f>IF(C562&lt;'Investment Calculator'!$C$8*'Investment Calculator'!$F$4,'SIP Schedule'!C562+1,"")</f>
        <v/>
      </c>
      <c r="D563" s="27" t="str">
        <f>IF(C563&lt;='Investment Calculator'!$C$8*'Investment Calculator'!$F$4,'Investment Calculator'!$C$6,"")</f>
        <v/>
      </c>
      <c r="E563" s="27" t="str">
        <f>IFERROR((F562+D563)*'Investment Calculator'!$C$7/'Investment Calculator'!$F$4,"")</f>
        <v/>
      </c>
      <c r="F563" s="27" t="str">
        <f>IFERROR(ABS(FV('Investment Calculator'!$C$7/'Investment Calculator'!$F$4,'SIP Schedule'!C563,'SIP Schedule'!D563,,1)),"")</f>
        <v/>
      </c>
    </row>
    <row r="564" spans="3:6" x14ac:dyDescent="0.3">
      <c r="C564" s="1" t="str">
        <f>IF(C563&lt;'Investment Calculator'!$C$8*'Investment Calculator'!$F$4,'SIP Schedule'!C563+1,"")</f>
        <v/>
      </c>
      <c r="D564" s="27" t="str">
        <f>IF(C564&lt;='Investment Calculator'!$C$8*'Investment Calculator'!$F$4,'Investment Calculator'!$C$6,"")</f>
        <v/>
      </c>
      <c r="E564" s="27" t="str">
        <f>IFERROR((F563+D564)*'Investment Calculator'!$C$7/'Investment Calculator'!$F$4,"")</f>
        <v/>
      </c>
      <c r="F564" s="27" t="str">
        <f>IFERROR(ABS(FV('Investment Calculator'!$C$7/'Investment Calculator'!$F$4,'SIP Schedule'!C564,'SIP Schedule'!D564,,1)),"")</f>
        <v/>
      </c>
    </row>
    <row r="565" spans="3:6" x14ac:dyDescent="0.3">
      <c r="C565" s="1" t="str">
        <f>IF(C564&lt;'Investment Calculator'!$C$8*'Investment Calculator'!$F$4,'SIP Schedule'!C564+1,"")</f>
        <v/>
      </c>
      <c r="D565" s="27" t="str">
        <f>IF(C565&lt;='Investment Calculator'!$C$8*'Investment Calculator'!$F$4,'Investment Calculator'!$C$6,"")</f>
        <v/>
      </c>
      <c r="E565" s="27" t="str">
        <f>IFERROR((F564+D565)*'Investment Calculator'!$C$7/'Investment Calculator'!$F$4,"")</f>
        <v/>
      </c>
      <c r="F565" s="27" t="str">
        <f>IFERROR(ABS(FV('Investment Calculator'!$C$7/'Investment Calculator'!$F$4,'SIP Schedule'!C565,'SIP Schedule'!D565,,1)),"")</f>
        <v/>
      </c>
    </row>
    <row r="566" spans="3:6" x14ac:dyDescent="0.3">
      <c r="C566" s="1" t="str">
        <f>IF(C565&lt;'Investment Calculator'!$C$8*'Investment Calculator'!$F$4,'SIP Schedule'!C565+1,"")</f>
        <v/>
      </c>
      <c r="D566" s="27" t="str">
        <f>IF(C566&lt;='Investment Calculator'!$C$8*'Investment Calculator'!$F$4,'Investment Calculator'!$C$6,"")</f>
        <v/>
      </c>
      <c r="E566" s="27" t="str">
        <f>IFERROR((F565+D566)*'Investment Calculator'!$C$7/'Investment Calculator'!$F$4,"")</f>
        <v/>
      </c>
      <c r="F566" s="27" t="str">
        <f>IFERROR(ABS(FV('Investment Calculator'!$C$7/'Investment Calculator'!$F$4,'SIP Schedule'!C566,'SIP Schedule'!D566,,1)),"")</f>
        <v/>
      </c>
    </row>
    <row r="567" spans="3:6" x14ac:dyDescent="0.3">
      <c r="C567" s="1" t="str">
        <f>IF(C566&lt;'Investment Calculator'!$C$8*'Investment Calculator'!$F$4,'SIP Schedule'!C566+1,"")</f>
        <v/>
      </c>
      <c r="D567" s="27" t="str">
        <f>IF(C567&lt;='Investment Calculator'!$C$8*'Investment Calculator'!$F$4,'Investment Calculator'!$C$6,"")</f>
        <v/>
      </c>
      <c r="E567" s="27" t="str">
        <f>IFERROR((F566+D567)*'Investment Calculator'!$C$7/'Investment Calculator'!$F$4,"")</f>
        <v/>
      </c>
      <c r="F567" s="27" t="str">
        <f>IFERROR(ABS(FV('Investment Calculator'!$C$7/'Investment Calculator'!$F$4,'SIP Schedule'!C567,'SIP Schedule'!D567,,1)),"")</f>
        <v/>
      </c>
    </row>
    <row r="568" spans="3:6" x14ac:dyDescent="0.3">
      <c r="C568" s="1" t="str">
        <f>IF(C567&lt;'Investment Calculator'!$C$8*'Investment Calculator'!$F$4,'SIP Schedule'!C567+1,"")</f>
        <v/>
      </c>
      <c r="D568" s="27" t="str">
        <f>IF(C568&lt;='Investment Calculator'!$C$8*'Investment Calculator'!$F$4,'Investment Calculator'!$C$6,"")</f>
        <v/>
      </c>
      <c r="E568" s="27" t="str">
        <f>IFERROR((F567+D568)*'Investment Calculator'!$C$7/'Investment Calculator'!$F$4,"")</f>
        <v/>
      </c>
      <c r="F568" s="27" t="str">
        <f>IFERROR(ABS(FV('Investment Calculator'!$C$7/'Investment Calculator'!$F$4,'SIP Schedule'!C568,'SIP Schedule'!D568,,1)),"")</f>
        <v/>
      </c>
    </row>
    <row r="569" spans="3:6" x14ac:dyDescent="0.3">
      <c r="C569" s="1" t="str">
        <f>IF(C568&lt;'Investment Calculator'!$C$8*'Investment Calculator'!$F$4,'SIP Schedule'!C568+1,"")</f>
        <v/>
      </c>
      <c r="D569" s="27" t="str">
        <f>IF(C569&lt;='Investment Calculator'!$C$8*'Investment Calculator'!$F$4,'Investment Calculator'!$C$6,"")</f>
        <v/>
      </c>
      <c r="E569" s="27" t="str">
        <f>IFERROR((F568+D569)*'Investment Calculator'!$C$7/'Investment Calculator'!$F$4,"")</f>
        <v/>
      </c>
      <c r="F569" s="27" t="str">
        <f>IFERROR(ABS(FV('Investment Calculator'!$C$7/'Investment Calculator'!$F$4,'SIP Schedule'!C569,'SIP Schedule'!D569,,1)),"")</f>
        <v/>
      </c>
    </row>
    <row r="570" spans="3:6" x14ac:dyDescent="0.3">
      <c r="C570" s="1" t="str">
        <f>IF(C569&lt;'Investment Calculator'!$C$8*'Investment Calculator'!$F$4,'SIP Schedule'!C569+1,"")</f>
        <v/>
      </c>
      <c r="D570" s="27" t="str">
        <f>IF(C570&lt;='Investment Calculator'!$C$8*'Investment Calculator'!$F$4,'Investment Calculator'!$C$6,"")</f>
        <v/>
      </c>
      <c r="E570" s="27" t="str">
        <f>IFERROR((F569+D570)*'Investment Calculator'!$C$7/'Investment Calculator'!$F$4,"")</f>
        <v/>
      </c>
      <c r="F570" s="27" t="str">
        <f>IFERROR(ABS(FV('Investment Calculator'!$C$7/'Investment Calculator'!$F$4,'SIP Schedule'!C570,'SIP Schedule'!D570,,1)),"")</f>
        <v/>
      </c>
    </row>
    <row r="571" spans="3:6" x14ac:dyDescent="0.3">
      <c r="C571" s="1" t="str">
        <f>IF(C570&lt;'Investment Calculator'!$C$8*'Investment Calculator'!$F$4,'SIP Schedule'!C570+1,"")</f>
        <v/>
      </c>
      <c r="D571" s="27" t="str">
        <f>IF(C571&lt;='Investment Calculator'!$C$8*'Investment Calculator'!$F$4,'Investment Calculator'!$C$6,"")</f>
        <v/>
      </c>
      <c r="E571" s="27" t="str">
        <f>IFERROR((F570+D571)*'Investment Calculator'!$C$7/'Investment Calculator'!$F$4,"")</f>
        <v/>
      </c>
      <c r="F571" s="27" t="str">
        <f>IFERROR(ABS(FV('Investment Calculator'!$C$7/'Investment Calculator'!$F$4,'SIP Schedule'!C571,'SIP Schedule'!D571,,1)),"")</f>
        <v/>
      </c>
    </row>
    <row r="572" spans="3:6" x14ac:dyDescent="0.3">
      <c r="C572" s="1" t="str">
        <f>IF(C571&lt;'Investment Calculator'!$C$8*'Investment Calculator'!$F$4,'SIP Schedule'!C571+1,"")</f>
        <v/>
      </c>
      <c r="D572" s="27" t="str">
        <f>IF(C572&lt;='Investment Calculator'!$C$8*'Investment Calculator'!$F$4,'Investment Calculator'!$C$6,"")</f>
        <v/>
      </c>
      <c r="E572" s="27" t="str">
        <f>IFERROR((F571+D572)*'Investment Calculator'!$C$7/'Investment Calculator'!$F$4,"")</f>
        <v/>
      </c>
      <c r="F572" s="27" t="str">
        <f>IFERROR(ABS(FV('Investment Calculator'!$C$7/'Investment Calculator'!$F$4,'SIP Schedule'!C572,'SIP Schedule'!D572,,1)),"")</f>
        <v/>
      </c>
    </row>
    <row r="573" spans="3:6" x14ac:dyDescent="0.3">
      <c r="C573" s="1" t="str">
        <f>IF(C572&lt;'Investment Calculator'!$C$8*'Investment Calculator'!$F$4,'SIP Schedule'!C572+1,"")</f>
        <v/>
      </c>
      <c r="D573" s="27" t="str">
        <f>IF(C573&lt;='Investment Calculator'!$C$8*'Investment Calculator'!$F$4,'Investment Calculator'!$C$6,"")</f>
        <v/>
      </c>
      <c r="E573" s="27" t="str">
        <f>IFERROR((F572+D573)*'Investment Calculator'!$C$7/'Investment Calculator'!$F$4,"")</f>
        <v/>
      </c>
      <c r="F573" s="27" t="str">
        <f>IFERROR(ABS(FV('Investment Calculator'!$C$7/'Investment Calculator'!$F$4,'SIP Schedule'!C573,'SIP Schedule'!D573,,1)),"")</f>
        <v/>
      </c>
    </row>
    <row r="574" spans="3:6" x14ac:dyDescent="0.3">
      <c r="C574" s="1" t="str">
        <f>IF(C573&lt;'Investment Calculator'!$C$8*'Investment Calculator'!$F$4,'SIP Schedule'!C573+1,"")</f>
        <v/>
      </c>
      <c r="D574" s="27" t="str">
        <f>IF(C574&lt;='Investment Calculator'!$C$8*'Investment Calculator'!$F$4,'Investment Calculator'!$C$6,"")</f>
        <v/>
      </c>
      <c r="E574" s="27" t="str">
        <f>IFERROR((F573+D574)*'Investment Calculator'!$C$7/'Investment Calculator'!$F$4,"")</f>
        <v/>
      </c>
      <c r="F574" s="27" t="str">
        <f>IFERROR(ABS(FV('Investment Calculator'!$C$7/'Investment Calculator'!$F$4,'SIP Schedule'!C574,'SIP Schedule'!D574,,1)),"")</f>
        <v/>
      </c>
    </row>
    <row r="575" spans="3:6" x14ac:dyDescent="0.3">
      <c r="C575" s="1" t="str">
        <f>IF(C574&lt;'Investment Calculator'!$C$8*'Investment Calculator'!$F$4,'SIP Schedule'!C574+1,"")</f>
        <v/>
      </c>
      <c r="D575" s="27" t="str">
        <f>IF(C575&lt;='Investment Calculator'!$C$8*'Investment Calculator'!$F$4,'Investment Calculator'!$C$6,"")</f>
        <v/>
      </c>
      <c r="E575" s="27" t="str">
        <f>IFERROR((F574+D575)*'Investment Calculator'!$C$7/'Investment Calculator'!$F$4,"")</f>
        <v/>
      </c>
      <c r="F575" s="27" t="str">
        <f>IFERROR(ABS(FV('Investment Calculator'!$C$7/'Investment Calculator'!$F$4,'SIP Schedule'!C575,'SIP Schedule'!D575,,1)),"")</f>
        <v/>
      </c>
    </row>
    <row r="576" spans="3:6" x14ac:dyDescent="0.3">
      <c r="C576" s="1" t="str">
        <f>IF(C575&lt;'Investment Calculator'!$C$8*'Investment Calculator'!$F$4,'SIP Schedule'!C575+1,"")</f>
        <v/>
      </c>
      <c r="D576" s="27" t="str">
        <f>IF(C576&lt;='Investment Calculator'!$C$8*'Investment Calculator'!$F$4,'Investment Calculator'!$C$6,"")</f>
        <v/>
      </c>
      <c r="E576" s="27" t="str">
        <f>IFERROR((F575+D576)*'Investment Calculator'!$C$7/'Investment Calculator'!$F$4,"")</f>
        <v/>
      </c>
      <c r="F576" s="27" t="str">
        <f>IFERROR(ABS(FV('Investment Calculator'!$C$7/'Investment Calculator'!$F$4,'SIP Schedule'!C576,'SIP Schedule'!D576,,1)),"")</f>
        <v/>
      </c>
    </row>
    <row r="577" spans="3:6" x14ac:dyDescent="0.3">
      <c r="C577" s="1" t="str">
        <f>IF(C576&lt;'Investment Calculator'!$C$8*'Investment Calculator'!$F$4,'SIP Schedule'!C576+1,"")</f>
        <v/>
      </c>
      <c r="D577" s="27" t="str">
        <f>IF(C577&lt;='Investment Calculator'!$C$8*'Investment Calculator'!$F$4,'Investment Calculator'!$C$6,"")</f>
        <v/>
      </c>
      <c r="E577" s="27" t="str">
        <f>IFERROR((F576+D577)*'Investment Calculator'!$C$7/'Investment Calculator'!$F$4,"")</f>
        <v/>
      </c>
      <c r="F577" s="27" t="str">
        <f>IFERROR(ABS(FV('Investment Calculator'!$C$7/'Investment Calculator'!$F$4,'SIP Schedule'!C577,'SIP Schedule'!D577,,1)),"")</f>
        <v/>
      </c>
    </row>
    <row r="578" spans="3:6" x14ac:dyDescent="0.3">
      <c r="C578" s="1" t="str">
        <f>IF(C577&lt;'Investment Calculator'!$C$8*'Investment Calculator'!$F$4,'SIP Schedule'!C577+1,"")</f>
        <v/>
      </c>
      <c r="D578" s="27" t="str">
        <f>IF(C578&lt;='Investment Calculator'!$C$8*'Investment Calculator'!$F$4,'Investment Calculator'!$C$6,"")</f>
        <v/>
      </c>
      <c r="E578" s="27" t="str">
        <f>IFERROR((F577+D578)*'Investment Calculator'!$C$7/'Investment Calculator'!$F$4,"")</f>
        <v/>
      </c>
      <c r="F578" s="27" t="str">
        <f>IFERROR(ABS(FV('Investment Calculator'!$C$7/'Investment Calculator'!$F$4,'SIP Schedule'!C578,'SIP Schedule'!D578,,1)),"")</f>
        <v/>
      </c>
    </row>
    <row r="579" spans="3:6" x14ac:dyDescent="0.3">
      <c r="C579" s="1" t="str">
        <f>IF(C578&lt;'Investment Calculator'!$C$8*'Investment Calculator'!$F$4,'SIP Schedule'!C578+1,"")</f>
        <v/>
      </c>
      <c r="D579" s="27" t="str">
        <f>IF(C579&lt;='Investment Calculator'!$C$8*'Investment Calculator'!$F$4,'Investment Calculator'!$C$6,"")</f>
        <v/>
      </c>
      <c r="E579" s="27" t="str">
        <f>IFERROR((F578+D579)*'Investment Calculator'!$C$7/'Investment Calculator'!$F$4,"")</f>
        <v/>
      </c>
      <c r="F579" s="27" t="str">
        <f>IFERROR(ABS(FV('Investment Calculator'!$C$7/'Investment Calculator'!$F$4,'SIP Schedule'!C579,'SIP Schedule'!D579,,1)),"")</f>
        <v/>
      </c>
    </row>
    <row r="580" spans="3:6" x14ac:dyDescent="0.3">
      <c r="C580" s="1" t="str">
        <f>IF(C579&lt;'Investment Calculator'!$C$8*'Investment Calculator'!$F$4,'SIP Schedule'!C579+1,"")</f>
        <v/>
      </c>
      <c r="D580" s="27" t="str">
        <f>IF(C580&lt;='Investment Calculator'!$C$8*'Investment Calculator'!$F$4,'Investment Calculator'!$C$6,"")</f>
        <v/>
      </c>
      <c r="E580" s="27" t="str">
        <f>IFERROR((F579+D580)*'Investment Calculator'!$C$7/'Investment Calculator'!$F$4,"")</f>
        <v/>
      </c>
      <c r="F580" s="27" t="str">
        <f>IFERROR(ABS(FV('Investment Calculator'!$C$7/'Investment Calculator'!$F$4,'SIP Schedule'!C580,'SIP Schedule'!D580,,1)),"")</f>
        <v/>
      </c>
    </row>
    <row r="581" spans="3:6" x14ac:dyDescent="0.3">
      <c r="C581" s="1" t="str">
        <f>IF(C580&lt;'Investment Calculator'!$C$8*'Investment Calculator'!$F$4,'SIP Schedule'!C580+1,"")</f>
        <v/>
      </c>
      <c r="D581" s="27" t="str">
        <f>IF(C581&lt;='Investment Calculator'!$C$8*'Investment Calculator'!$F$4,'Investment Calculator'!$C$6,"")</f>
        <v/>
      </c>
      <c r="E581" s="27" t="str">
        <f>IFERROR((F580+D581)*'Investment Calculator'!$C$7/'Investment Calculator'!$F$4,"")</f>
        <v/>
      </c>
      <c r="F581" s="27" t="str">
        <f>IFERROR(ABS(FV('Investment Calculator'!$C$7/'Investment Calculator'!$F$4,'SIP Schedule'!C581,'SIP Schedule'!D581,,1)),"")</f>
        <v/>
      </c>
    </row>
    <row r="582" spans="3:6" x14ac:dyDescent="0.3">
      <c r="C582" s="1" t="str">
        <f>IF(C581&lt;'Investment Calculator'!$C$8*'Investment Calculator'!$F$4,'SIP Schedule'!C581+1,"")</f>
        <v/>
      </c>
      <c r="D582" s="27" t="str">
        <f>IF(C582&lt;='Investment Calculator'!$C$8*'Investment Calculator'!$F$4,'Investment Calculator'!$C$6,"")</f>
        <v/>
      </c>
      <c r="E582" s="27" t="str">
        <f>IFERROR((F581+D582)*'Investment Calculator'!$C$7/'Investment Calculator'!$F$4,"")</f>
        <v/>
      </c>
      <c r="F582" s="27" t="str">
        <f>IFERROR(ABS(FV('Investment Calculator'!$C$7/'Investment Calculator'!$F$4,'SIP Schedule'!C582,'SIP Schedule'!D582,,1)),"")</f>
        <v/>
      </c>
    </row>
    <row r="583" spans="3:6" x14ac:dyDescent="0.3">
      <c r="C583" s="1" t="str">
        <f>IF(C582&lt;'Investment Calculator'!$C$8*'Investment Calculator'!$F$4,'SIP Schedule'!C582+1,"")</f>
        <v/>
      </c>
      <c r="D583" s="27" t="str">
        <f>IF(C583&lt;='Investment Calculator'!$C$8*'Investment Calculator'!$F$4,'Investment Calculator'!$C$6,"")</f>
        <v/>
      </c>
      <c r="E583" s="27" t="str">
        <f>IFERROR((F582+D583)*'Investment Calculator'!$C$7/'Investment Calculator'!$F$4,"")</f>
        <v/>
      </c>
      <c r="F583" s="27" t="str">
        <f>IFERROR(ABS(FV('Investment Calculator'!$C$7/'Investment Calculator'!$F$4,'SIP Schedule'!C583,'SIP Schedule'!D583,,1)),"")</f>
        <v/>
      </c>
    </row>
    <row r="584" spans="3:6" x14ac:dyDescent="0.3">
      <c r="C584" s="1" t="str">
        <f>IF(C583&lt;'Investment Calculator'!$C$8*'Investment Calculator'!$F$4,'SIP Schedule'!C583+1,"")</f>
        <v/>
      </c>
      <c r="D584" s="27" t="str">
        <f>IF(C584&lt;='Investment Calculator'!$C$8*'Investment Calculator'!$F$4,'Investment Calculator'!$C$6,"")</f>
        <v/>
      </c>
      <c r="E584" s="27" t="str">
        <f>IFERROR((F583+D584)*'Investment Calculator'!$C$7/'Investment Calculator'!$F$4,"")</f>
        <v/>
      </c>
      <c r="F584" s="27" t="str">
        <f>IFERROR(ABS(FV('Investment Calculator'!$C$7/'Investment Calculator'!$F$4,'SIP Schedule'!C584,'SIP Schedule'!D584,,1)),"")</f>
        <v/>
      </c>
    </row>
    <row r="585" spans="3:6" x14ac:dyDescent="0.3">
      <c r="C585" s="1" t="str">
        <f>IF(C584&lt;'Investment Calculator'!$C$8*'Investment Calculator'!$F$4,'SIP Schedule'!C584+1,"")</f>
        <v/>
      </c>
      <c r="D585" s="27" t="str">
        <f>IF(C585&lt;='Investment Calculator'!$C$8*'Investment Calculator'!$F$4,'Investment Calculator'!$C$6,"")</f>
        <v/>
      </c>
      <c r="E585" s="27" t="str">
        <f>IFERROR((F584+D585)*'Investment Calculator'!$C$7/'Investment Calculator'!$F$4,"")</f>
        <v/>
      </c>
      <c r="F585" s="27" t="str">
        <f>IFERROR(ABS(FV('Investment Calculator'!$C$7/'Investment Calculator'!$F$4,'SIP Schedule'!C585,'SIP Schedule'!D585,,1)),"")</f>
        <v/>
      </c>
    </row>
    <row r="586" spans="3:6" x14ac:dyDescent="0.3">
      <c r="C586" s="1" t="str">
        <f>IF(C585&lt;'Investment Calculator'!$C$8*'Investment Calculator'!$F$4,'SIP Schedule'!C585+1,"")</f>
        <v/>
      </c>
      <c r="D586" s="27" t="str">
        <f>IF(C586&lt;='Investment Calculator'!$C$8*'Investment Calculator'!$F$4,'Investment Calculator'!$C$6,"")</f>
        <v/>
      </c>
      <c r="E586" s="27" t="str">
        <f>IFERROR((F585+D586)*'Investment Calculator'!$C$7/'Investment Calculator'!$F$4,"")</f>
        <v/>
      </c>
      <c r="F586" s="27" t="str">
        <f>IFERROR(ABS(FV('Investment Calculator'!$C$7/'Investment Calculator'!$F$4,'SIP Schedule'!C586,'SIP Schedule'!D586,,1)),"")</f>
        <v/>
      </c>
    </row>
    <row r="587" spans="3:6" x14ac:dyDescent="0.3">
      <c r="C587" s="1" t="str">
        <f>IF(C586&lt;'Investment Calculator'!$C$8*'Investment Calculator'!$F$4,'SIP Schedule'!C586+1,"")</f>
        <v/>
      </c>
      <c r="D587" s="27" t="str">
        <f>IF(C587&lt;='Investment Calculator'!$C$8*'Investment Calculator'!$F$4,'Investment Calculator'!$C$6,"")</f>
        <v/>
      </c>
      <c r="E587" s="27" t="str">
        <f>IFERROR((F586+D587)*'Investment Calculator'!$C$7/'Investment Calculator'!$F$4,"")</f>
        <v/>
      </c>
      <c r="F587" s="27" t="str">
        <f>IFERROR(ABS(FV('Investment Calculator'!$C$7/'Investment Calculator'!$F$4,'SIP Schedule'!C587,'SIP Schedule'!D587,,1)),"")</f>
        <v/>
      </c>
    </row>
    <row r="588" spans="3:6" x14ac:dyDescent="0.3">
      <c r="C588" s="1" t="str">
        <f>IF(C587&lt;'Investment Calculator'!$C$8*'Investment Calculator'!$F$4,'SIP Schedule'!C587+1,"")</f>
        <v/>
      </c>
      <c r="D588" s="27" t="str">
        <f>IF(C588&lt;='Investment Calculator'!$C$8*'Investment Calculator'!$F$4,'Investment Calculator'!$C$6,"")</f>
        <v/>
      </c>
      <c r="E588" s="27" t="str">
        <f>IFERROR((F587+D588)*'Investment Calculator'!$C$7/'Investment Calculator'!$F$4,"")</f>
        <v/>
      </c>
      <c r="F588" s="27" t="str">
        <f>IFERROR(ABS(FV('Investment Calculator'!$C$7/'Investment Calculator'!$F$4,'SIP Schedule'!C588,'SIP Schedule'!D588,,1)),"")</f>
        <v/>
      </c>
    </row>
    <row r="589" spans="3:6" x14ac:dyDescent="0.3">
      <c r="C589" s="1" t="str">
        <f>IF(C588&lt;'Investment Calculator'!$C$8*'Investment Calculator'!$F$4,'SIP Schedule'!C588+1,"")</f>
        <v/>
      </c>
      <c r="D589" s="27" t="str">
        <f>IF(C589&lt;='Investment Calculator'!$C$8*'Investment Calculator'!$F$4,'Investment Calculator'!$C$6,"")</f>
        <v/>
      </c>
      <c r="E589" s="27" t="str">
        <f>IFERROR((F588+D589)*'Investment Calculator'!$C$7/'Investment Calculator'!$F$4,"")</f>
        <v/>
      </c>
      <c r="F589" s="27" t="str">
        <f>IFERROR(ABS(FV('Investment Calculator'!$C$7/'Investment Calculator'!$F$4,'SIP Schedule'!C589,'SIP Schedule'!D589,,1)),"")</f>
        <v/>
      </c>
    </row>
    <row r="590" spans="3:6" x14ac:dyDescent="0.3">
      <c r="C590" s="1" t="str">
        <f>IF(C589&lt;'Investment Calculator'!$C$8*'Investment Calculator'!$F$4,'SIP Schedule'!C589+1,"")</f>
        <v/>
      </c>
      <c r="D590" s="27" t="str">
        <f>IF(C590&lt;='Investment Calculator'!$C$8*'Investment Calculator'!$F$4,'Investment Calculator'!$C$6,"")</f>
        <v/>
      </c>
      <c r="E590" s="27" t="str">
        <f>IFERROR((F589+D590)*'Investment Calculator'!$C$7/'Investment Calculator'!$F$4,"")</f>
        <v/>
      </c>
      <c r="F590" s="27" t="str">
        <f>IFERROR(ABS(FV('Investment Calculator'!$C$7/'Investment Calculator'!$F$4,'SIP Schedule'!C590,'SIP Schedule'!D590,,1)),"")</f>
        <v/>
      </c>
    </row>
    <row r="591" spans="3:6" x14ac:dyDescent="0.3">
      <c r="C591" s="1" t="str">
        <f>IF(C590&lt;'Investment Calculator'!$C$8*'Investment Calculator'!$F$4,'SIP Schedule'!C590+1,"")</f>
        <v/>
      </c>
      <c r="D591" s="27" t="str">
        <f>IF(C591&lt;='Investment Calculator'!$C$8*'Investment Calculator'!$F$4,'Investment Calculator'!$C$6,"")</f>
        <v/>
      </c>
      <c r="E591" s="27" t="str">
        <f>IFERROR((F590+D591)*'Investment Calculator'!$C$7/'Investment Calculator'!$F$4,"")</f>
        <v/>
      </c>
      <c r="F591" s="27" t="str">
        <f>IFERROR(ABS(FV('Investment Calculator'!$C$7/'Investment Calculator'!$F$4,'SIP Schedule'!C591,'SIP Schedule'!D591,,1)),"")</f>
        <v/>
      </c>
    </row>
    <row r="592" spans="3:6" x14ac:dyDescent="0.3">
      <c r="C592" s="1" t="str">
        <f>IF(C591&lt;'Investment Calculator'!$C$8*'Investment Calculator'!$F$4,'SIP Schedule'!C591+1,"")</f>
        <v/>
      </c>
      <c r="D592" s="27" t="str">
        <f>IF(C592&lt;='Investment Calculator'!$C$8*'Investment Calculator'!$F$4,'Investment Calculator'!$C$6,"")</f>
        <v/>
      </c>
      <c r="E592" s="27" t="str">
        <f>IFERROR((F591+D592)*'Investment Calculator'!$C$7/'Investment Calculator'!$F$4,"")</f>
        <v/>
      </c>
      <c r="F592" s="27" t="str">
        <f>IFERROR(ABS(FV('Investment Calculator'!$C$7/'Investment Calculator'!$F$4,'SIP Schedule'!C592,'SIP Schedule'!D592,,1)),"")</f>
        <v/>
      </c>
    </row>
    <row r="593" spans="3:6" x14ac:dyDescent="0.3">
      <c r="C593" s="1" t="str">
        <f>IF(C592&lt;'Investment Calculator'!$C$8*'Investment Calculator'!$F$4,'SIP Schedule'!C592+1,"")</f>
        <v/>
      </c>
      <c r="D593" s="27" t="str">
        <f>IF(C593&lt;='Investment Calculator'!$C$8*'Investment Calculator'!$F$4,'Investment Calculator'!$C$6,"")</f>
        <v/>
      </c>
      <c r="E593" s="27" t="str">
        <f>IFERROR((F592+D593)*'Investment Calculator'!$C$7/'Investment Calculator'!$F$4,"")</f>
        <v/>
      </c>
      <c r="F593" s="27" t="str">
        <f>IFERROR(ABS(FV('Investment Calculator'!$C$7/'Investment Calculator'!$F$4,'SIP Schedule'!C593,'SIP Schedule'!D593,,1)),"")</f>
        <v/>
      </c>
    </row>
    <row r="594" spans="3:6" x14ac:dyDescent="0.3">
      <c r="C594" s="1" t="str">
        <f>IF(C593&lt;'Investment Calculator'!$C$8*'Investment Calculator'!$F$4,'SIP Schedule'!C593+1,"")</f>
        <v/>
      </c>
      <c r="D594" s="27" t="str">
        <f>IF(C594&lt;='Investment Calculator'!$C$8*'Investment Calculator'!$F$4,'Investment Calculator'!$C$6,"")</f>
        <v/>
      </c>
      <c r="E594" s="27" t="str">
        <f>IFERROR((F593+D594)*'Investment Calculator'!$C$7/'Investment Calculator'!$F$4,"")</f>
        <v/>
      </c>
      <c r="F594" s="27" t="str">
        <f>IFERROR(ABS(FV('Investment Calculator'!$C$7/'Investment Calculator'!$F$4,'SIP Schedule'!C594,'SIP Schedule'!D594,,1)),"")</f>
        <v/>
      </c>
    </row>
    <row r="595" spans="3:6" x14ac:dyDescent="0.3">
      <c r="C595" s="1" t="str">
        <f>IF(C594&lt;'Investment Calculator'!$C$8*'Investment Calculator'!$F$4,'SIP Schedule'!C594+1,"")</f>
        <v/>
      </c>
      <c r="D595" s="27" t="str">
        <f>IF(C595&lt;='Investment Calculator'!$C$8*'Investment Calculator'!$F$4,'Investment Calculator'!$C$6,"")</f>
        <v/>
      </c>
      <c r="E595" s="27" t="str">
        <f>IFERROR((F594+D595)*'Investment Calculator'!$C$7/'Investment Calculator'!$F$4,"")</f>
        <v/>
      </c>
      <c r="F595" s="27" t="str">
        <f>IFERROR(ABS(FV('Investment Calculator'!$C$7/'Investment Calculator'!$F$4,'SIP Schedule'!C595,'SIP Schedule'!D595,,1)),"")</f>
        <v/>
      </c>
    </row>
    <row r="596" spans="3:6" x14ac:dyDescent="0.3">
      <c r="C596" s="1" t="str">
        <f>IF(C595&lt;'Investment Calculator'!$C$8*'Investment Calculator'!$F$4,'SIP Schedule'!C595+1,"")</f>
        <v/>
      </c>
      <c r="D596" s="27" t="str">
        <f>IF(C596&lt;='Investment Calculator'!$C$8*'Investment Calculator'!$F$4,'Investment Calculator'!$C$6,"")</f>
        <v/>
      </c>
      <c r="E596" s="27" t="str">
        <f>IFERROR((F595+D596)*'Investment Calculator'!$C$7/'Investment Calculator'!$F$4,"")</f>
        <v/>
      </c>
      <c r="F596" s="27" t="str">
        <f>IFERROR(ABS(FV('Investment Calculator'!$C$7/'Investment Calculator'!$F$4,'SIP Schedule'!C596,'SIP Schedule'!D596,,1)),"")</f>
        <v/>
      </c>
    </row>
    <row r="597" spans="3:6" x14ac:dyDescent="0.3">
      <c r="C597" s="1" t="str">
        <f>IF(C596&lt;'Investment Calculator'!$C$8*'Investment Calculator'!$F$4,'SIP Schedule'!C596+1,"")</f>
        <v/>
      </c>
      <c r="D597" s="27" t="str">
        <f>IF(C597&lt;='Investment Calculator'!$C$8*'Investment Calculator'!$F$4,'Investment Calculator'!$C$6,"")</f>
        <v/>
      </c>
      <c r="E597" s="27" t="str">
        <f>IFERROR((F596+D597)*'Investment Calculator'!$C$7/'Investment Calculator'!$F$4,"")</f>
        <v/>
      </c>
      <c r="F597" s="27" t="str">
        <f>IFERROR(ABS(FV('Investment Calculator'!$C$7/'Investment Calculator'!$F$4,'SIP Schedule'!C597,'SIP Schedule'!D597,,1)),"")</f>
        <v/>
      </c>
    </row>
    <row r="598" spans="3:6" x14ac:dyDescent="0.3">
      <c r="C598" s="1" t="str">
        <f>IF(C597&lt;'Investment Calculator'!$C$8*'Investment Calculator'!$F$4,'SIP Schedule'!C597+1,"")</f>
        <v/>
      </c>
      <c r="D598" s="27" t="str">
        <f>IF(C598&lt;='Investment Calculator'!$C$8*'Investment Calculator'!$F$4,'Investment Calculator'!$C$6,"")</f>
        <v/>
      </c>
      <c r="E598" s="27" t="str">
        <f>IFERROR((F597+D598)*'Investment Calculator'!$C$7/'Investment Calculator'!$F$4,"")</f>
        <v/>
      </c>
      <c r="F598" s="27" t="str">
        <f>IFERROR(ABS(FV('Investment Calculator'!$C$7/'Investment Calculator'!$F$4,'SIP Schedule'!C598,'SIP Schedule'!D598,,1)),"")</f>
        <v/>
      </c>
    </row>
    <row r="599" spans="3:6" x14ac:dyDescent="0.3">
      <c r="C599" s="1" t="str">
        <f>IF(C598&lt;'Investment Calculator'!$C$8*'Investment Calculator'!$F$4,'SIP Schedule'!C598+1,"")</f>
        <v/>
      </c>
      <c r="D599" s="27" t="str">
        <f>IF(C599&lt;='Investment Calculator'!$C$8*'Investment Calculator'!$F$4,'Investment Calculator'!$C$6,"")</f>
        <v/>
      </c>
      <c r="E599" s="27" t="str">
        <f>IFERROR((F598+D599)*'Investment Calculator'!$C$7/'Investment Calculator'!$F$4,"")</f>
        <v/>
      </c>
      <c r="F599" s="27" t="str">
        <f>IFERROR(ABS(FV('Investment Calculator'!$C$7/'Investment Calculator'!$F$4,'SIP Schedule'!C599,'SIP Schedule'!D599,,1)),"")</f>
        <v/>
      </c>
    </row>
    <row r="600" spans="3:6" x14ac:dyDescent="0.3">
      <c r="C600" s="1" t="str">
        <f>IF(C599&lt;'Investment Calculator'!$C$8*'Investment Calculator'!$F$4,'SIP Schedule'!C599+1,"")</f>
        <v/>
      </c>
      <c r="D600" s="27" t="str">
        <f>IF(C600&lt;='Investment Calculator'!$C$8*'Investment Calculator'!$F$4,'Investment Calculator'!$C$6,"")</f>
        <v/>
      </c>
      <c r="E600" s="27" t="str">
        <f>IFERROR((F599+D600)*'Investment Calculator'!$C$7/'Investment Calculator'!$F$4,"")</f>
        <v/>
      </c>
      <c r="F600" s="27" t="str">
        <f>IFERROR(ABS(FV('Investment Calculator'!$C$7/'Investment Calculator'!$F$4,'SIP Schedule'!C600,'SIP Schedule'!D600,,1)),"")</f>
        <v/>
      </c>
    </row>
    <row r="601" spans="3:6" x14ac:dyDescent="0.3">
      <c r="C601" s="1" t="str">
        <f>IF(C600&lt;'Investment Calculator'!$C$8*'Investment Calculator'!$F$4,'SIP Schedule'!C600+1,"")</f>
        <v/>
      </c>
      <c r="D601" s="27" t="str">
        <f>IF(C601&lt;='Investment Calculator'!$C$8*'Investment Calculator'!$F$4,'Investment Calculator'!$C$6,"")</f>
        <v/>
      </c>
      <c r="E601" s="27" t="str">
        <f>IFERROR((F600+D601)*'Investment Calculator'!$C$7/'Investment Calculator'!$F$4,"")</f>
        <v/>
      </c>
      <c r="F601" s="27" t="str">
        <f>IFERROR(ABS(FV('Investment Calculator'!$C$7/'Investment Calculator'!$F$4,'SIP Schedule'!C601,'SIP Schedule'!D601,,1)),"")</f>
        <v/>
      </c>
    </row>
    <row r="602" spans="3:6" x14ac:dyDescent="0.3">
      <c r="C602" s="1" t="str">
        <f>IF(C601&lt;'Investment Calculator'!$C$8*'Investment Calculator'!$F$4,'SIP Schedule'!C601+1,"")</f>
        <v/>
      </c>
      <c r="D602" s="27" t="str">
        <f>IF(C602&lt;='Investment Calculator'!$C$8*'Investment Calculator'!$F$4,'Investment Calculator'!$C$6,"")</f>
        <v/>
      </c>
      <c r="E602" s="27" t="str">
        <f>IFERROR((F601+D602)*'Investment Calculator'!$C$7/'Investment Calculator'!$F$4,"")</f>
        <v/>
      </c>
      <c r="F602" s="27" t="str">
        <f>IFERROR(ABS(FV('Investment Calculator'!$C$7/'Investment Calculator'!$F$4,'SIP Schedule'!C602,'SIP Schedule'!D602,,1)),"")</f>
        <v/>
      </c>
    </row>
    <row r="603" spans="3:6" x14ac:dyDescent="0.3">
      <c r="C603" s="1" t="str">
        <f>IF(C602&lt;'Investment Calculator'!$C$8*'Investment Calculator'!$F$4,'SIP Schedule'!C602+1,"")</f>
        <v/>
      </c>
      <c r="D603" s="27" t="str">
        <f>IF(C603&lt;='Investment Calculator'!$C$8*'Investment Calculator'!$F$4,'Investment Calculator'!$C$6,"")</f>
        <v/>
      </c>
      <c r="E603" s="27" t="str">
        <f>IFERROR((F602+D603)*'Investment Calculator'!$C$7/'Investment Calculator'!$F$4,"")</f>
        <v/>
      </c>
      <c r="F603" s="27" t="str">
        <f>IFERROR(ABS(FV('Investment Calculator'!$C$7/'Investment Calculator'!$F$4,'SIP Schedule'!C603,'SIP Schedule'!D603,,1)),"")</f>
        <v/>
      </c>
    </row>
    <row r="604" spans="3:6" x14ac:dyDescent="0.3">
      <c r="C604" s="1" t="str">
        <f>IF(C603&lt;'Investment Calculator'!$C$8*'Investment Calculator'!$F$4,'SIP Schedule'!C603+1,"")</f>
        <v/>
      </c>
      <c r="D604" s="27" t="str">
        <f>IF(C604&lt;='Investment Calculator'!$C$8*'Investment Calculator'!$F$4,'Investment Calculator'!$C$6,"")</f>
        <v/>
      </c>
      <c r="E604" s="27" t="str">
        <f>IFERROR((F603+D604)*'Investment Calculator'!$C$7/'Investment Calculator'!$F$4,"")</f>
        <v/>
      </c>
      <c r="F604" s="27" t="str">
        <f>IFERROR(ABS(FV('Investment Calculator'!$C$7/'Investment Calculator'!$F$4,'SIP Schedule'!C604,'SIP Schedule'!D604,,1)),"")</f>
        <v/>
      </c>
    </row>
    <row r="605" spans="3:6" x14ac:dyDescent="0.3">
      <c r="C605" s="1" t="str">
        <f>IF(C604&lt;'Investment Calculator'!$C$8*'Investment Calculator'!$F$4,'SIP Schedule'!C604+1,"")</f>
        <v/>
      </c>
      <c r="D605" s="27" t="str">
        <f>IF(C605&lt;='Investment Calculator'!$C$8*'Investment Calculator'!$F$4,'Investment Calculator'!$C$6,"")</f>
        <v/>
      </c>
      <c r="E605" s="27" t="str">
        <f>IFERROR((F604+D605)*'Investment Calculator'!$C$7/'Investment Calculator'!$F$4,"")</f>
        <v/>
      </c>
      <c r="F605" s="27" t="str">
        <f>IFERROR(ABS(FV('Investment Calculator'!$C$7/'Investment Calculator'!$F$4,'SIP Schedule'!C605,'SIP Schedule'!D605,,1)),"")</f>
        <v/>
      </c>
    </row>
    <row r="606" spans="3:6" x14ac:dyDescent="0.3">
      <c r="C606" s="1" t="str">
        <f>IF(C605&lt;'Investment Calculator'!$C$8*'Investment Calculator'!$F$4,'SIP Schedule'!C605+1,"")</f>
        <v/>
      </c>
      <c r="D606" s="27" t="str">
        <f>IF(C606&lt;='Investment Calculator'!$C$8*'Investment Calculator'!$F$4,'Investment Calculator'!$C$6,"")</f>
        <v/>
      </c>
      <c r="E606" s="27" t="str">
        <f>IFERROR((F605+D606)*'Investment Calculator'!$C$7/'Investment Calculator'!$F$4,"")</f>
        <v/>
      </c>
      <c r="F606" s="27" t="str">
        <f>IFERROR(ABS(FV('Investment Calculator'!$C$7/'Investment Calculator'!$F$4,'SIP Schedule'!C606,'SIP Schedule'!D606,,1)),"")</f>
        <v/>
      </c>
    </row>
    <row r="607" spans="3:6" x14ac:dyDescent="0.3">
      <c r="C607" s="1" t="str">
        <f>IF(C606&lt;'Investment Calculator'!$C$8*'Investment Calculator'!$F$4,'SIP Schedule'!C606+1,"")</f>
        <v/>
      </c>
      <c r="D607" s="27" t="str">
        <f>IF(C607&lt;='Investment Calculator'!$C$8*'Investment Calculator'!$F$4,'Investment Calculator'!$C$6,"")</f>
        <v/>
      </c>
      <c r="E607" s="27" t="str">
        <f>IFERROR((F606+D607)*'Investment Calculator'!$C$7/'Investment Calculator'!$F$4,"")</f>
        <v/>
      </c>
      <c r="F607" s="27" t="str">
        <f>IFERROR(ABS(FV('Investment Calculator'!$C$7/'Investment Calculator'!$F$4,'SIP Schedule'!C607,'SIP Schedule'!D607,,1)),"")</f>
        <v/>
      </c>
    </row>
    <row r="608" spans="3:6" x14ac:dyDescent="0.3">
      <c r="C608" s="1" t="str">
        <f>IF(C607&lt;'Investment Calculator'!$C$8*'Investment Calculator'!$F$4,'SIP Schedule'!C607+1,"")</f>
        <v/>
      </c>
      <c r="D608" s="27" t="str">
        <f>IF(C608&lt;='Investment Calculator'!$C$8*'Investment Calculator'!$F$4,'Investment Calculator'!$C$6,"")</f>
        <v/>
      </c>
      <c r="E608" s="27" t="str">
        <f>IFERROR((F607+D608)*'Investment Calculator'!$C$7/'Investment Calculator'!$F$4,"")</f>
        <v/>
      </c>
      <c r="F608" s="27" t="str">
        <f>IFERROR(ABS(FV('Investment Calculator'!$C$7/'Investment Calculator'!$F$4,'SIP Schedule'!C608,'SIP Schedule'!D608,,1)),"")</f>
        <v/>
      </c>
    </row>
    <row r="609" spans="3:6" x14ac:dyDescent="0.3">
      <c r="C609" s="1" t="str">
        <f>IF(C608&lt;'Investment Calculator'!$C$8*'Investment Calculator'!$F$4,'SIP Schedule'!C608+1,"")</f>
        <v/>
      </c>
      <c r="D609" s="27" t="str">
        <f>IF(C609&lt;='Investment Calculator'!$C$8*'Investment Calculator'!$F$4,'Investment Calculator'!$C$6,"")</f>
        <v/>
      </c>
      <c r="E609" s="27" t="str">
        <f>IFERROR((F608+D609)*'Investment Calculator'!$C$7/'Investment Calculator'!$F$4,"")</f>
        <v/>
      </c>
      <c r="F609" s="27" t="str">
        <f>IFERROR(ABS(FV('Investment Calculator'!$C$7/'Investment Calculator'!$F$4,'SIP Schedule'!C609,'SIP Schedule'!D609,,1)),"")</f>
        <v/>
      </c>
    </row>
    <row r="610" spans="3:6" x14ac:dyDescent="0.3">
      <c r="C610" s="1" t="str">
        <f>IF(C609&lt;'Investment Calculator'!$C$8*'Investment Calculator'!$F$4,'SIP Schedule'!C609+1,"")</f>
        <v/>
      </c>
      <c r="D610" s="27" t="str">
        <f>IF(C610&lt;='Investment Calculator'!$C$8*'Investment Calculator'!$F$4,'Investment Calculator'!$C$6,"")</f>
        <v/>
      </c>
      <c r="E610" s="27" t="str">
        <f>IFERROR((F609+D610)*'Investment Calculator'!$C$7/'Investment Calculator'!$F$4,"")</f>
        <v/>
      </c>
      <c r="F610" s="27" t="str">
        <f>IFERROR(ABS(FV('Investment Calculator'!$C$7/'Investment Calculator'!$F$4,'SIP Schedule'!C610,'SIP Schedule'!D610,,1)),"")</f>
        <v/>
      </c>
    </row>
    <row r="611" spans="3:6" x14ac:dyDescent="0.3">
      <c r="C611" s="1" t="str">
        <f>IF(C610&lt;'Investment Calculator'!$C$8*'Investment Calculator'!$F$4,'SIP Schedule'!C610+1,"")</f>
        <v/>
      </c>
      <c r="D611" s="27" t="str">
        <f>IF(C611&lt;='Investment Calculator'!$C$8*'Investment Calculator'!$F$4,'Investment Calculator'!$C$6,"")</f>
        <v/>
      </c>
      <c r="E611" s="27" t="str">
        <f>IFERROR((F610+D611)*'Investment Calculator'!$C$7/'Investment Calculator'!$F$4,"")</f>
        <v/>
      </c>
      <c r="F611" s="27" t="str">
        <f>IFERROR(ABS(FV('Investment Calculator'!$C$7/'Investment Calculator'!$F$4,'SIP Schedule'!C611,'SIP Schedule'!D611,,1)),"")</f>
        <v/>
      </c>
    </row>
    <row r="612" spans="3:6" x14ac:dyDescent="0.3">
      <c r="C612" s="1" t="str">
        <f>IF(C611&lt;'Investment Calculator'!$C$8*'Investment Calculator'!$F$4,'SIP Schedule'!C611+1,"")</f>
        <v/>
      </c>
      <c r="D612" s="27" t="str">
        <f>IF(C612&lt;='Investment Calculator'!$C$8*'Investment Calculator'!$F$4,'Investment Calculator'!$C$6,"")</f>
        <v/>
      </c>
      <c r="E612" s="27" t="str">
        <f>IFERROR((F611+D612)*'Investment Calculator'!$C$7/'Investment Calculator'!$F$4,"")</f>
        <v/>
      </c>
      <c r="F612" s="27" t="str">
        <f>IFERROR(ABS(FV('Investment Calculator'!$C$7/'Investment Calculator'!$F$4,'SIP Schedule'!C612,'SIP Schedule'!D612,,1)),"")</f>
        <v/>
      </c>
    </row>
    <row r="613" spans="3:6" x14ac:dyDescent="0.3">
      <c r="C613" s="1" t="str">
        <f>IF(C612&lt;'Investment Calculator'!$C$8*'Investment Calculator'!$F$4,'SIP Schedule'!C612+1,"")</f>
        <v/>
      </c>
      <c r="D613" s="27" t="str">
        <f>IF(C613&lt;='Investment Calculator'!$C$8*'Investment Calculator'!$F$4,'Investment Calculator'!$C$6,"")</f>
        <v/>
      </c>
      <c r="E613" s="27" t="str">
        <f>IFERROR((F612+D613)*'Investment Calculator'!$C$7/'Investment Calculator'!$F$4,"")</f>
        <v/>
      </c>
      <c r="F613" s="27" t="str">
        <f>IFERROR(ABS(FV('Investment Calculator'!$C$7/'Investment Calculator'!$F$4,'SIP Schedule'!C613,'SIP Schedule'!D613,,1)),"")</f>
        <v/>
      </c>
    </row>
    <row r="614" spans="3:6" x14ac:dyDescent="0.3">
      <c r="C614" s="1" t="str">
        <f>IF(C613&lt;'Investment Calculator'!$C$8*'Investment Calculator'!$F$4,'SIP Schedule'!C613+1,"")</f>
        <v/>
      </c>
      <c r="D614" s="27" t="str">
        <f>IF(C614&lt;='Investment Calculator'!$C$8*'Investment Calculator'!$F$4,'Investment Calculator'!$C$6,"")</f>
        <v/>
      </c>
      <c r="E614" s="27" t="str">
        <f>IFERROR((F613+D614)*'Investment Calculator'!$C$7/'Investment Calculator'!$F$4,"")</f>
        <v/>
      </c>
      <c r="F614" s="27" t="str">
        <f>IFERROR(ABS(FV('Investment Calculator'!$C$7/'Investment Calculator'!$F$4,'SIP Schedule'!C614,'SIP Schedule'!D614,,1)),"")</f>
        <v/>
      </c>
    </row>
    <row r="615" spans="3:6" x14ac:dyDescent="0.3">
      <c r="C615" s="1" t="str">
        <f>IF(C614&lt;'Investment Calculator'!$C$8*'Investment Calculator'!$F$4,'SIP Schedule'!C614+1,"")</f>
        <v/>
      </c>
      <c r="D615" s="27" t="str">
        <f>IF(C615&lt;='Investment Calculator'!$C$8*'Investment Calculator'!$F$4,'Investment Calculator'!$C$6,"")</f>
        <v/>
      </c>
      <c r="E615" s="27" t="str">
        <f>IFERROR((F614+D615)*'Investment Calculator'!$C$7/'Investment Calculator'!$F$4,"")</f>
        <v/>
      </c>
      <c r="F615" s="27" t="str">
        <f>IFERROR(ABS(FV('Investment Calculator'!$C$7/'Investment Calculator'!$F$4,'SIP Schedule'!C615,'SIP Schedule'!D615,,1)),"")</f>
        <v/>
      </c>
    </row>
    <row r="616" spans="3:6" x14ac:dyDescent="0.3">
      <c r="C616" s="1" t="str">
        <f>IF(C615&lt;'Investment Calculator'!$C$8*'Investment Calculator'!$F$4,'SIP Schedule'!C615+1,"")</f>
        <v/>
      </c>
      <c r="D616" s="27" t="str">
        <f>IF(C616&lt;='Investment Calculator'!$C$8*'Investment Calculator'!$F$4,'Investment Calculator'!$C$6,"")</f>
        <v/>
      </c>
      <c r="E616" s="27" t="str">
        <f>IFERROR((F615+D616)*'Investment Calculator'!$C$7/'Investment Calculator'!$F$4,"")</f>
        <v/>
      </c>
      <c r="F616" s="27" t="str">
        <f>IFERROR(ABS(FV('Investment Calculator'!$C$7/'Investment Calculator'!$F$4,'SIP Schedule'!C616,'SIP Schedule'!D616,,1)),"")</f>
        <v/>
      </c>
    </row>
    <row r="617" spans="3:6" x14ac:dyDescent="0.3">
      <c r="C617" s="1" t="str">
        <f>IF(C616&lt;'Investment Calculator'!$C$8*'Investment Calculator'!$F$4,'SIP Schedule'!C616+1,"")</f>
        <v/>
      </c>
      <c r="D617" s="27" t="str">
        <f>IF(C617&lt;='Investment Calculator'!$C$8*'Investment Calculator'!$F$4,'Investment Calculator'!$C$6,"")</f>
        <v/>
      </c>
      <c r="E617" s="27" t="str">
        <f>IFERROR((F616+D617)*'Investment Calculator'!$C$7/'Investment Calculator'!$F$4,"")</f>
        <v/>
      </c>
      <c r="F617" s="27" t="str">
        <f>IFERROR(ABS(FV('Investment Calculator'!$C$7/'Investment Calculator'!$F$4,'SIP Schedule'!C617,'SIP Schedule'!D617,,1)),"")</f>
        <v/>
      </c>
    </row>
    <row r="618" spans="3:6" x14ac:dyDescent="0.3">
      <c r="C618" s="1" t="str">
        <f>IF(C617&lt;'Investment Calculator'!$C$8*'Investment Calculator'!$F$4,'SIP Schedule'!C617+1,"")</f>
        <v/>
      </c>
      <c r="D618" s="27" t="str">
        <f>IF(C618&lt;='Investment Calculator'!$C$8*'Investment Calculator'!$F$4,'Investment Calculator'!$C$6,"")</f>
        <v/>
      </c>
      <c r="E618" s="27" t="str">
        <f>IFERROR((F617+D618)*'Investment Calculator'!$C$7/'Investment Calculator'!$F$4,"")</f>
        <v/>
      </c>
      <c r="F618" s="27" t="str">
        <f>IFERROR(ABS(FV('Investment Calculator'!$C$7/'Investment Calculator'!$F$4,'SIP Schedule'!C618,'SIP Schedule'!D618,,1)),"")</f>
        <v/>
      </c>
    </row>
    <row r="619" spans="3:6" x14ac:dyDescent="0.3">
      <c r="C619" s="1" t="str">
        <f>IF(C618&lt;'Investment Calculator'!$C$8*'Investment Calculator'!$F$4,'SIP Schedule'!C618+1,"")</f>
        <v/>
      </c>
      <c r="D619" s="27" t="str">
        <f>IF(C619&lt;='Investment Calculator'!$C$8*'Investment Calculator'!$F$4,'Investment Calculator'!$C$6,"")</f>
        <v/>
      </c>
      <c r="E619" s="27" t="str">
        <f>IFERROR((F618+D619)*'Investment Calculator'!$C$7/'Investment Calculator'!$F$4,"")</f>
        <v/>
      </c>
      <c r="F619" s="27" t="str">
        <f>IFERROR(ABS(FV('Investment Calculator'!$C$7/'Investment Calculator'!$F$4,'SIP Schedule'!C619,'SIP Schedule'!D619,,1)),"")</f>
        <v/>
      </c>
    </row>
    <row r="620" spans="3:6" x14ac:dyDescent="0.3">
      <c r="C620" s="1" t="str">
        <f>IF(C619&lt;'Investment Calculator'!$C$8*'Investment Calculator'!$F$4,'SIP Schedule'!C619+1,"")</f>
        <v/>
      </c>
      <c r="D620" s="27" t="str">
        <f>IF(C620&lt;='Investment Calculator'!$C$8*'Investment Calculator'!$F$4,'Investment Calculator'!$C$6,"")</f>
        <v/>
      </c>
      <c r="E620" s="27" t="str">
        <f>IFERROR((F619+D620)*'Investment Calculator'!$C$7/'Investment Calculator'!$F$4,"")</f>
        <v/>
      </c>
      <c r="F620" s="27" t="str">
        <f>IFERROR(ABS(FV('Investment Calculator'!$C$7/'Investment Calculator'!$F$4,'SIP Schedule'!C620,'SIP Schedule'!D620,,1)),"")</f>
        <v/>
      </c>
    </row>
    <row r="621" spans="3:6" x14ac:dyDescent="0.3">
      <c r="C621" s="1" t="str">
        <f>IF(C620&lt;'Investment Calculator'!$C$8*'Investment Calculator'!$F$4,'SIP Schedule'!C620+1,"")</f>
        <v/>
      </c>
      <c r="D621" s="27" t="str">
        <f>IF(C621&lt;='Investment Calculator'!$C$8*'Investment Calculator'!$F$4,'Investment Calculator'!$C$6,"")</f>
        <v/>
      </c>
      <c r="E621" s="27" t="str">
        <f>IFERROR((F620+D621)*'Investment Calculator'!$C$7/'Investment Calculator'!$F$4,"")</f>
        <v/>
      </c>
      <c r="F621" s="27" t="str">
        <f>IFERROR(ABS(FV('Investment Calculator'!$C$7/'Investment Calculator'!$F$4,'SIP Schedule'!C621,'SIP Schedule'!D621,,1)),"")</f>
        <v/>
      </c>
    </row>
    <row r="622" spans="3:6" x14ac:dyDescent="0.3">
      <c r="C622" s="1" t="str">
        <f>IF(C621&lt;'Investment Calculator'!$C$8*'Investment Calculator'!$F$4,'SIP Schedule'!C621+1,"")</f>
        <v/>
      </c>
      <c r="D622" s="27" t="str">
        <f>IF(C622&lt;='Investment Calculator'!$C$8*'Investment Calculator'!$F$4,'Investment Calculator'!$C$6,"")</f>
        <v/>
      </c>
      <c r="E622" s="27" t="str">
        <f>IFERROR((F621+D622)*'Investment Calculator'!$C$7/'Investment Calculator'!$F$4,"")</f>
        <v/>
      </c>
      <c r="F622" s="27" t="str">
        <f>IFERROR(ABS(FV('Investment Calculator'!$C$7/'Investment Calculator'!$F$4,'SIP Schedule'!C622,'SIP Schedule'!D622,,1)),"")</f>
        <v/>
      </c>
    </row>
    <row r="623" spans="3:6" x14ac:dyDescent="0.3">
      <c r="C623" s="1" t="str">
        <f>IF(C622&lt;'Investment Calculator'!$C$8*'Investment Calculator'!$F$4,'SIP Schedule'!C622+1,"")</f>
        <v/>
      </c>
      <c r="D623" s="27" t="str">
        <f>IF(C623&lt;='Investment Calculator'!$C$8*'Investment Calculator'!$F$4,'Investment Calculator'!$C$6,"")</f>
        <v/>
      </c>
      <c r="E623" s="27" t="str">
        <f>IFERROR((F622+D623)*'Investment Calculator'!$C$7/'Investment Calculator'!$F$4,"")</f>
        <v/>
      </c>
      <c r="F623" s="27" t="str">
        <f>IFERROR(ABS(FV('Investment Calculator'!$C$7/'Investment Calculator'!$F$4,'SIP Schedule'!C623,'SIP Schedule'!D623,,1)),"")</f>
        <v/>
      </c>
    </row>
    <row r="624" spans="3:6" x14ac:dyDescent="0.3">
      <c r="C624" s="1" t="str">
        <f>IF(C623&lt;'Investment Calculator'!$C$8*'Investment Calculator'!$F$4,'SIP Schedule'!C623+1,"")</f>
        <v/>
      </c>
      <c r="D624" s="27" t="str">
        <f>IF(C624&lt;='Investment Calculator'!$C$8*'Investment Calculator'!$F$4,'Investment Calculator'!$C$6,"")</f>
        <v/>
      </c>
      <c r="E624" s="27" t="str">
        <f>IFERROR((F623+D624)*'Investment Calculator'!$C$7/'Investment Calculator'!$F$4,"")</f>
        <v/>
      </c>
      <c r="F624" s="27" t="str">
        <f>IFERROR(ABS(FV('Investment Calculator'!$C$7/'Investment Calculator'!$F$4,'SIP Schedule'!C624,'SIP Schedule'!D624,,1)),"")</f>
        <v/>
      </c>
    </row>
    <row r="625" spans="3:6" x14ac:dyDescent="0.3">
      <c r="C625" s="1" t="str">
        <f>IF(C624&lt;'Investment Calculator'!$C$8*'Investment Calculator'!$F$4,'SIP Schedule'!C624+1,"")</f>
        <v/>
      </c>
      <c r="D625" s="27" t="str">
        <f>IF(C625&lt;='Investment Calculator'!$C$8*'Investment Calculator'!$F$4,'Investment Calculator'!$C$6,"")</f>
        <v/>
      </c>
      <c r="E625" s="27" t="str">
        <f>IFERROR((F624+D625)*'Investment Calculator'!$C$7/'Investment Calculator'!$F$4,"")</f>
        <v/>
      </c>
      <c r="F625" s="27" t="str">
        <f>IFERROR(ABS(FV('Investment Calculator'!$C$7/'Investment Calculator'!$F$4,'SIP Schedule'!C625,'SIP Schedule'!D625,,1)),"")</f>
        <v/>
      </c>
    </row>
    <row r="626" spans="3:6" x14ac:dyDescent="0.3">
      <c r="C626" s="1" t="str">
        <f>IF(C625&lt;'Investment Calculator'!$C$8*'Investment Calculator'!$F$4,'SIP Schedule'!C625+1,"")</f>
        <v/>
      </c>
      <c r="D626" s="27" t="str">
        <f>IF(C626&lt;='Investment Calculator'!$C$8*'Investment Calculator'!$F$4,'Investment Calculator'!$C$6,"")</f>
        <v/>
      </c>
      <c r="E626" s="27" t="str">
        <f>IFERROR((F625+D626)*'Investment Calculator'!$C$7/'Investment Calculator'!$F$4,"")</f>
        <v/>
      </c>
      <c r="F626" s="27" t="str">
        <f>IFERROR(ABS(FV('Investment Calculator'!$C$7/'Investment Calculator'!$F$4,'SIP Schedule'!C626,'SIP Schedule'!D626,,1)),"")</f>
        <v/>
      </c>
    </row>
    <row r="627" spans="3:6" x14ac:dyDescent="0.3">
      <c r="C627" s="1" t="str">
        <f>IF(C626&lt;'Investment Calculator'!$C$8*'Investment Calculator'!$F$4,'SIP Schedule'!C626+1,"")</f>
        <v/>
      </c>
      <c r="D627" s="27" t="str">
        <f>IF(C627&lt;='Investment Calculator'!$C$8*'Investment Calculator'!$F$4,'Investment Calculator'!$C$6,"")</f>
        <v/>
      </c>
      <c r="E627" s="27" t="str">
        <f>IFERROR((F626+D627)*'Investment Calculator'!$C$7/'Investment Calculator'!$F$4,"")</f>
        <v/>
      </c>
      <c r="F627" s="27" t="str">
        <f>IFERROR(ABS(FV('Investment Calculator'!$C$7/'Investment Calculator'!$F$4,'SIP Schedule'!C627,'SIP Schedule'!D627,,1)),"")</f>
        <v/>
      </c>
    </row>
    <row r="628" spans="3:6" x14ac:dyDescent="0.3">
      <c r="C628" s="1" t="str">
        <f>IF(C627&lt;'Investment Calculator'!$C$8*'Investment Calculator'!$F$4,'SIP Schedule'!C627+1,"")</f>
        <v/>
      </c>
      <c r="D628" s="27" t="str">
        <f>IF(C628&lt;='Investment Calculator'!$C$8*'Investment Calculator'!$F$4,'Investment Calculator'!$C$6,"")</f>
        <v/>
      </c>
      <c r="E628" s="27" t="str">
        <f>IFERROR((F627+D628)*'Investment Calculator'!$C$7/'Investment Calculator'!$F$4,"")</f>
        <v/>
      </c>
      <c r="F628" s="27" t="str">
        <f>IFERROR(ABS(FV('Investment Calculator'!$C$7/'Investment Calculator'!$F$4,'SIP Schedule'!C628,'SIP Schedule'!D628,,1)),"")</f>
        <v/>
      </c>
    </row>
    <row r="629" spans="3:6" x14ac:dyDescent="0.3">
      <c r="C629" s="1" t="str">
        <f>IF(C628&lt;'Investment Calculator'!$C$8*'Investment Calculator'!$F$4,'SIP Schedule'!C628+1,"")</f>
        <v/>
      </c>
      <c r="D629" s="27" t="str">
        <f>IF(C629&lt;='Investment Calculator'!$C$8*'Investment Calculator'!$F$4,'Investment Calculator'!$C$6,"")</f>
        <v/>
      </c>
      <c r="E629" s="27" t="str">
        <f>IFERROR((F628+D629)*'Investment Calculator'!$C$7/'Investment Calculator'!$F$4,"")</f>
        <v/>
      </c>
      <c r="F629" s="27" t="str">
        <f>IFERROR(ABS(FV('Investment Calculator'!$C$7/'Investment Calculator'!$F$4,'SIP Schedule'!C629,'SIP Schedule'!D629,,1)),"")</f>
        <v/>
      </c>
    </row>
    <row r="630" spans="3:6" x14ac:dyDescent="0.3">
      <c r="C630" s="1" t="str">
        <f>IF(C629&lt;'Investment Calculator'!$C$8*'Investment Calculator'!$F$4,'SIP Schedule'!C629+1,"")</f>
        <v/>
      </c>
      <c r="D630" s="27" t="str">
        <f>IF(C630&lt;='Investment Calculator'!$C$8*'Investment Calculator'!$F$4,'Investment Calculator'!$C$6,"")</f>
        <v/>
      </c>
      <c r="E630" s="27" t="str">
        <f>IFERROR((F629+D630)*'Investment Calculator'!$C$7/'Investment Calculator'!$F$4,"")</f>
        <v/>
      </c>
      <c r="F630" s="27" t="str">
        <f>IFERROR(ABS(FV('Investment Calculator'!$C$7/'Investment Calculator'!$F$4,'SIP Schedule'!C630,'SIP Schedule'!D630,,1)),"")</f>
        <v/>
      </c>
    </row>
    <row r="631" spans="3:6" x14ac:dyDescent="0.3">
      <c r="C631" s="1" t="str">
        <f>IF(C630&lt;'Investment Calculator'!$C$8*'Investment Calculator'!$F$4,'SIP Schedule'!C630+1,"")</f>
        <v/>
      </c>
      <c r="D631" s="27" t="str">
        <f>IF(C631&lt;='Investment Calculator'!$C$8*'Investment Calculator'!$F$4,'Investment Calculator'!$C$6,"")</f>
        <v/>
      </c>
      <c r="E631" s="27" t="str">
        <f>IFERROR((F630+D631)*'Investment Calculator'!$C$7/'Investment Calculator'!$F$4,"")</f>
        <v/>
      </c>
      <c r="F631" s="27" t="str">
        <f>IFERROR(ABS(FV('Investment Calculator'!$C$7/'Investment Calculator'!$F$4,'SIP Schedule'!C631,'SIP Schedule'!D631,,1)),"")</f>
        <v/>
      </c>
    </row>
    <row r="632" spans="3:6" x14ac:dyDescent="0.3">
      <c r="C632" s="1" t="str">
        <f>IF(C631&lt;'Investment Calculator'!$C$8*'Investment Calculator'!$F$4,'SIP Schedule'!C631+1,"")</f>
        <v/>
      </c>
      <c r="D632" s="27" t="str">
        <f>IF(C632&lt;='Investment Calculator'!$C$8*'Investment Calculator'!$F$4,'Investment Calculator'!$C$6,"")</f>
        <v/>
      </c>
      <c r="E632" s="27" t="str">
        <f>IFERROR((F631+D632)*'Investment Calculator'!$C$7/'Investment Calculator'!$F$4,"")</f>
        <v/>
      </c>
      <c r="F632" s="27" t="str">
        <f>IFERROR(ABS(FV('Investment Calculator'!$C$7/'Investment Calculator'!$F$4,'SIP Schedule'!C632,'SIP Schedule'!D632,,1)),"")</f>
        <v/>
      </c>
    </row>
    <row r="633" spans="3:6" x14ac:dyDescent="0.3">
      <c r="C633" s="1" t="str">
        <f>IF(C632&lt;'Investment Calculator'!$C$8*'Investment Calculator'!$F$4,'SIP Schedule'!C632+1,"")</f>
        <v/>
      </c>
      <c r="D633" s="27" t="str">
        <f>IF(C633&lt;='Investment Calculator'!$C$8*'Investment Calculator'!$F$4,'Investment Calculator'!$C$6,"")</f>
        <v/>
      </c>
      <c r="E633" s="27" t="str">
        <f>IFERROR((F632+D633)*'Investment Calculator'!$C$7/'Investment Calculator'!$F$4,"")</f>
        <v/>
      </c>
      <c r="F633" s="27" t="str">
        <f>IFERROR(ABS(FV('Investment Calculator'!$C$7/'Investment Calculator'!$F$4,'SIP Schedule'!C633,'SIP Schedule'!D633,,1)),"")</f>
        <v/>
      </c>
    </row>
    <row r="634" spans="3:6" x14ac:dyDescent="0.3">
      <c r="C634" s="1" t="str">
        <f>IF(C633&lt;'Investment Calculator'!$C$8*'Investment Calculator'!$F$4,'SIP Schedule'!C633+1,"")</f>
        <v/>
      </c>
      <c r="D634" s="27" t="str">
        <f>IF(C634&lt;='Investment Calculator'!$C$8*'Investment Calculator'!$F$4,'Investment Calculator'!$C$6,"")</f>
        <v/>
      </c>
      <c r="E634" s="27" t="str">
        <f>IFERROR((F633+D634)*'Investment Calculator'!$C$7/'Investment Calculator'!$F$4,"")</f>
        <v/>
      </c>
      <c r="F634" s="27" t="str">
        <f>IFERROR(ABS(FV('Investment Calculator'!$C$7/'Investment Calculator'!$F$4,'SIP Schedule'!C634,'SIP Schedule'!D634,,1)),"")</f>
        <v/>
      </c>
    </row>
    <row r="635" spans="3:6" x14ac:dyDescent="0.3">
      <c r="C635" s="1" t="str">
        <f>IF(C634&lt;'Investment Calculator'!$C$8*'Investment Calculator'!$F$4,'SIP Schedule'!C634+1,"")</f>
        <v/>
      </c>
      <c r="D635" s="27" t="str">
        <f>IF(C635&lt;='Investment Calculator'!$C$8*'Investment Calculator'!$F$4,'Investment Calculator'!$C$6,"")</f>
        <v/>
      </c>
      <c r="E635" s="27" t="str">
        <f>IFERROR((F634+D635)*'Investment Calculator'!$C$7/'Investment Calculator'!$F$4,"")</f>
        <v/>
      </c>
      <c r="F635" s="27" t="str">
        <f>IFERROR(ABS(FV('Investment Calculator'!$C$7/'Investment Calculator'!$F$4,'SIP Schedule'!C635,'SIP Schedule'!D635,,1)),"")</f>
        <v/>
      </c>
    </row>
    <row r="636" spans="3:6" x14ac:dyDescent="0.3">
      <c r="C636" s="1" t="str">
        <f>IF(C635&lt;'Investment Calculator'!$C$8*'Investment Calculator'!$F$4,'SIP Schedule'!C635+1,"")</f>
        <v/>
      </c>
      <c r="D636" s="27" t="str">
        <f>IF(C636&lt;='Investment Calculator'!$C$8*'Investment Calculator'!$F$4,'Investment Calculator'!$C$6,"")</f>
        <v/>
      </c>
      <c r="E636" s="27" t="str">
        <f>IFERROR((F635+D636)*'Investment Calculator'!$C$7/'Investment Calculator'!$F$4,"")</f>
        <v/>
      </c>
      <c r="F636" s="27" t="str">
        <f>IFERROR(ABS(FV('Investment Calculator'!$C$7/'Investment Calculator'!$F$4,'SIP Schedule'!C636,'SIP Schedule'!D636,,1)),"")</f>
        <v/>
      </c>
    </row>
    <row r="637" spans="3:6" x14ac:dyDescent="0.3">
      <c r="C637" s="1" t="str">
        <f>IF(C636&lt;'Investment Calculator'!$C$8*'Investment Calculator'!$F$4,'SIP Schedule'!C636+1,"")</f>
        <v/>
      </c>
      <c r="D637" s="27" t="str">
        <f>IF(C637&lt;='Investment Calculator'!$C$8*'Investment Calculator'!$F$4,'Investment Calculator'!$C$6,"")</f>
        <v/>
      </c>
      <c r="E637" s="27" t="str">
        <f>IFERROR((F636+D637)*'Investment Calculator'!$C$7/'Investment Calculator'!$F$4,"")</f>
        <v/>
      </c>
      <c r="F637" s="27" t="str">
        <f>IFERROR(ABS(FV('Investment Calculator'!$C$7/'Investment Calculator'!$F$4,'SIP Schedule'!C637,'SIP Schedule'!D637,,1)),"")</f>
        <v/>
      </c>
    </row>
    <row r="638" spans="3:6" x14ac:dyDescent="0.3">
      <c r="C638" s="1" t="str">
        <f>IF(C637&lt;'Investment Calculator'!$C$8*'Investment Calculator'!$F$4,'SIP Schedule'!C637+1,"")</f>
        <v/>
      </c>
      <c r="D638" s="27" t="str">
        <f>IF(C638&lt;='Investment Calculator'!$C$8*'Investment Calculator'!$F$4,'Investment Calculator'!$C$6,"")</f>
        <v/>
      </c>
      <c r="E638" s="27" t="str">
        <f>IFERROR((F637+D638)*'Investment Calculator'!$C$7/'Investment Calculator'!$F$4,"")</f>
        <v/>
      </c>
      <c r="F638" s="27" t="str">
        <f>IFERROR(ABS(FV('Investment Calculator'!$C$7/'Investment Calculator'!$F$4,'SIP Schedule'!C638,'SIP Schedule'!D638,,1)),"")</f>
        <v/>
      </c>
    </row>
    <row r="639" spans="3:6" x14ac:dyDescent="0.3">
      <c r="C639" s="1" t="str">
        <f>IF(C638&lt;'Investment Calculator'!$C$8*'Investment Calculator'!$F$4,'SIP Schedule'!C638+1,"")</f>
        <v/>
      </c>
      <c r="D639" s="27" t="str">
        <f>IF(C639&lt;='Investment Calculator'!$C$8*'Investment Calculator'!$F$4,'Investment Calculator'!$C$6,"")</f>
        <v/>
      </c>
      <c r="E639" s="27" t="str">
        <f>IFERROR((F638+D639)*'Investment Calculator'!$C$7/'Investment Calculator'!$F$4,"")</f>
        <v/>
      </c>
      <c r="F639" s="27" t="str">
        <f>IFERROR(ABS(FV('Investment Calculator'!$C$7/'Investment Calculator'!$F$4,'SIP Schedule'!C639,'SIP Schedule'!D639,,1)),"")</f>
        <v/>
      </c>
    </row>
    <row r="640" spans="3:6" x14ac:dyDescent="0.3">
      <c r="C640" s="1" t="str">
        <f>IF(C639&lt;'Investment Calculator'!$C$8*'Investment Calculator'!$F$4,'SIP Schedule'!C639+1,"")</f>
        <v/>
      </c>
      <c r="D640" s="27" t="str">
        <f>IF(C640&lt;='Investment Calculator'!$C$8*'Investment Calculator'!$F$4,'Investment Calculator'!$C$6,"")</f>
        <v/>
      </c>
      <c r="E640" s="27" t="str">
        <f>IFERROR((F639+D640)*'Investment Calculator'!$C$7/'Investment Calculator'!$F$4,"")</f>
        <v/>
      </c>
      <c r="F640" s="27" t="str">
        <f>IFERROR(ABS(FV('Investment Calculator'!$C$7/'Investment Calculator'!$F$4,'SIP Schedule'!C640,'SIP Schedule'!D640,,1)),"")</f>
        <v/>
      </c>
    </row>
    <row r="641" spans="3:6" x14ac:dyDescent="0.3">
      <c r="C641" s="1" t="str">
        <f>IF(C640&lt;'Investment Calculator'!$C$8*'Investment Calculator'!$F$4,'SIP Schedule'!C640+1,"")</f>
        <v/>
      </c>
      <c r="D641" s="27" t="str">
        <f>IF(C641&lt;='Investment Calculator'!$C$8*'Investment Calculator'!$F$4,'Investment Calculator'!$C$6,"")</f>
        <v/>
      </c>
      <c r="E641" s="27" t="str">
        <f>IFERROR((F640+D641)*'Investment Calculator'!$C$7/'Investment Calculator'!$F$4,"")</f>
        <v/>
      </c>
      <c r="F641" s="27" t="str">
        <f>IFERROR(ABS(FV('Investment Calculator'!$C$7/'Investment Calculator'!$F$4,'SIP Schedule'!C641,'SIP Schedule'!D641,,1)),"")</f>
        <v/>
      </c>
    </row>
    <row r="642" spans="3:6" x14ac:dyDescent="0.3">
      <c r="C642" s="1" t="str">
        <f>IF(C641&lt;'Investment Calculator'!$C$8*'Investment Calculator'!$F$4,'SIP Schedule'!C641+1,"")</f>
        <v/>
      </c>
      <c r="D642" s="27" t="str">
        <f>IF(C642&lt;='Investment Calculator'!$C$8*'Investment Calculator'!$F$4,'Investment Calculator'!$C$6,"")</f>
        <v/>
      </c>
      <c r="E642" s="27" t="str">
        <f>IFERROR((F641+D642)*'Investment Calculator'!$C$7/'Investment Calculator'!$F$4,"")</f>
        <v/>
      </c>
      <c r="F642" s="27" t="str">
        <f>IFERROR(ABS(FV('Investment Calculator'!$C$7/'Investment Calculator'!$F$4,'SIP Schedule'!C642,'SIP Schedule'!D642,,1)),"")</f>
        <v/>
      </c>
    </row>
    <row r="643" spans="3:6" x14ac:dyDescent="0.3">
      <c r="C643" s="1" t="str">
        <f>IF(C642&lt;'Investment Calculator'!$C$8*'Investment Calculator'!$F$4,'SIP Schedule'!C642+1,"")</f>
        <v/>
      </c>
      <c r="D643" s="27" t="str">
        <f>IF(C643&lt;='Investment Calculator'!$C$8*'Investment Calculator'!$F$4,'Investment Calculator'!$C$6,"")</f>
        <v/>
      </c>
      <c r="E643" s="27" t="str">
        <f>IFERROR((F642+D643)*'Investment Calculator'!$C$7/'Investment Calculator'!$F$4,"")</f>
        <v/>
      </c>
      <c r="F643" s="27" t="str">
        <f>IFERROR(ABS(FV('Investment Calculator'!$C$7/'Investment Calculator'!$F$4,'SIP Schedule'!C643,'SIP Schedule'!D643,,1)),"")</f>
        <v/>
      </c>
    </row>
    <row r="644" spans="3:6" x14ac:dyDescent="0.3">
      <c r="C644" s="1" t="str">
        <f>IF(C643&lt;'Investment Calculator'!$C$8*'Investment Calculator'!$F$4,'SIP Schedule'!C643+1,"")</f>
        <v/>
      </c>
      <c r="D644" s="27" t="str">
        <f>IF(C644&lt;='Investment Calculator'!$C$8*'Investment Calculator'!$F$4,'Investment Calculator'!$C$6,"")</f>
        <v/>
      </c>
      <c r="E644" s="27" t="str">
        <f>IFERROR((F643+D644)*'Investment Calculator'!$C$7/'Investment Calculator'!$F$4,"")</f>
        <v/>
      </c>
      <c r="F644" s="27" t="str">
        <f>IFERROR(ABS(FV('Investment Calculator'!$C$7/'Investment Calculator'!$F$4,'SIP Schedule'!C644,'SIP Schedule'!D644,,1)),"")</f>
        <v/>
      </c>
    </row>
    <row r="645" spans="3:6" x14ac:dyDescent="0.3">
      <c r="C645" s="1" t="str">
        <f>IF(C644&lt;'Investment Calculator'!$C$8*'Investment Calculator'!$F$4,'SIP Schedule'!C644+1,"")</f>
        <v/>
      </c>
      <c r="D645" s="27" t="str">
        <f>IF(C645&lt;='Investment Calculator'!$C$8*'Investment Calculator'!$F$4,'Investment Calculator'!$C$6,"")</f>
        <v/>
      </c>
      <c r="E645" s="27" t="str">
        <f>IFERROR((F644+D645)*'Investment Calculator'!$C$7/'Investment Calculator'!$F$4,"")</f>
        <v/>
      </c>
      <c r="F645" s="27" t="str">
        <f>IFERROR(ABS(FV('Investment Calculator'!$C$7/'Investment Calculator'!$F$4,'SIP Schedule'!C645,'SIP Schedule'!D645,,1)),"")</f>
        <v/>
      </c>
    </row>
    <row r="646" spans="3:6" x14ac:dyDescent="0.3">
      <c r="C646" s="1" t="str">
        <f>IF(C645&lt;'Investment Calculator'!$C$8*'Investment Calculator'!$F$4,'SIP Schedule'!C645+1,"")</f>
        <v/>
      </c>
      <c r="D646" s="27" t="str">
        <f>IF(C646&lt;='Investment Calculator'!$C$8*'Investment Calculator'!$F$4,'Investment Calculator'!$C$6,"")</f>
        <v/>
      </c>
      <c r="E646" s="27" t="str">
        <f>IFERROR((F645+D646)*'Investment Calculator'!$C$7/'Investment Calculator'!$F$4,"")</f>
        <v/>
      </c>
      <c r="F646" s="27" t="str">
        <f>IFERROR(ABS(FV('Investment Calculator'!$C$7/'Investment Calculator'!$F$4,'SIP Schedule'!C646,'SIP Schedule'!D646,,1)),"")</f>
        <v/>
      </c>
    </row>
    <row r="647" spans="3:6" x14ac:dyDescent="0.3">
      <c r="C647" s="1" t="str">
        <f>IF(C646&lt;'Investment Calculator'!$C$8*'Investment Calculator'!$F$4,'SIP Schedule'!C646+1,"")</f>
        <v/>
      </c>
      <c r="D647" s="27" t="str">
        <f>IF(C647&lt;='Investment Calculator'!$C$8*'Investment Calculator'!$F$4,'Investment Calculator'!$C$6,"")</f>
        <v/>
      </c>
      <c r="E647" s="27" t="str">
        <f>IFERROR((F646+D647)*'Investment Calculator'!$C$7/'Investment Calculator'!$F$4,"")</f>
        <v/>
      </c>
      <c r="F647" s="27" t="str">
        <f>IFERROR(ABS(FV('Investment Calculator'!$C$7/'Investment Calculator'!$F$4,'SIP Schedule'!C647,'SIP Schedule'!D647,,1)),"")</f>
        <v/>
      </c>
    </row>
    <row r="648" spans="3:6" x14ac:dyDescent="0.3">
      <c r="C648" s="1" t="str">
        <f>IF(C647&lt;'Investment Calculator'!$C$8*'Investment Calculator'!$F$4,'SIP Schedule'!C647+1,"")</f>
        <v/>
      </c>
      <c r="D648" s="27" t="str">
        <f>IF(C648&lt;='Investment Calculator'!$C$8*'Investment Calculator'!$F$4,'Investment Calculator'!$C$6,"")</f>
        <v/>
      </c>
      <c r="E648" s="27" t="str">
        <f>IFERROR((F647+D648)*'Investment Calculator'!$C$7/'Investment Calculator'!$F$4,"")</f>
        <v/>
      </c>
      <c r="F648" s="27" t="str">
        <f>IFERROR(ABS(FV('Investment Calculator'!$C$7/'Investment Calculator'!$F$4,'SIP Schedule'!C648,'SIP Schedule'!D648,,1)),"")</f>
        <v/>
      </c>
    </row>
    <row r="649" spans="3:6" x14ac:dyDescent="0.3">
      <c r="C649" s="1" t="str">
        <f>IF(C648&lt;'Investment Calculator'!$C$8*'Investment Calculator'!$F$4,'SIP Schedule'!C648+1,"")</f>
        <v/>
      </c>
      <c r="D649" s="27" t="str">
        <f>IF(C649&lt;='Investment Calculator'!$C$8*'Investment Calculator'!$F$4,'Investment Calculator'!$C$6,"")</f>
        <v/>
      </c>
      <c r="E649" s="27" t="str">
        <f>IFERROR((F648+D649)*'Investment Calculator'!$C$7/'Investment Calculator'!$F$4,"")</f>
        <v/>
      </c>
      <c r="F649" s="27" t="str">
        <f>IFERROR(ABS(FV('Investment Calculator'!$C$7/'Investment Calculator'!$F$4,'SIP Schedule'!C649,'SIP Schedule'!D649,,1)),"")</f>
        <v/>
      </c>
    </row>
    <row r="650" spans="3:6" x14ac:dyDescent="0.3">
      <c r="C650" s="1" t="str">
        <f>IF(C649&lt;'Investment Calculator'!$C$8*'Investment Calculator'!$F$4,'SIP Schedule'!C649+1,"")</f>
        <v/>
      </c>
      <c r="D650" s="27" t="str">
        <f>IF(C650&lt;='Investment Calculator'!$C$8*'Investment Calculator'!$F$4,'Investment Calculator'!$C$6,"")</f>
        <v/>
      </c>
      <c r="E650" s="27" t="str">
        <f>IFERROR((F649+D650)*'Investment Calculator'!$C$7/'Investment Calculator'!$F$4,"")</f>
        <v/>
      </c>
      <c r="F650" s="27" t="str">
        <f>IFERROR(ABS(FV('Investment Calculator'!$C$7/'Investment Calculator'!$F$4,'SIP Schedule'!C650,'SIP Schedule'!D650,,1)),"")</f>
        <v/>
      </c>
    </row>
    <row r="651" spans="3:6" x14ac:dyDescent="0.3">
      <c r="C651" s="1" t="str">
        <f>IF(C650&lt;'Investment Calculator'!$C$8*'Investment Calculator'!$F$4,'SIP Schedule'!C650+1,"")</f>
        <v/>
      </c>
      <c r="D651" s="27" t="str">
        <f>IF(C651&lt;='Investment Calculator'!$C$8*'Investment Calculator'!$F$4,'Investment Calculator'!$C$6,"")</f>
        <v/>
      </c>
      <c r="E651" s="27" t="str">
        <f>IFERROR((F650+D651)*'Investment Calculator'!$C$7/'Investment Calculator'!$F$4,"")</f>
        <v/>
      </c>
      <c r="F651" s="27" t="str">
        <f>IFERROR(ABS(FV('Investment Calculator'!$C$7/'Investment Calculator'!$F$4,'SIP Schedule'!C651,'SIP Schedule'!D651,,1)),"")</f>
        <v/>
      </c>
    </row>
    <row r="652" spans="3:6" x14ac:dyDescent="0.3">
      <c r="C652" s="1" t="str">
        <f>IF(C651&lt;'Investment Calculator'!$C$8*'Investment Calculator'!$F$4,'SIP Schedule'!C651+1,"")</f>
        <v/>
      </c>
      <c r="D652" s="27" t="str">
        <f>IF(C652&lt;='Investment Calculator'!$C$8*'Investment Calculator'!$F$4,'Investment Calculator'!$C$6,"")</f>
        <v/>
      </c>
      <c r="E652" s="27" t="str">
        <f>IFERROR((F651+D652)*'Investment Calculator'!$C$7/'Investment Calculator'!$F$4,"")</f>
        <v/>
      </c>
      <c r="F652" s="27" t="str">
        <f>IFERROR(ABS(FV('Investment Calculator'!$C$7/'Investment Calculator'!$F$4,'SIP Schedule'!C652,'SIP Schedule'!D652,,1)),"")</f>
        <v/>
      </c>
    </row>
    <row r="653" spans="3:6" x14ac:dyDescent="0.3">
      <c r="C653" s="1" t="str">
        <f>IF(C652&lt;'Investment Calculator'!$C$8*'Investment Calculator'!$F$4,'SIP Schedule'!C652+1,"")</f>
        <v/>
      </c>
      <c r="D653" s="27" t="str">
        <f>IF(C653&lt;='Investment Calculator'!$C$8*'Investment Calculator'!$F$4,'Investment Calculator'!$C$6,"")</f>
        <v/>
      </c>
      <c r="E653" s="27" t="str">
        <f>IFERROR((F652+D653)*'Investment Calculator'!$C$7/'Investment Calculator'!$F$4,"")</f>
        <v/>
      </c>
      <c r="F653" s="27" t="str">
        <f>IFERROR(ABS(FV('Investment Calculator'!$C$7/'Investment Calculator'!$F$4,'SIP Schedule'!C653,'SIP Schedule'!D653,,1)),"")</f>
        <v/>
      </c>
    </row>
    <row r="654" spans="3:6" x14ac:dyDescent="0.3">
      <c r="C654" s="1" t="str">
        <f>IF(C653&lt;'Investment Calculator'!$C$8*'Investment Calculator'!$F$4,'SIP Schedule'!C653+1,"")</f>
        <v/>
      </c>
      <c r="D654" s="27" t="str">
        <f>IF(C654&lt;='Investment Calculator'!$C$8*'Investment Calculator'!$F$4,'Investment Calculator'!$C$6,"")</f>
        <v/>
      </c>
      <c r="E654" s="27" t="str">
        <f>IFERROR((F653+D654)*'Investment Calculator'!$C$7/'Investment Calculator'!$F$4,"")</f>
        <v/>
      </c>
      <c r="F654" s="27" t="str">
        <f>IFERROR(ABS(FV('Investment Calculator'!$C$7/'Investment Calculator'!$F$4,'SIP Schedule'!C654,'SIP Schedule'!D654,,1)),"")</f>
        <v/>
      </c>
    </row>
    <row r="655" spans="3:6" x14ac:dyDescent="0.3">
      <c r="C655" s="1" t="str">
        <f>IF(C654&lt;'Investment Calculator'!$C$8*'Investment Calculator'!$F$4,'SIP Schedule'!C654+1,"")</f>
        <v/>
      </c>
      <c r="D655" s="27" t="str">
        <f>IF(C655&lt;='Investment Calculator'!$C$8*'Investment Calculator'!$F$4,'Investment Calculator'!$C$6,"")</f>
        <v/>
      </c>
      <c r="E655" s="27" t="str">
        <f>IFERROR((F654+D655)*'Investment Calculator'!$C$7/'Investment Calculator'!$F$4,"")</f>
        <v/>
      </c>
      <c r="F655" s="27" t="str">
        <f>IFERROR(ABS(FV('Investment Calculator'!$C$7/'Investment Calculator'!$F$4,'SIP Schedule'!C655,'SIP Schedule'!D655,,1)),"")</f>
        <v/>
      </c>
    </row>
    <row r="656" spans="3:6" x14ac:dyDescent="0.3">
      <c r="C656" s="1" t="str">
        <f>IF(C655&lt;'Investment Calculator'!$C$8*'Investment Calculator'!$F$4,'SIP Schedule'!C655+1,"")</f>
        <v/>
      </c>
      <c r="D656" s="27" t="str">
        <f>IF(C656&lt;='Investment Calculator'!$C$8*'Investment Calculator'!$F$4,'Investment Calculator'!$C$6,"")</f>
        <v/>
      </c>
      <c r="E656" s="27" t="str">
        <f>IFERROR((F655+D656)*'Investment Calculator'!$C$7/'Investment Calculator'!$F$4,"")</f>
        <v/>
      </c>
      <c r="F656" s="27" t="str">
        <f>IFERROR(ABS(FV('Investment Calculator'!$C$7/'Investment Calculator'!$F$4,'SIP Schedule'!C656,'SIP Schedule'!D656,,1)),"")</f>
        <v/>
      </c>
    </row>
    <row r="657" spans="3:6" x14ac:dyDescent="0.3">
      <c r="C657" s="1" t="str">
        <f>IF(C656&lt;'Investment Calculator'!$C$8*'Investment Calculator'!$F$4,'SIP Schedule'!C656+1,"")</f>
        <v/>
      </c>
      <c r="D657" s="27" t="str">
        <f>IF(C657&lt;='Investment Calculator'!$C$8*'Investment Calculator'!$F$4,'Investment Calculator'!$C$6,"")</f>
        <v/>
      </c>
      <c r="E657" s="27" t="str">
        <f>IFERROR((F656+D657)*'Investment Calculator'!$C$7/'Investment Calculator'!$F$4,"")</f>
        <v/>
      </c>
      <c r="F657" s="27" t="str">
        <f>IFERROR(ABS(FV('Investment Calculator'!$C$7/'Investment Calculator'!$F$4,'SIP Schedule'!C657,'SIP Schedule'!D657,,1)),"")</f>
        <v/>
      </c>
    </row>
    <row r="658" spans="3:6" x14ac:dyDescent="0.3">
      <c r="C658" s="1" t="str">
        <f>IF(C657&lt;'Investment Calculator'!$C$8*'Investment Calculator'!$F$4,'SIP Schedule'!C657+1,"")</f>
        <v/>
      </c>
      <c r="D658" s="27" t="str">
        <f>IF(C658&lt;='Investment Calculator'!$C$8*'Investment Calculator'!$F$4,'Investment Calculator'!$C$6,"")</f>
        <v/>
      </c>
      <c r="E658" s="27" t="str">
        <f>IFERROR((F657+D658)*'Investment Calculator'!$C$7/'Investment Calculator'!$F$4,"")</f>
        <v/>
      </c>
      <c r="F658" s="27" t="str">
        <f>IFERROR(ABS(FV('Investment Calculator'!$C$7/'Investment Calculator'!$F$4,'SIP Schedule'!C658,'SIP Schedule'!D658,,1)),"")</f>
        <v/>
      </c>
    </row>
    <row r="659" spans="3:6" x14ac:dyDescent="0.3">
      <c r="C659" s="1" t="str">
        <f>IF(C658&lt;'Investment Calculator'!$C$8*'Investment Calculator'!$F$4,'SIP Schedule'!C658+1,"")</f>
        <v/>
      </c>
      <c r="D659" s="27" t="str">
        <f>IF(C659&lt;='Investment Calculator'!$C$8*'Investment Calculator'!$F$4,'Investment Calculator'!$C$6,"")</f>
        <v/>
      </c>
      <c r="E659" s="27" t="str">
        <f>IFERROR((F658+D659)*'Investment Calculator'!$C$7/'Investment Calculator'!$F$4,"")</f>
        <v/>
      </c>
      <c r="F659" s="27" t="str">
        <f>IFERROR(ABS(FV('Investment Calculator'!$C$7/'Investment Calculator'!$F$4,'SIP Schedule'!C659,'SIP Schedule'!D659,,1)),"")</f>
        <v/>
      </c>
    </row>
    <row r="660" spans="3:6" x14ac:dyDescent="0.3">
      <c r="C660" s="1" t="str">
        <f>IF(C659&lt;'Investment Calculator'!$C$8*'Investment Calculator'!$F$4,'SIP Schedule'!C659+1,"")</f>
        <v/>
      </c>
      <c r="D660" s="27" t="str">
        <f>IF(C660&lt;='Investment Calculator'!$C$8*'Investment Calculator'!$F$4,'Investment Calculator'!$C$6,"")</f>
        <v/>
      </c>
      <c r="E660" s="27" t="str">
        <f>IFERROR((F659+D660)*'Investment Calculator'!$C$7/'Investment Calculator'!$F$4,"")</f>
        <v/>
      </c>
      <c r="F660" s="27" t="str">
        <f>IFERROR(ABS(FV('Investment Calculator'!$C$7/'Investment Calculator'!$F$4,'SIP Schedule'!C660,'SIP Schedule'!D660,,1)),"")</f>
        <v/>
      </c>
    </row>
    <row r="661" spans="3:6" x14ac:dyDescent="0.3">
      <c r="C661" s="1" t="str">
        <f>IF(C660&lt;'Investment Calculator'!$C$8*'Investment Calculator'!$F$4,'SIP Schedule'!C660+1,"")</f>
        <v/>
      </c>
      <c r="D661" s="27" t="str">
        <f>IF(C661&lt;='Investment Calculator'!$C$8*'Investment Calculator'!$F$4,'Investment Calculator'!$C$6,"")</f>
        <v/>
      </c>
      <c r="E661" s="27" t="str">
        <f>IFERROR((F660+D661)*'Investment Calculator'!$C$7/'Investment Calculator'!$F$4,"")</f>
        <v/>
      </c>
      <c r="F661" s="27" t="str">
        <f>IFERROR(ABS(FV('Investment Calculator'!$C$7/'Investment Calculator'!$F$4,'SIP Schedule'!C661,'SIP Schedule'!D661,,1)),"")</f>
        <v/>
      </c>
    </row>
    <row r="662" spans="3:6" x14ac:dyDescent="0.3">
      <c r="C662" s="1" t="str">
        <f>IF(C661&lt;'Investment Calculator'!$C$8*'Investment Calculator'!$F$4,'SIP Schedule'!C661+1,"")</f>
        <v/>
      </c>
      <c r="D662" s="27" t="str">
        <f>IF(C662&lt;='Investment Calculator'!$C$8*'Investment Calculator'!$F$4,'Investment Calculator'!$C$6,"")</f>
        <v/>
      </c>
      <c r="E662" s="27" t="str">
        <f>IFERROR((F661+D662)*'Investment Calculator'!$C$7/'Investment Calculator'!$F$4,"")</f>
        <v/>
      </c>
      <c r="F662" s="27" t="str">
        <f>IFERROR(ABS(FV('Investment Calculator'!$C$7/'Investment Calculator'!$F$4,'SIP Schedule'!C662,'SIP Schedule'!D662,,1)),"")</f>
        <v/>
      </c>
    </row>
    <row r="663" spans="3:6" x14ac:dyDescent="0.3">
      <c r="C663" s="1" t="str">
        <f>IF(C662&lt;'Investment Calculator'!$C$8*'Investment Calculator'!$F$4,'SIP Schedule'!C662+1,"")</f>
        <v/>
      </c>
      <c r="D663" s="27" t="str">
        <f>IF(C663&lt;='Investment Calculator'!$C$8*'Investment Calculator'!$F$4,'Investment Calculator'!$C$6,"")</f>
        <v/>
      </c>
      <c r="E663" s="27" t="str">
        <f>IFERROR((F662+D663)*'Investment Calculator'!$C$7/'Investment Calculator'!$F$4,"")</f>
        <v/>
      </c>
      <c r="F663" s="27" t="str">
        <f>IFERROR(ABS(FV('Investment Calculator'!$C$7/'Investment Calculator'!$F$4,'SIP Schedule'!C663,'SIP Schedule'!D663,,1)),"")</f>
        <v/>
      </c>
    </row>
    <row r="664" spans="3:6" x14ac:dyDescent="0.3">
      <c r="C664" s="1" t="str">
        <f>IF(C663&lt;'Investment Calculator'!$C$8*'Investment Calculator'!$F$4,'SIP Schedule'!C663+1,"")</f>
        <v/>
      </c>
      <c r="D664" s="27" t="str">
        <f>IF(C664&lt;='Investment Calculator'!$C$8*'Investment Calculator'!$F$4,'Investment Calculator'!$C$6,"")</f>
        <v/>
      </c>
      <c r="E664" s="27" t="str">
        <f>IFERROR((F663+D664)*'Investment Calculator'!$C$7/'Investment Calculator'!$F$4,"")</f>
        <v/>
      </c>
      <c r="F664" s="27" t="str">
        <f>IFERROR(ABS(FV('Investment Calculator'!$C$7/'Investment Calculator'!$F$4,'SIP Schedule'!C664,'SIP Schedule'!D664,,1)),"")</f>
        <v/>
      </c>
    </row>
    <row r="665" spans="3:6" x14ac:dyDescent="0.3">
      <c r="C665" s="1" t="str">
        <f>IF(C664&lt;'Investment Calculator'!$C$8*'Investment Calculator'!$F$4,'SIP Schedule'!C664+1,"")</f>
        <v/>
      </c>
      <c r="D665" s="27" t="str">
        <f>IF(C665&lt;='Investment Calculator'!$C$8*'Investment Calculator'!$F$4,'Investment Calculator'!$C$6,"")</f>
        <v/>
      </c>
      <c r="E665" s="27" t="str">
        <f>IFERROR((F664+D665)*'Investment Calculator'!$C$7/'Investment Calculator'!$F$4,"")</f>
        <v/>
      </c>
      <c r="F665" s="27" t="str">
        <f>IFERROR(ABS(FV('Investment Calculator'!$C$7/'Investment Calculator'!$F$4,'SIP Schedule'!C665,'SIP Schedule'!D665,,1)),"")</f>
        <v/>
      </c>
    </row>
    <row r="666" spans="3:6" x14ac:dyDescent="0.3">
      <c r="C666" s="1" t="str">
        <f>IF(C665&lt;'Investment Calculator'!$C$8*'Investment Calculator'!$F$4,'SIP Schedule'!C665+1,"")</f>
        <v/>
      </c>
      <c r="D666" s="27" t="str">
        <f>IF(C666&lt;='Investment Calculator'!$C$8*'Investment Calculator'!$F$4,'Investment Calculator'!$C$6,"")</f>
        <v/>
      </c>
      <c r="E666" s="27" t="str">
        <f>IFERROR((F665+D666)*'Investment Calculator'!$C$7/'Investment Calculator'!$F$4,"")</f>
        <v/>
      </c>
      <c r="F666" s="27" t="str">
        <f>IFERROR(ABS(FV('Investment Calculator'!$C$7/'Investment Calculator'!$F$4,'SIP Schedule'!C666,'SIP Schedule'!D666,,1)),"")</f>
        <v/>
      </c>
    </row>
    <row r="667" spans="3:6" x14ac:dyDescent="0.3">
      <c r="C667" s="1" t="str">
        <f>IF(C666&lt;'Investment Calculator'!$C$8*'Investment Calculator'!$F$4,'SIP Schedule'!C666+1,"")</f>
        <v/>
      </c>
      <c r="D667" s="27" t="str">
        <f>IF(C667&lt;='Investment Calculator'!$C$8*'Investment Calculator'!$F$4,'Investment Calculator'!$C$6,"")</f>
        <v/>
      </c>
      <c r="E667" s="27" t="str">
        <f>IFERROR((F666+D667)*'Investment Calculator'!$C$7/'Investment Calculator'!$F$4,"")</f>
        <v/>
      </c>
      <c r="F667" s="27" t="str">
        <f>IFERROR(ABS(FV('Investment Calculator'!$C$7/'Investment Calculator'!$F$4,'SIP Schedule'!C667,'SIP Schedule'!D667,,1)),"")</f>
        <v/>
      </c>
    </row>
    <row r="668" spans="3:6" x14ac:dyDescent="0.3">
      <c r="C668" s="1" t="str">
        <f>IF(C667&lt;'Investment Calculator'!$C$8*'Investment Calculator'!$F$4,'SIP Schedule'!C667+1,"")</f>
        <v/>
      </c>
      <c r="D668" s="27" t="str">
        <f>IF(C668&lt;='Investment Calculator'!$C$8*'Investment Calculator'!$F$4,'Investment Calculator'!$C$6,"")</f>
        <v/>
      </c>
      <c r="E668" s="27" t="str">
        <f>IFERROR((F667+D668)*'Investment Calculator'!$C$7/'Investment Calculator'!$F$4,"")</f>
        <v/>
      </c>
      <c r="F668" s="27" t="str">
        <f>IFERROR(ABS(FV('Investment Calculator'!$C$7/'Investment Calculator'!$F$4,'SIP Schedule'!C668,'SIP Schedule'!D668,,1)),"")</f>
        <v/>
      </c>
    </row>
    <row r="669" spans="3:6" x14ac:dyDescent="0.3">
      <c r="C669" s="1" t="str">
        <f>IF(C668&lt;'Investment Calculator'!$C$8*'Investment Calculator'!$F$4,'SIP Schedule'!C668+1,"")</f>
        <v/>
      </c>
      <c r="D669" s="27" t="str">
        <f>IF(C669&lt;='Investment Calculator'!$C$8*'Investment Calculator'!$F$4,'Investment Calculator'!$C$6,"")</f>
        <v/>
      </c>
      <c r="E669" s="27" t="str">
        <f>IFERROR((F668+D669)*'Investment Calculator'!$C$7/'Investment Calculator'!$F$4,"")</f>
        <v/>
      </c>
      <c r="F669" s="27" t="str">
        <f>IFERROR(ABS(FV('Investment Calculator'!$C$7/'Investment Calculator'!$F$4,'SIP Schedule'!C669,'SIP Schedule'!D669,,1)),"")</f>
        <v/>
      </c>
    </row>
    <row r="670" spans="3:6" x14ac:dyDescent="0.3">
      <c r="C670" s="1" t="str">
        <f>IF(C669&lt;'Investment Calculator'!$C$8*'Investment Calculator'!$F$4,'SIP Schedule'!C669+1,"")</f>
        <v/>
      </c>
      <c r="D670" s="27" t="str">
        <f>IF(C670&lt;='Investment Calculator'!$C$8*'Investment Calculator'!$F$4,'Investment Calculator'!$C$6,"")</f>
        <v/>
      </c>
      <c r="E670" s="27" t="str">
        <f>IFERROR((F669+D670)*'Investment Calculator'!$C$7/'Investment Calculator'!$F$4,"")</f>
        <v/>
      </c>
      <c r="F670" s="27" t="str">
        <f>IFERROR(ABS(FV('Investment Calculator'!$C$7/'Investment Calculator'!$F$4,'SIP Schedule'!C670,'SIP Schedule'!D670,,1)),"")</f>
        <v/>
      </c>
    </row>
    <row r="671" spans="3:6" x14ac:dyDescent="0.3">
      <c r="C671" s="1" t="str">
        <f>IF(C670&lt;'Investment Calculator'!$C$8*'Investment Calculator'!$F$4,'SIP Schedule'!C670+1,"")</f>
        <v/>
      </c>
      <c r="D671" s="27" t="str">
        <f>IF(C671&lt;='Investment Calculator'!$C$8*'Investment Calculator'!$F$4,'Investment Calculator'!$C$6,"")</f>
        <v/>
      </c>
      <c r="E671" s="27" t="str">
        <f>IFERROR((F670+D671)*'Investment Calculator'!$C$7/'Investment Calculator'!$F$4,"")</f>
        <v/>
      </c>
      <c r="F671" s="27" t="str">
        <f>IFERROR(ABS(FV('Investment Calculator'!$C$7/'Investment Calculator'!$F$4,'SIP Schedule'!C671,'SIP Schedule'!D671,,1)),"")</f>
        <v/>
      </c>
    </row>
    <row r="672" spans="3:6" x14ac:dyDescent="0.3">
      <c r="C672" s="1" t="str">
        <f>IF(C671&lt;'Investment Calculator'!$C$8*'Investment Calculator'!$F$4,'SIP Schedule'!C671+1,"")</f>
        <v/>
      </c>
      <c r="D672" s="27" t="str">
        <f>IF(C672&lt;='Investment Calculator'!$C$8*'Investment Calculator'!$F$4,'Investment Calculator'!$C$6,"")</f>
        <v/>
      </c>
      <c r="E672" s="27" t="str">
        <f>IFERROR((F671+D672)*'Investment Calculator'!$C$7/'Investment Calculator'!$F$4,"")</f>
        <v/>
      </c>
      <c r="F672" s="27" t="str">
        <f>IFERROR(ABS(FV('Investment Calculator'!$C$7/'Investment Calculator'!$F$4,'SIP Schedule'!C672,'SIP Schedule'!D672,,1)),"")</f>
        <v/>
      </c>
    </row>
    <row r="673" spans="3:6" x14ac:dyDescent="0.3">
      <c r="C673" s="1" t="str">
        <f>IF(C672&lt;'Investment Calculator'!$C$8*'Investment Calculator'!$F$4,'SIP Schedule'!C672+1,"")</f>
        <v/>
      </c>
      <c r="D673" s="27" t="str">
        <f>IF(C673&lt;='Investment Calculator'!$C$8*'Investment Calculator'!$F$4,'Investment Calculator'!$C$6,"")</f>
        <v/>
      </c>
      <c r="E673" s="27" t="str">
        <f>IFERROR((F672+D673)*'Investment Calculator'!$C$7/'Investment Calculator'!$F$4,"")</f>
        <v/>
      </c>
      <c r="F673" s="27" t="str">
        <f>IFERROR(ABS(FV('Investment Calculator'!$C$7/'Investment Calculator'!$F$4,'SIP Schedule'!C673,'SIP Schedule'!D673,,1)),"")</f>
        <v/>
      </c>
    </row>
    <row r="674" spans="3:6" x14ac:dyDescent="0.3">
      <c r="C674" s="1" t="str">
        <f>IF(C673&lt;'Investment Calculator'!$C$8*'Investment Calculator'!$F$4,'SIP Schedule'!C673+1,"")</f>
        <v/>
      </c>
      <c r="D674" s="27" t="str">
        <f>IF(C674&lt;='Investment Calculator'!$C$8*'Investment Calculator'!$F$4,'Investment Calculator'!$C$6,"")</f>
        <v/>
      </c>
      <c r="E674" s="27" t="str">
        <f>IFERROR((F673+D674)*'Investment Calculator'!$C$7/'Investment Calculator'!$F$4,"")</f>
        <v/>
      </c>
      <c r="F674" s="27" t="str">
        <f>IFERROR(ABS(FV('Investment Calculator'!$C$7/'Investment Calculator'!$F$4,'SIP Schedule'!C674,'SIP Schedule'!D674,,1)),"")</f>
        <v/>
      </c>
    </row>
    <row r="675" spans="3:6" x14ac:dyDescent="0.3">
      <c r="C675" s="1" t="str">
        <f>IF(C674&lt;'Investment Calculator'!$C$8*'Investment Calculator'!$F$4,'SIP Schedule'!C674+1,"")</f>
        <v/>
      </c>
      <c r="D675" s="27" t="str">
        <f>IF(C675&lt;='Investment Calculator'!$C$8*'Investment Calculator'!$F$4,'Investment Calculator'!$C$6,"")</f>
        <v/>
      </c>
      <c r="E675" s="27" t="str">
        <f>IFERROR((F674+D675)*'Investment Calculator'!$C$7/'Investment Calculator'!$F$4,"")</f>
        <v/>
      </c>
      <c r="F675" s="27" t="str">
        <f>IFERROR(ABS(FV('Investment Calculator'!$C$7/'Investment Calculator'!$F$4,'SIP Schedule'!C675,'SIP Schedule'!D675,,1)),"")</f>
        <v/>
      </c>
    </row>
    <row r="676" spans="3:6" x14ac:dyDescent="0.3">
      <c r="C676" s="1" t="str">
        <f>IF(C675&lt;'Investment Calculator'!$C$8*'Investment Calculator'!$F$4,'SIP Schedule'!C675+1,"")</f>
        <v/>
      </c>
      <c r="D676" s="27" t="str">
        <f>IF(C676&lt;='Investment Calculator'!$C$8*'Investment Calculator'!$F$4,'Investment Calculator'!$C$6,"")</f>
        <v/>
      </c>
      <c r="E676" s="27" t="str">
        <f>IFERROR((F675+D676)*'Investment Calculator'!$C$7/'Investment Calculator'!$F$4,"")</f>
        <v/>
      </c>
      <c r="F676" s="27" t="str">
        <f>IFERROR(ABS(FV('Investment Calculator'!$C$7/'Investment Calculator'!$F$4,'SIP Schedule'!C676,'SIP Schedule'!D676,,1)),"")</f>
        <v/>
      </c>
    </row>
    <row r="677" spans="3:6" x14ac:dyDescent="0.3">
      <c r="C677" s="1" t="str">
        <f>IF(C676&lt;'Investment Calculator'!$C$8*'Investment Calculator'!$F$4,'SIP Schedule'!C676+1,"")</f>
        <v/>
      </c>
      <c r="D677" s="27" t="str">
        <f>IF(C677&lt;='Investment Calculator'!$C$8*'Investment Calculator'!$F$4,'Investment Calculator'!$C$6,"")</f>
        <v/>
      </c>
      <c r="E677" s="27" t="str">
        <f>IFERROR((F676+D677)*'Investment Calculator'!$C$7/'Investment Calculator'!$F$4,"")</f>
        <v/>
      </c>
      <c r="F677" s="27" t="str">
        <f>IFERROR(ABS(FV('Investment Calculator'!$C$7/'Investment Calculator'!$F$4,'SIP Schedule'!C677,'SIP Schedule'!D677,,1)),"")</f>
        <v/>
      </c>
    </row>
    <row r="678" spans="3:6" x14ac:dyDescent="0.3">
      <c r="C678" s="1" t="str">
        <f>IF(C677&lt;'Investment Calculator'!$C$8*'Investment Calculator'!$F$4,'SIP Schedule'!C677+1,"")</f>
        <v/>
      </c>
      <c r="D678" s="27" t="str">
        <f>IF(C678&lt;='Investment Calculator'!$C$8*'Investment Calculator'!$F$4,'Investment Calculator'!$C$6,"")</f>
        <v/>
      </c>
      <c r="E678" s="27" t="str">
        <f>IFERROR((F677+D678)*'Investment Calculator'!$C$7/'Investment Calculator'!$F$4,"")</f>
        <v/>
      </c>
      <c r="F678" s="27" t="str">
        <f>IFERROR(ABS(FV('Investment Calculator'!$C$7/'Investment Calculator'!$F$4,'SIP Schedule'!C678,'SIP Schedule'!D678,,1)),"")</f>
        <v/>
      </c>
    </row>
    <row r="679" spans="3:6" x14ac:dyDescent="0.3">
      <c r="C679" s="1" t="str">
        <f>IF(C678&lt;'Investment Calculator'!$C$8*'Investment Calculator'!$F$4,'SIP Schedule'!C678+1,"")</f>
        <v/>
      </c>
      <c r="D679" s="27" t="str">
        <f>IF(C679&lt;='Investment Calculator'!$C$8*'Investment Calculator'!$F$4,'Investment Calculator'!$C$6,"")</f>
        <v/>
      </c>
      <c r="E679" s="27" t="str">
        <f>IFERROR((F678+D679)*'Investment Calculator'!$C$7/'Investment Calculator'!$F$4,"")</f>
        <v/>
      </c>
      <c r="F679" s="27" t="str">
        <f>IFERROR(ABS(FV('Investment Calculator'!$C$7/'Investment Calculator'!$F$4,'SIP Schedule'!C679,'SIP Schedule'!D679,,1)),"")</f>
        <v/>
      </c>
    </row>
    <row r="680" spans="3:6" x14ac:dyDescent="0.3">
      <c r="C680" s="1" t="str">
        <f>IF(C679&lt;'Investment Calculator'!$C$8*'Investment Calculator'!$F$4,'SIP Schedule'!C679+1,"")</f>
        <v/>
      </c>
      <c r="D680" s="27" t="str">
        <f>IF(C680&lt;='Investment Calculator'!$C$8*'Investment Calculator'!$F$4,'Investment Calculator'!$C$6,"")</f>
        <v/>
      </c>
      <c r="E680" s="27" t="str">
        <f>IFERROR((F679+D680)*'Investment Calculator'!$C$7/'Investment Calculator'!$F$4,"")</f>
        <v/>
      </c>
      <c r="F680" s="27" t="str">
        <f>IFERROR(ABS(FV('Investment Calculator'!$C$7/'Investment Calculator'!$F$4,'SIP Schedule'!C680,'SIP Schedule'!D680,,1)),"")</f>
        <v/>
      </c>
    </row>
    <row r="681" spans="3:6" x14ac:dyDescent="0.3">
      <c r="C681" s="1" t="str">
        <f>IF(C680&lt;'Investment Calculator'!$C$8*'Investment Calculator'!$F$4,'SIP Schedule'!C680+1,"")</f>
        <v/>
      </c>
      <c r="D681" s="27" t="str">
        <f>IF(C681&lt;='Investment Calculator'!$C$8*'Investment Calculator'!$F$4,'Investment Calculator'!$C$6,"")</f>
        <v/>
      </c>
      <c r="E681" s="27" t="str">
        <f>IFERROR((F680+D681)*'Investment Calculator'!$C$7/'Investment Calculator'!$F$4,"")</f>
        <v/>
      </c>
      <c r="F681" s="27" t="str">
        <f>IFERROR(ABS(FV('Investment Calculator'!$C$7/'Investment Calculator'!$F$4,'SIP Schedule'!C681,'SIP Schedule'!D681,,1)),"")</f>
        <v/>
      </c>
    </row>
    <row r="682" spans="3:6" x14ac:dyDescent="0.3">
      <c r="C682" s="1" t="str">
        <f>IF(C681&lt;'Investment Calculator'!$C$8*'Investment Calculator'!$F$4,'SIP Schedule'!C681+1,"")</f>
        <v/>
      </c>
      <c r="D682" s="27" t="str">
        <f>IF(C682&lt;='Investment Calculator'!$C$8*'Investment Calculator'!$F$4,'Investment Calculator'!$C$6,"")</f>
        <v/>
      </c>
      <c r="E682" s="27" t="str">
        <f>IFERROR((F681+D682)*'Investment Calculator'!$C$7/'Investment Calculator'!$F$4,"")</f>
        <v/>
      </c>
      <c r="F682" s="27" t="str">
        <f>IFERROR(ABS(FV('Investment Calculator'!$C$7/'Investment Calculator'!$F$4,'SIP Schedule'!C682,'SIP Schedule'!D682,,1)),"")</f>
        <v/>
      </c>
    </row>
    <row r="683" spans="3:6" x14ac:dyDescent="0.3">
      <c r="C683" s="1" t="str">
        <f>IF(C682&lt;'Investment Calculator'!$C$8*'Investment Calculator'!$F$4,'SIP Schedule'!C682+1,"")</f>
        <v/>
      </c>
      <c r="D683" s="27" t="str">
        <f>IF(C683&lt;='Investment Calculator'!$C$8*'Investment Calculator'!$F$4,'Investment Calculator'!$C$6,"")</f>
        <v/>
      </c>
      <c r="E683" s="27" t="str">
        <f>IFERROR((F682+D683)*'Investment Calculator'!$C$7/'Investment Calculator'!$F$4,"")</f>
        <v/>
      </c>
      <c r="F683" s="27" t="str">
        <f>IFERROR(ABS(FV('Investment Calculator'!$C$7/'Investment Calculator'!$F$4,'SIP Schedule'!C683,'SIP Schedule'!D683,,1)),"")</f>
        <v/>
      </c>
    </row>
    <row r="684" spans="3:6" x14ac:dyDescent="0.3">
      <c r="C684" s="1" t="str">
        <f>IF(C683&lt;'Investment Calculator'!$C$8*'Investment Calculator'!$F$4,'SIP Schedule'!C683+1,"")</f>
        <v/>
      </c>
      <c r="D684" s="27" t="str">
        <f>IF(C684&lt;='Investment Calculator'!$C$8*'Investment Calculator'!$F$4,'Investment Calculator'!$C$6,"")</f>
        <v/>
      </c>
      <c r="E684" s="27" t="str">
        <f>IFERROR((F683+D684)*'Investment Calculator'!$C$7/'Investment Calculator'!$F$4,"")</f>
        <v/>
      </c>
      <c r="F684" s="27" t="str">
        <f>IFERROR(ABS(FV('Investment Calculator'!$C$7/'Investment Calculator'!$F$4,'SIP Schedule'!C684,'SIP Schedule'!D684,,1)),"")</f>
        <v/>
      </c>
    </row>
    <row r="685" spans="3:6" x14ac:dyDescent="0.3">
      <c r="C685" s="1" t="str">
        <f>IF(C684&lt;'Investment Calculator'!$C$8*'Investment Calculator'!$F$4,'SIP Schedule'!C684+1,"")</f>
        <v/>
      </c>
      <c r="D685" s="27" t="str">
        <f>IF(C685&lt;='Investment Calculator'!$C$8*'Investment Calculator'!$F$4,'Investment Calculator'!$C$6,"")</f>
        <v/>
      </c>
      <c r="E685" s="27" t="str">
        <f>IFERROR((F684+D685)*'Investment Calculator'!$C$7/'Investment Calculator'!$F$4,"")</f>
        <v/>
      </c>
      <c r="F685" s="27" t="str">
        <f>IFERROR(ABS(FV('Investment Calculator'!$C$7/'Investment Calculator'!$F$4,'SIP Schedule'!C685,'SIP Schedule'!D685,,1)),"")</f>
        <v/>
      </c>
    </row>
    <row r="686" spans="3:6" x14ac:dyDescent="0.3">
      <c r="C686" s="1" t="str">
        <f>IF(C685&lt;'Investment Calculator'!$C$8*'Investment Calculator'!$F$4,'SIP Schedule'!C685+1,"")</f>
        <v/>
      </c>
      <c r="D686" s="27" t="str">
        <f>IF(C686&lt;='Investment Calculator'!$C$8*'Investment Calculator'!$F$4,'Investment Calculator'!$C$6,"")</f>
        <v/>
      </c>
      <c r="E686" s="27" t="str">
        <f>IFERROR((F685+D686)*'Investment Calculator'!$C$7/'Investment Calculator'!$F$4,"")</f>
        <v/>
      </c>
      <c r="F686" s="27" t="str">
        <f>IFERROR(ABS(FV('Investment Calculator'!$C$7/'Investment Calculator'!$F$4,'SIP Schedule'!C686,'SIP Schedule'!D686,,1)),"")</f>
        <v/>
      </c>
    </row>
    <row r="687" spans="3:6" x14ac:dyDescent="0.3">
      <c r="C687" s="1" t="str">
        <f>IF(C686&lt;'Investment Calculator'!$C$8*'Investment Calculator'!$F$4,'SIP Schedule'!C686+1,"")</f>
        <v/>
      </c>
      <c r="D687" s="27" t="str">
        <f>IF(C687&lt;='Investment Calculator'!$C$8*'Investment Calculator'!$F$4,'Investment Calculator'!$C$6,"")</f>
        <v/>
      </c>
      <c r="E687" s="27" t="str">
        <f>IFERROR((F686+D687)*'Investment Calculator'!$C$7/'Investment Calculator'!$F$4,"")</f>
        <v/>
      </c>
      <c r="F687" s="27" t="str">
        <f>IFERROR(ABS(FV('Investment Calculator'!$C$7/'Investment Calculator'!$F$4,'SIP Schedule'!C687,'SIP Schedule'!D687,,1)),"")</f>
        <v/>
      </c>
    </row>
    <row r="688" spans="3:6" x14ac:dyDescent="0.3">
      <c r="C688" s="1" t="str">
        <f>IF(C687&lt;'Investment Calculator'!$C$8*'Investment Calculator'!$F$4,'SIP Schedule'!C687+1,"")</f>
        <v/>
      </c>
      <c r="D688" s="27" t="str">
        <f>IF(C688&lt;='Investment Calculator'!$C$8*'Investment Calculator'!$F$4,'Investment Calculator'!$C$6,"")</f>
        <v/>
      </c>
      <c r="E688" s="27" t="str">
        <f>IFERROR((F687+D688)*'Investment Calculator'!$C$7/'Investment Calculator'!$F$4,"")</f>
        <v/>
      </c>
      <c r="F688" s="27" t="str">
        <f>IFERROR(ABS(FV('Investment Calculator'!$C$7/'Investment Calculator'!$F$4,'SIP Schedule'!C688,'SIP Schedule'!D688,,1)),"")</f>
        <v/>
      </c>
    </row>
    <row r="689" spans="3:6" x14ac:dyDescent="0.3">
      <c r="C689" s="1" t="str">
        <f>IF(C688&lt;'Investment Calculator'!$C$8*'Investment Calculator'!$F$4,'SIP Schedule'!C688+1,"")</f>
        <v/>
      </c>
      <c r="D689" s="27" t="str">
        <f>IF(C689&lt;='Investment Calculator'!$C$8*'Investment Calculator'!$F$4,'Investment Calculator'!$C$6,"")</f>
        <v/>
      </c>
      <c r="E689" s="27" t="str">
        <f>IFERROR((F688+D689)*'Investment Calculator'!$C$7/'Investment Calculator'!$F$4,"")</f>
        <v/>
      </c>
      <c r="F689" s="27" t="str">
        <f>IFERROR(ABS(FV('Investment Calculator'!$C$7/'Investment Calculator'!$F$4,'SIP Schedule'!C689,'SIP Schedule'!D689,,1)),"")</f>
        <v/>
      </c>
    </row>
    <row r="690" spans="3:6" x14ac:dyDescent="0.3">
      <c r="C690" s="1" t="str">
        <f>IF(C689&lt;'Investment Calculator'!$C$8*'Investment Calculator'!$F$4,'SIP Schedule'!C689+1,"")</f>
        <v/>
      </c>
      <c r="D690" s="27" t="str">
        <f>IF(C690&lt;='Investment Calculator'!$C$8*'Investment Calculator'!$F$4,'Investment Calculator'!$C$6,"")</f>
        <v/>
      </c>
      <c r="E690" s="27" t="str">
        <f>IFERROR((F689+D690)*'Investment Calculator'!$C$7/'Investment Calculator'!$F$4,"")</f>
        <v/>
      </c>
      <c r="F690" s="27" t="str">
        <f>IFERROR(ABS(FV('Investment Calculator'!$C$7/'Investment Calculator'!$F$4,'SIP Schedule'!C690,'SIP Schedule'!D690,,1)),"")</f>
        <v/>
      </c>
    </row>
    <row r="691" spans="3:6" x14ac:dyDescent="0.3">
      <c r="C691" s="1" t="str">
        <f>IF(C690&lt;'Investment Calculator'!$C$8*'Investment Calculator'!$F$4,'SIP Schedule'!C690+1,"")</f>
        <v/>
      </c>
      <c r="D691" s="27" t="str">
        <f>IF(C691&lt;='Investment Calculator'!$C$8*'Investment Calculator'!$F$4,'Investment Calculator'!$C$6,"")</f>
        <v/>
      </c>
      <c r="E691" s="27" t="str">
        <f>IFERROR((F690+D691)*'Investment Calculator'!$C$7/'Investment Calculator'!$F$4,"")</f>
        <v/>
      </c>
      <c r="F691" s="27" t="str">
        <f>IFERROR(ABS(FV('Investment Calculator'!$C$7/'Investment Calculator'!$F$4,'SIP Schedule'!C691,'SIP Schedule'!D691,,1)),"")</f>
        <v/>
      </c>
    </row>
    <row r="692" spans="3:6" x14ac:dyDescent="0.3">
      <c r="C692" s="1" t="str">
        <f>IF(C691&lt;'Investment Calculator'!$C$8*'Investment Calculator'!$F$4,'SIP Schedule'!C691+1,"")</f>
        <v/>
      </c>
      <c r="D692" s="27" t="str">
        <f>IF(C692&lt;='Investment Calculator'!$C$8*'Investment Calculator'!$F$4,'Investment Calculator'!$C$6,"")</f>
        <v/>
      </c>
      <c r="E692" s="27" t="str">
        <f>IFERROR((F691+D692)*'Investment Calculator'!$C$7/'Investment Calculator'!$F$4,"")</f>
        <v/>
      </c>
      <c r="F692" s="27" t="str">
        <f>IFERROR(ABS(FV('Investment Calculator'!$C$7/'Investment Calculator'!$F$4,'SIP Schedule'!C692,'SIP Schedule'!D692,,1)),"")</f>
        <v/>
      </c>
    </row>
    <row r="693" spans="3:6" x14ac:dyDescent="0.3">
      <c r="C693" s="1" t="str">
        <f>IF(C692&lt;'Investment Calculator'!$C$8*'Investment Calculator'!$F$4,'SIP Schedule'!C692+1,"")</f>
        <v/>
      </c>
      <c r="D693" s="27" t="str">
        <f>IF(C693&lt;='Investment Calculator'!$C$8*'Investment Calculator'!$F$4,'Investment Calculator'!$C$6,"")</f>
        <v/>
      </c>
      <c r="E693" s="27" t="str">
        <f>IFERROR((F692+D693)*'Investment Calculator'!$C$7/'Investment Calculator'!$F$4,"")</f>
        <v/>
      </c>
      <c r="F693" s="27" t="str">
        <f>IFERROR(ABS(FV('Investment Calculator'!$C$7/'Investment Calculator'!$F$4,'SIP Schedule'!C693,'SIP Schedule'!D693,,1)),"")</f>
        <v/>
      </c>
    </row>
    <row r="694" spans="3:6" x14ac:dyDescent="0.3">
      <c r="C694" s="1" t="str">
        <f>IF(C693&lt;'Investment Calculator'!$C$8*'Investment Calculator'!$F$4,'SIP Schedule'!C693+1,"")</f>
        <v/>
      </c>
      <c r="D694" s="27" t="str">
        <f>IF(C694&lt;='Investment Calculator'!$C$8*'Investment Calculator'!$F$4,'Investment Calculator'!$C$6,"")</f>
        <v/>
      </c>
      <c r="E694" s="27" t="str">
        <f>IFERROR((F693+D694)*'Investment Calculator'!$C$7/'Investment Calculator'!$F$4,"")</f>
        <v/>
      </c>
      <c r="F694" s="27" t="str">
        <f>IFERROR(ABS(FV('Investment Calculator'!$C$7/'Investment Calculator'!$F$4,'SIP Schedule'!C694,'SIP Schedule'!D694,,1)),"")</f>
        <v/>
      </c>
    </row>
    <row r="695" spans="3:6" x14ac:dyDescent="0.3">
      <c r="C695" s="1" t="str">
        <f>IF(C694&lt;'Investment Calculator'!$C$8*'Investment Calculator'!$F$4,'SIP Schedule'!C694+1,"")</f>
        <v/>
      </c>
      <c r="D695" s="27" t="str">
        <f>IF(C695&lt;='Investment Calculator'!$C$8*'Investment Calculator'!$F$4,'Investment Calculator'!$C$6,"")</f>
        <v/>
      </c>
      <c r="E695" s="27" t="str">
        <f>IFERROR((F694+D695)*'Investment Calculator'!$C$7/'Investment Calculator'!$F$4,"")</f>
        <v/>
      </c>
      <c r="F695" s="27" t="str">
        <f>IFERROR(ABS(FV('Investment Calculator'!$C$7/'Investment Calculator'!$F$4,'SIP Schedule'!C695,'SIP Schedule'!D695,,1)),"")</f>
        <v/>
      </c>
    </row>
    <row r="696" spans="3:6" x14ac:dyDescent="0.3">
      <c r="C696" s="1" t="str">
        <f>IF(C695&lt;'Investment Calculator'!$C$8*'Investment Calculator'!$F$4,'SIP Schedule'!C695+1,"")</f>
        <v/>
      </c>
      <c r="D696" s="27" t="str">
        <f>IF(C696&lt;='Investment Calculator'!$C$8*'Investment Calculator'!$F$4,'Investment Calculator'!$C$6,"")</f>
        <v/>
      </c>
      <c r="E696" s="27" t="str">
        <f>IFERROR((F695+D696)*'Investment Calculator'!$C$7/'Investment Calculator'!$F$4,"")</f>
        <v/>
      </c>
      <c r="F696" s="27" t="str">
        <f>IFERROR(ABS(FV('Investment Calculator'!$C$7/'Investment Calculator'!$F$4,'SIP Schedule'!C696,'SIP Schedule'!D696,,1)),"")</f>
        <v/>
      </c>
    </row>
    <row r="697" spans="3:6" x14ac:dyDescent="0.3">
      <c r="C697" s="1" t="str">
        <f>IF(C696&lt;'Investment Calculator'!$C$8*'Investment Calculator'!$F$4,'SIP Schedule'!C696+1,"")</f>
        <v/>
      </c>
      <c r="D697" s="27" t="str">
        <f>IF(C697&lt;='Investment Calculator'!$C$8*'Investment Calculator'!$F$4,'Investment Calculator'!$C$6,"")</f>
        <v/>
      </c>
      <c r="E697" s="27" t="str">
        <f>IFERROR((F696+D697)*'Investment Calculator'!$C$7/'Investment Calculator'!$F$4,"")</f>
        <v/>
      </c>
      <c r="F697" s="27" t="str">
        <f>IFERROR(ABS(FV('Investment Calculator'!$C$7/'Investment Calculator'!$F$4,'SIP Schedule'!C697,'SIP Schedule'!D697,,1)),"")</f>
        <v/>
      </c>
    </row>
    <row r="698" spans="3:6" x14ac:dyDescent="0.3">
      <c r="C698" s="1" t="str">
        <f>IF(C697&lt;'Investment Calculator'!$C$8*'Investment Calculator'!$F$4,'SIP Schedule'!C697+1,"")</f>
        <v/>
      </c>
      <c r="D698" s="27" t="str">
        <f>IF(C698&lt;='Investment Calculator'!$C$8*'Investment Calculator'!$F$4,'Investment Calculator'!$C$6,"")</f>
        <v/>
      </c>
      <c r="E698" s="27" t="str">
        <f>IFERROR((F697+D698)*'Investment Calculator'!$C$7/'Investment Calculator'!$F$4,"")</f>
        <v/>
      </c>
      <c r="F698" s="27" t="str">
        <f>IFERROR(ABS(FV('Investment Calculator'!$C$7/'Investment Calculator'!$F$4,'SIP Schedule'!C698,'SIP Schedule'!D698,,1)),"")</f>
        <v/>
      </c>
    </row>
    <row r="699" spans="3:6" x14ac:dyDescent="0.3">
      <c r="C699" s="1" t="str">
        <f>IF(C698&lt;'Investment Calculator'!$C$8*'Investment Calculator'!$F$4,'SIP Schedule'!C698+1,"")</f>
        <v/>
      </c>
      <c r="D699" s="27" t="str">
        <f>IF(C699&lt;='Investment Calculator'!$C$8*'Investment Calculator'!$F$4,'Investment Calculator'!$C$6,"")</f>
        <v/>
      </c>
      <c r="E699" s="27" t="str">
        <f>IFERROR((F698+D699)*'Investment Calculator'!$C$7/'Investment Calculator'!$F$4,"")</f>
        <v/>
      </c>
      <c r="F699" s="27" t="str">
        <f>IFERROR(ABS(FV('Investment Calculator'!$C$7/'Investment Calculator'!$F$4,'SIP Schedule'!C699,'SIP Schedule'!D699,,1)),"")</f>
        <v/>
      </c>
    </row>
    <row r="700" spans="3:6" x14ac:dyDescent="0.3">
      <c r="C700" s="1" t="str">
        <f>IF(C699&lt;'Investment Calculator'!$C$8*'Investment Calculator'!$F$4,'SIP Schedule'!C699+1,"")</f>
        <v/>
      </c>
      <c r="D700" s="27" t="str">
        <f>IF(C700&lt;='Investment Calculator'!$C$8*'Investment Calculator'!$F$4,'Investment Calculator'!$C$6,"")</f>
        <v/>
      </c>
      <c r="E700" s="27" t="str">
        <f>IFERROR((F699+D700)*'Investment Calculator'!$C$7/'Investment Calculator'!$F$4,"")</f>
        <v/>
      </c>
      <c r="F700" s="27" t="str">
        <f>IFERROR(ABS(FV('Investment Calculator'!$C$7/'Investment Calculator'!$F$4,'SIP Schedule'!C700,'SIP Schedule'!D700,,1)),"")</f>
        <v/>
      </c>
    </row>
    <row r="701" spans="3:6" x14ac:dyDescent="0.3">
      <c r="C701" s="1" t="str">
        <f>IF(C700&lt;'Investment Calculator'!$C$8*'Investment Calculator'!$F$4,'SIP Schedule'!C700+1,"")</f>
        <v/>
      </c>
      <c r="D701" s="27" t="str">
        <f>IF(C701&lt;='Investment Calculator'!$C$8*'Investment Calculator'!$F$4,'Investment Calculator'!$C$6,"")</f>
        <v/>
      </c>
      <c r="E701" s="27" t="str">
        <f>IFERROR((F700+D701)*'Investment Calculator'!$C$7/'Investment Calculator'!$F$4,"")</f>
        <v/>
      </c>
      <c r="F701" s="27" t="str">
        <f>IFERROR(ABS(FV('Investment Calculator'!$C$7/'Investment Calculator'!$F$4,'SIP Schedule'!C701,'SIP Schedule'!D701,,1)),"")</f>
        <v/>
      </c>
    </row>
    <row r="702" spans="3:6" x14ac:dyDescent="0.3">
      <c r="C702" s="1" t="str">
        <f>IF(C701&lt;'Investment Calculator'!$C$8*'Investment Calculator'!$F$4,'SIP Schedule'!C701+1,"")</f>
        <v/>
      </c>
      <c r="D702" s="27" t="str">
        <f>IF(C702&lt;='Investment Calculator'!$C$8*'Investment Calculator'!$F$4,'Investment Calculator'!$C$6,"")</f>
        <v/>
      </c>
      <c r="E702" s="27" t="str">
        <f>IFERROR((F701+D702)*'Investment Calculator'!$C$7/'Investment Calculator'!$F$4,"")</f>
        <v/>
      </c>
      <c r="F702" s="27" t="str">
        <f>IFERROR(ABS(FV('Investment Calculator'!$C$7/'Investment Calculator'!$F$4,'SIP Schedule'!C702,'SIP Schedule'!D702,,1)),"")</f>
        <v/>
      </c>
    </row>
    <row r="703" spans="3:6" x14ac:dyDescent="0.3">
      <c r="C703" s="1" t="str">
        <f>IF(C702&lt;'Investment Calculator'!$C$8*'Investment Calculator'!$F$4,'SIP Schedule'!C702+1,"")</f>
        <v/>
      </c>
      <c r="D703" s="27" t="str">
        <f>IF(C703&lt;='Investment Calculator'!$C$8*'Investment Calculator'!$F$4,'Investment Calculator'!$C$6,"")</f>
        <v/>
      </c>
      <c r="E703" s="27" t="str">
        <f>IFERROR((F702+D703)*'Investment Calculator'!$C$7/'Investment Calculator'!$F$4,"")</f>
        <v/>
      </c>
      <c r="F703" s="27" t="str">
        <f>IFERROR(ABS(FV('Investment Calculator'!$C$7/'Investment Calculator'!$F$4,'SIP Schedule'!C703,'SIP Schedule'!D703,,1)),"")</f>
        <v/>
      </c>
    </row>
    <row r="704" spans="3:6" x14ac:dyDescent="0.3">
      <c r="C704" s="1" t="str">
        <f>IF(C703&lt;'Investment Calculator'!$C$8*'Investment Calculator'!$F$4,'SIP Schedule'!C703+1,"")</f>
        <v/>
      </c>
      <c r="D704" s="27" t="str">
        <f>IF(C704&lt;='Investment Calculator'!$C$8*'Investment Calculator'!$F$4,'Investment Calculator'!$C$6,"")</f>
        <v/>
      </c>
      <c r="E704" s="27" t="str">
        <f>IFERROR((F703+D704)*'Investment Calculator'!$C$7/'Investment Calculator'!$F$4,"")</f>
        <v/>
      </c>
      <c r="F704" s="27" t="str">
        <f>IFERROR(ABS(FV('Investment Calculator'!$C$7/'Investment Calculator'!$F$4,'SIP Schedule'!C704,'SIP Schedule'!D704,,1)),"")</f>
        <v/>
      </c>
    </row>
    <row r="705" spans="3:6" x14ac:dyDescent="0.3">
      <c r="C705" s="1" t="str">
        <f>IF(C704&lt;'Investment Calculator'!$C$8*'Investment Calculator'!$F$4,'SIP Schedule'!C704+1,"")</f>
        <v/>
      </c>
      <c r="D705" s="27" t="str">
        <f>IF(C705&lt;='Investment Calculator'!$C$8*'Investment Calculator'!$F$4,'Investment Calculator'!$C$6,"")</f>
        <v/>
      </c>
      <c r="E705" s="27" t="str">
        <f>IFERROR((F704+D705)*'Investment Calculator'!$C$7/'Investment Calculator'!$F$4,"")</f>
        <v/>
      </c>
      <c r="F705" s="27" t="str">
        <f>IFERROR(ABS(FV('Investment Calculator'!$C$7/'Investment Calculator'!$F$4,'SIP Schedule'!C705,'SIP Schedule'!D705,,1)),"")</f>
        <v/>
      </c>
    </row>
    <row r="706" spans="3:6" x14ac:dyDescent="0.3">
      <c r="C706" s="1" t="str">
        <f>IF(C705&lt;'Investment Calculator'!$C$8*'Investment Calculator'!$F$4,'SIP Schedule'!C705+1,"")</f>
        <v/>
      </c>
      <c r="D706" s="27" t="str">
        <f>IF(C706&lt;='Investment Calculator'!$C$8*'Investment Calculator'!$F$4,'Investment Calculator'!$C$6,"")</f>
        <v/>
      </c>
      <c r="E706" s="27" t="str">
        <f>IFERROR((F705+D706)*'Investment Calculator'!$C$7/'Investment Calculator'!$F$4,"")</f>
        <v/>
      </c>
      <c r="F706" s="27" t="str">
        <f>IFERROR(ABS(FV('Investment Calculator'!$C$7/'Investment Calculator'!$F$4,'SIP Schedule'!C706,'SIP Schedule'!D706,,1)),"")</f>
        <v/>
      </c>
    </row>
    <row r="707" spans="3:6" x14ac:dyDescent="0.3">
      <c r="C707" s="1" t="str">
        <f>IF(C706&lt;'Investment Calculator'!$C$8*'Investment Calculator'!$F$4,'SIP Schedule'!C706+1,"")</f>
        <v/>
      </c>
      <c r="D707" s="27" t="str">
        <f>IF(C707&lt;='Investment Calculator'!$C$8*'Investment Calculator'!$F$4,'Investment Calculator'!$C$6,"")</f>
        <v/>
      </c>
      <c r="E707" s="27" t="str">
        <f>IFERROR((F706+D707)*'Investment Calculator'!$C$7/'Investment Calculator'!$F$4,"")</f>
        <v/>
      </c>
      <c r="F707" s="27" t="str">
        <f>IFERROR(ABS(FV('Investment Calculator'!$C$7/'Investment Calculator'!$F$4,'SIP Schedule'!C707,'SIP Schedule'!D707,,1)),"")</f>
        <v/>
      </c>
    </row>
    <row r="708" spans="3:6" x14ac:dyDescent="0.3">
      <c r="C708" s="1" t="str">
        <f>IF(C707&lt;'Investment Calculator'!$C$8*'Investment Calculator'!$F$4,'SIP Schedule'!C707+1,"")</f>
        <v/>
      </c>
      <c r="D708" s="27" t="str">
        <f>IF(C708&lt;='Investment Calculator'!$C$8*'Investment Calculator'!$F$4,'Investment Calculator'!$C$6,"")</f>
        <v/>
      </c>
      <c r="E708" s="27" t="str">
        <f>IFERROR((F707+D708)*'Investment Calculator'!$C$7/'Investment Calculator'!$F$4,"")</f>
        <v/>
      </c>
      <c r="F708" s="27" t="str">
        <f>IFERROR(ABS(FV('Investment Calculator'!$C$7/'Investment Calculator'!$F$4,'SIP Schedule'!C708,'SIP Schedule'!D708,,1)),"")</f>
        <v/>
      </c>
    </row>
    <row r="709" spans="3:6" x14ac:dyDescent="0.3">
      <c r="C709" s="1" t="str">
        <f>IF(C708&lt;'Investment Calculator'!$C$8*'Investment Calculator'!$F$4,'SIP Schedule'!C708+1,"")</f>
        <v/>
      </c>
      <c r="D709" s="27" t="str">
        <f>IF(C709&lt;='Investment Calculator'!$C$8*'Investment Calculator'!$F$4,'Investment Calculator'!$C$6,"")</f>
        <v/>
      </c>
      <c r="E709" s="27" t="str">
        <f>IFERROR((F708+D709)*'Investment Calculator'!$C$7/'Investment Calculator'!$F$4,"")</f>
        <v/>
      </c>
      <c r="F709" s="27" t="str">
        <f>IFERROR(ABS(FV('Investment Calculator'!$C$7/'Investment Calculator'!$F$4,'SIP Schedule'!C709,'SIP Schedule'!D709,,1)),"")</f>
        <v/>
      </c>
    </row>
    <row r="710" spans="3:6" x14ac:dyDescent="0.3">
      <c r="C710" s="1" t="str">
        <f>IF(C709&lt;'Investment Calculator'!$C$8*'Investment Calculator'!$F$4,'SIP Schedule'!C709+1,"")</f>
        <v/>
      </c>
      <c r="D710" s="27" t="str">
        <f>IF(C710&lt;='Investment Calculator'!$C$8*'Investment Calculator'!$F$4,'Investment Calculator'!$C$6,"")</f>
        <v/>
      </c>
      <c r="E710" s="27" t="str">
        <f>IFERROR((F709+D710)*'Investment Calculator'!$C$7/'Investment Calculator'!$F$4,"")</f>
        <v/>
      </c>
      <c r="F710" s="27" t="str">
        <f>IFERROR(ABS(FV('Investment Calculator'!$C$7/'Investment Calculator'!$F$4,'SIP Schedule'!C710,'SIP Schedule'!D710,,1)),"")</f>
        <v/>
      </c>
    </row>
    <row r="711" spans="3:6" x14ac:dyDescent="0.3">
      <c r="C711" s="1" t="str">
        <f>IF(C710&lt;'Investment Calculator'!$C$8*'Investment Calculator'!$F$4,'SIP Schedule'!C710+1,"")</f>
        <v/>
      </c>
      <c r="D711" s="27" t="str">
        <f>IF(C711&lt;='Investment Calculator'!$C$8*'Investment Calculator'!$F$4,'Investment Calculator'!$C$6,"")</f>
        <v/>
      </c>
      <c r="E711" s="27" t="str">
        <f>IFERROR((F710+D711)*'Investment Calculator'!$C$7/'Investment Calculator'!$F$4,"")</f>
        <v/>
      </c>
      <c r="F711" s="27" t="str">
        <f>IFERROR(ABS(FV('Investment Calculator'!$C$7/'Investment Calculator'!$F$4,'SIP Schedule'!C711,'SIP Schedule'!D711,,1)),"")</f>
        <v/>
      </c>
    </row>
    <row r="712" spans="3:6" x14ac:dyDescent="0.3">
      <c r="C712" s="1" t="str">
        <f>IF(C711&lt;'Investment Calculator'!$C$8*'Investment Calculator'!$F$4,'SIP Schedule'!C711+1,"")</f>
        <v/>
      </c>
      <c r="D712" s="27" t="str">
        <f>IF(C712&lt;='Investment Calculator'!$C$8*'Investment Calculator'!$F$4,'Investment Calculator'!$C$6,"")</f>
        <v/>
      </c>
      <c r="E712" s="27" t="str">
        <f>IFERROR((F711+D712)*'Investment Calculator'!$C$7/'Investment Calculator'!$F$4,"")</f>
        <v/>
      </c>
      <c r="F712" s="27" t="str">
        <f>IFERROR(ABS(FV('Investment Calculator'!$C$7/'Investment Calculator'!$F$4,'SIP Schedule'!C712,'SIP Schedule'!D712,,1)),"")</f>
        <v/>
      </c>
    </row>
    <row r="713" spans="3:6" x14ac:dyDescent="0.3">
      <c r="C713" s="1" t="str">
        <f>IF(C712&lt;'Investment Calculator'!$C$8*'Investment Calculator'!$F$4,'SIP Schedule'!C712+1,"")</f>
        <v/>
      </c>
      <c r="D713" s="27" t="str">
        <f>IF(C713&lt;='Investment Calculator'!$C$8*'Investment Calculator'!$F$4,'Investment Calculator'!$C$6,"")</f>
        <v/>
      </c>
      <c r="E713" s="27" t="str">
        <f>IFERROR((F712+D713)*'Investment Calculator'!$C$7/'Investment Calculator'!$F$4,"")</f>
        <v/>
      </c>
      <c r="F713" s="27" t="str">
        <f>IFERROR(ABS(FV('Investment Calculator'!$C$7/'Investment Calculator'!$F$4,'SIP Schedule'!C713,'SIP Schedule'!D713,,1)),"")</f>
        <v/>
      </c>
    </row>
    <row r="714" spans="3:6" x14ac:dyDescent="0.3">
      <c r="C714" s="1" t="str">
        <f>IF(C713&lt;'Investment Calculator'!$C$8*'Investment Calculator'!$F$4,'SIP Schedule'!C713+1,"")</f>
        <v/>
      </c>
      <c r="D714" s="27" t="str">
        <f>IF(C714&lt;='Investment Calculator'!$C$8*'Investment Calculator'!$F$4,'Investment Calculator'!$C$6,"")</f>
        <v/>
      </c>
      <c r="E714" s="27" t="str">
        <f>IFERROR((F713+D714)*'Investment Calculator'!$C$7/'Investment Calculator'!$F$4,"")</f>
        <v/>
      </c>
      <c r="F714" s="27" t="str">
        <f>IFERROR(ABS(FV('Investment Calculator'!$C$7/'Investment Calculator'!$F$4,'SIP Schedule'!C714,'SIP Schedule'!D714,,1)),"")</f>
        <v/>
      </c>
    </row>
    <row r="715" spans="3:6" x14ac:dyDescent="0.3">
      <c r="C715" s="1" t="str">
        <f>IF(C714&lt;'Investment Calculator'!$C$8*'Investment Calculator'!$F$4,'SIP Schedule'!C714+1,"")</f>
        <v/>
      </c>
      <c r="D715" s="27" t="str">
        <f>IF(C715&lt;='Investment Calculator'!$C$8*'Investment Calculator'!$F$4,'Investment Calculator'!$C$6,"")</f>
        <v/>
      </c>
      <c r="E715" s="27" t="str">
        <f>IFERROR((F714+D715)*'Investment Calculator'!$C$7/'Investment Calculator'!$F$4,"")</f>
        <v/>
      </c>
      <c r="F715" s="27" t="str">
        <f>IFERROR(ABS(FV('Investment Calculator'!$C$7/'Investment Calculator'!$F$4,'SIP Schedule'!C715,'SIP Schedule'!D715,,1)),"")</f>
        <v/>
      </c>
    </row>
    <row r="716" spans="3:6" x14ac:dyDescent="0.3">
      <c r="C716" s="1" t="str">
        <f>IF(C715&lt;'Investment Calculator'!$C$8*'Investment Calculator'!$F$4,'SIP Schedule'!C715+1,"")</f>
        <v/>
      </c>
      <c r="D716" s="27" t="str">
        <f>IF(C716&lt;='Investment Calculator'!$C$8*'Investment Calculator'!$F$4,'Investment Calculator'!$C$6,"")</f>
        <v/>
      </c>
      <c r="E716" s="27" t="str">
        <f>IFERROR((F715+D716)*'Investment Calculator'!$C$7/'Investment Calculator'!$F$4,"")</f>
        <v/>
      </c>
      <c r="F716" s="27" t="str">
        <f>IFERROR(ABS(FV('Investment Calculator'!$C$7/'Investment Calculator'!$F$4,'SIP Schedule'!C716,'SIP Schedule'!D716,,1)),"")</f>
        <v/>
      </c>
    </row>
    <row r="717" spans="3:6" x14ac:dyDescent="0.3">
      <c r="C717" s="1" t="str">
        <f>IF(C716&lt;'Investment Calculator'!$C$8*'Investment Calculator'!$F$4,'SIP Schedule'!C716+1,"")</f>
        <v/>
      </c>
      <c r="D717" s="27" t="str">
        <f>IF(C717&lt;='Investment Calculator'!$C$8*'Investment Calculator'!$F$4,'Investment Calculator'!$C$6,"")</f>
        <v/>
      </c>
      <c r="E717" s="27" t="str">
        <f>IFERROR((F716+D717)*'Investment Calculator'!$C$7/'Investment Calculator'!$F$4,"")</f>
        <v/>
      </c>
      <c r="F717" s="27" t="str">
        <f>IFERROR(ABS(FV('Investment Calculator'!$C$7/'Investment Calculator'!$F$4,'SIP Schedule'!C717,'SIP Schedule'!D717,,1)),"")</f>
        <v/>
      </c>
    </row>
    <row r="718" spans="3:6" x14ac:dyDescent="0.3">
      <c r="C718" s="1" t="str">
        <f>IF(C717&lt;'Investment Calculator'!$C$8*'Investment Calculator'!$F$4,'SIP Schedule'!C717+1,"")</f>
        <v/>
      </c>
      <c r="D718" s="27" t="str">
        <f>IF(C718&lt;='Investment Calculator'!$C$8*'Investment Calculator'!$F$4,'Investment Calculator'!$C$6,"")</f>
        <v/>
      </c>
      <c r="E718" s="27" t="str">
        <f>IFERROR((F717+D718)*'Investment Calculator'!$C$7/'Investment Calculator'!$F$4,"")</f>
        <v/>
      </c>
      <c r="F718" s="27" t="str">
        <f>IFERROR(ABS(FV('Investment Calculator'!$C$7/'Investment Calculator'!$F$4,'SIP Schedule'!C718,'SIP Schedule'!D718,,1)),"")</f>
        <v/>
      </c>
    </row>
    <row r="719" spans="3:6" x14ac:dyDescent="0.3">
      <c r="C719" s="1" t="str">
        <f>IF(C718&lt;'Investment Calculator'!$C$8*'Investment Calculator'!$F$4,'SIP Schedule'!C718+1,"")</f>
        <v/>
      </c>
      <c r="D719" s="27" t="str">
        <f>IF(C719&lt;='Investment Calculator'!$C$8*'Investment Calculator'!$F$4,'Investment Calculator'!$C$6,"")</f>
        <v/>
      </c>
      <c r="E719" s="27" t="str">
        <f>IFERROR((F718+D719)*'Investment Calculator'!$C$7/'Investment Calculator'!$F$4,"")</f>
        <v/>
      </c>
      <c r="F719" s="27" t="str">
        <f>IFERROR(ABS(FV('Investment Calculator'!$C$7/'Investment Calculator'!$F$4,'SIP Schedule'!C719,'SIP Schedule'!D719,,1)),"")</f>
        <v/>
      </c>
    </row>
    <row r="720" spans="3:6" x14ac:dyDescent="0.3">
      <c r="C720" s="1" t="str">
        <f>IF(C719&lt;'Investment Calculator'!$C$8*'Investment Calculator'!$F$4,'SIP Schedule'!C719+1,"")</f>
        <v/>
      </c>
      <c r="D720" s="27" t="str">
        <f>IF(C720&lt;='Investment Calculator'!$C$8*'Investment Calculator'!$F$4,'Investment Calculator'!$C$6,"")</f>
        <v/>
      </c>
      <c r="E720" s="27" t="str">
        <f>IFERROR((F719+D720)*'Investment Calculator'!$C$7/'Investment Calculator'!$F$4,"")</f>
        <v/>
      </c>
      <c r="F720" s="27" t="str">
        <f>IFERROR(ABS(FV('Investment Calculator'!$C$7/'Investment Calculator'!$F$4,'SIP Schedule'!C720,'SIP Schedule'!D720,,1)),"")</f>
        <v/>
      </c>
    </row>
    <row r="721" spans="3:6" x14ac:dyDescent="0.3">
      <c r="C721" s="1" t="str">
        <f>IF(C720&lt;'Investment Calculator'!$C$8*'Investment Calculator'!$F$4,'SIP Schedule'!C720+1,"")</f>
        <v/>
      </c>
      <c r="D721" s="27" t="str">
        <f>IF(C721&lt;='Investment Calculator'!$C$8*'Investment Calculator'!$F$4,'Investment Calculator'!$C$6,"")</f>
        <v/>
      </c>
      <c r="E721" s="27" t="str">
        <f>IFERROR((F720+D721)*'Investment Calculator'!$C$7/'Investment Calculator'!$F$4,"")</f>
        <v/>
      </c>
      <c r="F721" s="27" t="str">
        <f>IFERROR(ABS(FV('Investment Calculator'!$C$7/'Investment Calculator'!$F$4,'SIP Schedule'!C721,'SIP Schedule'!D721,,1)),"")</f>
        <v/>
      </c>
    </row>
    <row r="722" spans="3:6" x14ac:dyDescent="0.3">
      <c r="C722" s="1" t="str">
        <f>IF(C721&lt;'Investment Calculator'!$C$8*'Investment Calculator'!$F$4,'SIP Schedule'!C721+1,"")</f>
        <v/>
      </c>
      <c r="D722" s="27" t="str">
        <f>IF(C722&lt;='Investment Calculator'!$C$8*'Investment Calculator'!$F$4,'Investment Calculator'!$C$6,"")</f>
        <v/>
      </c>
      <c r="E722" s="27" t="str">
        <f>IFERROR((F721+D722)*'Investment Calculator'!$C$7/'Investment Calculator'!$F$4,"")</f>
        <v/>
      </c>
      <c r="F722" s="27" t="str">
        <f>IFERROR(ABS(FV('Investment Calculator'!$C$7/'Investment Calculator'!$F$4,'SIP Schedule'!C722,'SIP Schedule'!D722,,1)),"")</f>
        <v/>
      </c>
    </row>
    <row r="723" spans="3:6" x14ac:dyDescent="0.3">
      <c r="C723" s="1" t="str">
        <f>IF(C722&lt;'Investment Calculator'!$C$8*'Investment Calculator'!$F$4,'SIP Schedule'!C722+1,"")</f>
        <v/>
      </c>
      <c r="D723" s="27" t="str">
        <f>IF(C723&lt;='Investment Calculator'!$C$8*'Investment Calculator'!$F$4,'Investment Calculator'!$C$6,"")</f>
        <v/>
      </c>
      <c r="E723" s="27" t="str">
        <f>IFERROR((F722+D723)*'Investment Calculator'!$C$7/'Investment Calculator'!$F$4,"")</f>
        <v/>
      </c>
      <c r="F723" s="27" t="str">
        <f>IFERROR(ABS(FV('Investment Calculator'!$C$7/'Investment Calculator'!$F$4,'SIP Schedule'!C723,'SIP Schedule'!D723,,1)),"")</f>
        <v/>
      </c>
    </row>
    <row r="724" spans="3:6" x14ac:dyDescent="0.3">
      <c r="C724" s="1" t="str">
        <f>IF(C723&lt;'Investment Calculator'!$C$8*'Investment Calculator'!$F$4,'SIP Schedule'!C723+1,"")</f>
        <v/>
      </c>
      <c r="D724" s="27" t="str">
        <f>IF(C724&lt;='Investment Calculator'!$C$8*'Investment Calculator'!$F$4,'Investment Calculator'!$C$6,"")</f>
        <v/>
      </c>
      <c r="E724" s="27" t="str">
        <f>IFERROR((F723+D724)*'Investment Calculator'!$C$7/'Investment Calculator'!$F$4,"")</f>
        <v/>
      </c>
      <c r="F724" s="27" t="str">
        <f>IFERROR(ABS(FV('Investment Calculator'!$C$7/'Investment Calculator'!$F$4,'SIP Schedule'!C724,'SIP Schedule'!D724,,1)),"")</f>
        <v/>
      </c>
    </row>
    <row r="725" spans="3:6" x14ac:dyDescent="0.3">
      <c r="C725" s="1" t="str">
        <f>IF(C724&lt;'Investment Calculator'!$C$8*'Investment Calculator'!$F$4,'SIP Schedule'!C724+1,"")</f>
        <v/>
      </c>
      <c r="D725" s="27" t="str">
        <f>IF(C725&lt;='Investment Calculator'!$C$8*'Investment Calculator'!$F$4,'Investment Calculator'!$C$6,"")</f>
        <v/>
      </c>
      <c r="E725" s="27" t="str">
        <f>IFERROR((F724+D725)*'Investment Calculator'!$C$7/'Investment Calculator'!$F$4,"")</f>
        <v/>
      </c>
      <c r="F725" s="27" t="str">
        <f>IFERROR(ABS(FV('Investment Calculator'!$C$7/'Investment Calculator'!$F$4,'SIP Schedule'!C725,'SIP Schedule'!D725,,1)),"")</f>
        <v/>
      </c>
    </row>
    <row r="726" spans="3:6" x14ac:dyDescent="0.3">
      <c r="C726" s="1" t="str">
        <f>IF(C725&lt;'Investment Calculator'!$C$8*'Investment Calculator'!$F$4,'SIP Schedule'!C725+1,"")</f>
        <v/>
      </c>
      <c r="D726" s="27" t="str">
        <f>IF(C726&lt;='Investment Calculator'!$C$8*'Investment Calculator'!$F$4,'Investment Calculator'!$C$6,"")</f>
        <v/>
      </c>
      <c r="E726" s="27" t="str">
        <f>IFERROR((F725+D726)*'Investment Calculator'!$C$7/'Investment Calculator'!$F$4,"")</f>
        <v/>
      </c>
      <c r="F726" s="27" t="str">
        <f>IFERROR(ABS(FV('Investment Calculator'!$C$7/'Investment Calculator'!$F$4,'SIP Schedule'!C726,'SIP Schedule'!D726,,1)),"")</f>
        <v/>
      </c>
    </row>
    <row r="727" spans="3:6" x14ac:dyDescent="0.3">
      <c r="C727" s="1" t="str">
        <f>IF(C726&lt;'Investment Calculator'!$C$8*'Investment Calculator'!$F$4,'SIP Schedule'!C726+1,"")</f>
        <v/>
      </c>
      <c r="D727" s="27" t="str">
        <f>IF(C727&lt;='Investment Calculator'!$C$8*'Investment Calculator'!$F$4,'Investment Calculator'!$C$6,"")</f>
        <v/>
      </c>
      <c r="E727" s="27" t="str">
        <f>IFERROR((F726+D727)*'Investment Calculator'!$C$7/'Investment Calculator'!$F$4,"")</f>
        <v/>
      </c>
      <c r="F727" s="27" t="str">
        <f>IFERROR(ABS(FV('Investment Calculator'!$C$7/'Investment Calculator'!$F$4,'SIP Schedule'!C727,'SIP Schedule'!D727,,1)),"")</f>
        <v/>
      </c>
    </row>
    <row r="728" spans="3:6" x14ac:dyDescent="0.3">
      <c r="C728" s="1" t="str">
        <f>IF(C727&lt;'Investment Calculator'!$C$8*'Investment Calculator'!$F$4,'SIP Schedule'!C727+1,"")</f>
        <v/>
      </c>
      <c r="D728" s="27" t="str">
        <f>IF(C728&lt;='Investment Calculator'!$C$8*'Investment Calculator'!$F$4,'Investment Calculator'!$C$6,"")</f>
        <v/>
      </c>
      <c r="E728" s="27" t="str">
        <f>IFERROR((F727+D728)*'Investment Calculator'!$C$7/'Investment Calculator'!$F$4,"")</f>
        <v/>
      </c>
      <c r="F728" s="27" t="str">
        <f>IFERROR(ABS(FV('Investment Calculator'!$C$7/'Investment Calculator'!$F$4,'SIP Schedule'!C728,'SIP Schedule'!D728,,1)),"")</f>
        <v/>
      </c>
    </row>
    <row r="729" spans="3:6" x14ac:dyDescent="0.3">
      <c r="C729" s="1" t="str">
        <f>IF(C728&lt;'Investment Calculator'!$C$8*'Investment Calculator'!$F$4,'SIP Schedule'!C728+1,"")</f>
        <v/>
      </c>
      <c r="D729" s="27" t="str">
        <f>IF(C729&lt;='Investment Calculator'!$C$8*'Investment Calculator'!$F$4,'Investment Calculator'!$C$6,"")</f>
        <v/>
      </c>
      <c r="E729" s="27" t="str">
        <f>IFERROR((F728+D729)*'Investment Calculator'!$C$7/'Investment Calculator'!$F$4,"")</f>
        <v/>
      </c>
      <c r="F729" s="27" t="str">
        <f>IFERROR(ABS(FV('Investment Calculator'!$C$7/'Investment Calculator'!$F$4,'SIP Schedule'!C729,'SIP Schedule'!D729,,1)),"")</f>
        <v/>
      </c>
    </row>
    <row r="730" spans="3:6" x14ac:dyDescent="0.3">
      <c r="C730" s="1" t="str">
        <f>IF(C729&lt;'Investment Calculator'!$C$8*'Investment Calculator'!$F$4,'SIP Schedule'!C729+1,"")</f>
        <v/>
      </c>
      <c r="D730" s="27" t="str">
        <f>IF(C730&lt;='Investment Calculator'!$C$8*'Investment Calculator'!$F$4,'Investment Calculator'!$C$6,"")</f>
        <v/>
      </c>
      <c r="E730" s="27" t="str">
        <f>IFERROR((F729+D730)*'Investment Calculator'!$C$7/'Investment Calculator'!$F$4,"")</f>
        <v/>
      </c>
      <c r="F730" s="27" t="str">
        <f>IFERROR(ABS(FV('Investment Calculator'!$C$7/'Investment Calculator'!$F$4,'SIP Schedule'!C730,'SIP Schedule'!D730,,1)),"")</f>
        <v/>
      </c>
    </row>
    <row r="731" spans="3:6" x14ac:dyDescent="0.3">
      <c r="C731" s="1" t="str">
        <f>IF(C730&lt;'Investment Calculator'!$C$8*'Investment Calculator'!$F$4,'SIP Schedule'!C730+1,"")</f>
        <v/>
      </c>
      <c r="D731" s="27" t="str">
        <f>IF(C731&lt;='Investment Calculator'!$C$8*'Investment Calculator'!$F$4,'Investment Calculator'!$C$6,"")</f>
        <v/>
      </c>
      <c r="E731" s="27" t="str">
        <f>IFERROR((F730+D731)*'Investment Calculator'!$C$7/'Investment Calculator'!$F$4,"")</f>
        <v/>
      </c>
      <c r="F731" s="27" t="str">
        <f>IFERROR(ABS(FV('Investment Calculator'!$C$7/'Investment Calculator'!$F$4,'SIP Schedule'!C731,'SIP Schedule'!D731,,1)),"")</f>
        <v/>
      </c>
    </row>
    <row r="732" spans="3:6" x14ac:dyDescent="0.3">
      <c r="C732" s="1" t="str">
        <f>IF(C731&lt;'Investment Calculator'!$C$8*'Investment Calculator'!$F$4,'SIP Schedule'!C731+1,"")</f>
        <v/>
      </c>
      <c r="D732" s="27" t="str">
        <f>IF(C732&lt;='Investment Calculator'!$C$8*'Investment Calculator'!$F$4,'Investment Calculator'!$C$6,"")</f>
        <v/>
      </c>
      <c r="E732" s="27" t="str">
        <f>IFERROR((F731+D732)*'Investment Calculator'!$C$7/'Investment Calculator'!$F$4,"")</f>
        <v/>
      </c>
      <c r="F732" s="27" t="str">
        <f>IFERROR(ABS(FV('Investment Calculator'!$C$7/'Investment Calculator'!$F$4,'SIP Schedule'!C732,'SIP Schedule'!D732,,1)),"")</f>
        <v/>
      </c>
    </row>
    <row r="733" spans="3:6" x14ac:dyDescent="0.3">
      <c r="C733" s="1" t="str">
        <f>IF(C732&lt;'Investment Calculator'!$C$8*'Investment Calculator'!$F$4,'SIP Schedule'!C732+1,"")</f>
        <v/>
      </c>
      <c r="D733" s="27" t="str">
        <f>IF(C733&lt;='Investment Calculator'!$C$8*'Investment Calculator'!$F$4,'Investment Calculator'!$C$6,"")</f>
        <v/>
      </c>
      <c r="E733" s="27" t="str">
        <f>IFERROR((F732+D733)*'Investment Calculator'!$C$7/'Investment Calculator'!$F$4,"")</f>
        <v/>
      </c>
      <c r="F733" s="27" t="str">
        <f>IFERROR(ABS(FV('Investment Calculator'!$C$7/'Investment Calculator'!$F$4,'SIP Schedule'!C733,'SIP Schedule'!D733,,1)),"")</f>
        <v/>
      </c>
    </row>
    <row r="734" spans="3:6" x14ac:dyDescent="0.3">
      <c r="C734" s="1" t="str">
        <f>IF(C733&lt;'Investment Calculator'!$C$8*'Investment Calculator'!$F$4,'SIP Schedule'!C733+1,"")</f>
        <v/>
      </c>
      <c r="D734" s="27" t="str">
        <f>IF(C734&lt;='Investment Calculator'!$C$8*'Investment Calculator'!$F$4,'Investment Calculator'!$C$6,"")</f>
        <v/>
      </c>
      <c r="E734" s="27" t="str">
        <f>IFERROR((F733+D734)*'Investment Calculator'!$C$7/'Investment Calculator'!$F$4,"")</f>
        <v/>
      </c>
      <c r="F734" s="27" t="str">
        <f>IFERROR(ABS(FV('Investment Calculator'!$C$7/'Investment Calculator'!$F$4,'SIP Schedule'!C734,'SIP Schedule'!D734,,1)),"")</f>
        <v/>
      </c>
    </row>
    <row r="735" spans="3:6" x14ac:dyDescent="0.3">
      <c r="C735" s="1" t="str">
        <f>IF(C734&lt;'Investment Calculator'!$C$8*'Investment Calculator'!$F$4,'SIP Schedule'!C734+1,"")</f>
        <v/>
      </c>
      <c r="D735" s="27" t="str">
        <f>IF(C735&lt;='Investment Calculator'!$C$8*'Investment Calculator'!$F$4,'Investment Calculator'!$C$6,"")</f>
        <v/>
      </c>
      <c r="E735" s="27" t="str">
        <f>IFERROR((F734+D735)*'Investment Calculator'!$C$7/'Investment Calculator'!$F$4,"")</f>
        <v/>
      </c>
      <c r="F735" s="27" t="str">
        <f>IFERROR(ABS(FV('Investment Calculator'!$C$7/'Investment Calculator'!$F$4,'SIP Schedule'!C735,'SIP Schedule'!D735,,1)),"")</f>
        <v/>
      </c>
    </row>
    <row r="736" spans="3:6" x14ac:dyDescent="0.3">
      <c r="C736" s="1" t="str">
        <f>IF(C735&lt;'Investment Calculator'!$C$8*'Investment Calculator'!$F$4,'SIP Schedule'!C735+1,"")</f>
        <v/>
      </c>
      <c r="D736" s="27" t="str">
        <f>IF(C736&lt;='Investment Calculator'!$C$8*'Investment Calculator'!$F$4,'Investment Calculator'!$C$6,"")</f>
        <v/>
      </c>
      <c r="E736" s="27" t="str">
        <f>IFERROR((F735+D736)*'Investment Calculator'!$C$7/'Investment Calculator'!$F$4,"")</f>
        <v/>
      </c>
      <c r="F736" s="27" t="str">
        <f>IFERROR(ABS(FV('Investment Calculator'!$C$7/'Investment Calculator'!$F$4,'SIP Schedule'!C736,'SIP Schedule'!D736,,1)),"")</f>
        <v/>
      </c>
    </row>
    <row r="737" spans="3:6" x14ac:dyDescent="0.3">
      <c r="C737" s="1" t="str">
        <f>IF(C736&lt;'Investment Calculator'!$C$8*'Investment Calculator'!$F$4,'SIP Schedule'!C736+1,"")</f>
        <v/>
      </c>
      <c r="D737" s="27" t="str">
        <f>IF(C737&lt;='Investment Calculator'!$C$8*'Investment Calculator'!$F$4,'Investment Calculator'!$C$6,"")</f>
        <v/>
      </c>
      <c r="E737" s="27" t="str">
        <f>IFERROR((F736+D737)*'Investment Calculator'!$C$7/'Investment Calculator'!$F$4,"")</f>
        <v/>
      </c>
      <c r="F737" s="27" t="str">
        <f>IFERROR(ABS(FV('Investment Calculator'!$C$7/'Investment Calculator'!$F$4,'SIP Schedule'!C737,'SIP Schedule'!D737,,1)),"")</f>
        <v/>
      </c>
    </row>
    <row r="738" spans="3:6" x14ac:dyDescent="0.3">
      <c r="C738" s="1" t="str">
        <f>IF(C737&lt;'Investment Calculator'!$C$8*'Investment Calculator'!$F$4,'SIP Schedule'!C737+1,"")</f>
        <v/>
      </c>
      <c r="D738" s="27" t="str">
        <f>IF(C738&lt;='Investment Calculator'!$C$8*'Investment Calculator'!$F$4,'Investment Calculator'!$C$6,"")</f>
        <v/>
      </c>
      <c r="E738" s="27" t="str">
        <f>IFERROR((F737+D738)*'Investment Calculator'!$C$7/'Investment Calculator'!$F$4,"")</f>
        <v/>
      </c>
      <c r="F738" s="27" t="str">
        <f>IFERROR(ABS(FV('Investment Calculator'!$C$7/'Investment Calculator'!$F$4,'SIP Schedule'!C738,'SIP Schedule'!D738,,1)),"")</f>
        <v/>
      </c>
    </row>
    <row r="739" spans="3:6" x14ac:dyDescent="0.3">
      <c r="C739" s="1" t="str">
        <f>IF(C738&lt;'Investment Calculator'!$C$8*'Investment Calculator'!$F$4,'SIP Schedule'!C738+1,"")</f>
        <v/>
      </c>
      <c r="D739" s="27" t="str">
        <f>IF(C739&lt;='Investment Calculator'!$C$8*'Investment Calculator'!$F$4,'Investment Calculator'!$C$6,"")</f>
        <v/>
      </c>
      <c r="E739" s="27" t="str">
        <f>IFERROR((F738+D739)*'Investment Calculator'!$C$7/'Investment Calculator'!$F$4,"")</f>
        <v/>
      </c>
      <c r="F739" s="27" t="str">
        <f>IFERROR(ABS(FV('Investment Calculator'!$C$7/'Investment Calculator'!$F$4,'SIP Schedule'!C739,'SIP Schedule'!D739,,1)),"")</f>
        <v/>
      </c>
    </row>
    <row r="740" spans="3:6" x14ac:dyDescent="0.3">
      <c r="C740" s="1" t="str">
        <f>IF(C739&lt;'Investment Calculator'!$C$8*'Investment Calculator'!$F$4,'SIP Schedule'!C739+1,"")</f>
        <v/>
      </c>
      <c r="D740" s="27" t="str">
        <f>IF(C740&lt;='Investment Calculator'!$C$8*'Investment Calculator'!$F$4,'Investment Calculator'!$C$6,"")</f>
        <v/>
      </c>
      <c r="E740" s="27" t="str">
        <f>IFERROR((F739+D740)*'Investment Calculator'!$C$7/'Investment Calculator'!$F$4,"")</f>
        <v/>
      </c>
      <c r="F740" s="27" t="str">
        <f>IFERROR(ABS(FV('Investment Calculator'!$C$7/'Investment Calculator'!$F$4,'SIP Schedule'!C740,'SIP Schedule'!D740,,1)),"")</f>
        <v/>
      </c>
    </row>
    <row r="741" spans="3:6" x14ac:dyDescent="0.3">
      <c r="C741" s="1" t="str">
        <f>IF(C740&lt;'Investment Calculator'!$C$8*'Investment Calculator'!$F$4,'SIP Schedule'!C740+1,"")</f>
        <v/>
      </c>
      <c r="D741" s="27" t="str">
        <f>IF(C741&lt;='Investment Calculator'!$C$8*'Investment Calculator'!$F$4,'Investment Calculator'!$C$6,"")</f>
        <v/>
      </c>
      <c r="E741" s="27" t="str">
        <f>IFERROR((F740+D741)*'Investment Calculator'!$C$7/'Investment Calculator'!$F$4,"")</f>
        <v/>
      </c>
      <c r="F741" s="27" t="str">
        <f>IFERROR(ABS(FV('Investment Calculator'!$C$7/'Investment Calculator'!$F$4,'SIP Schedule'!C741,'SIP Schedule'!D741,,1)),"")</f>
        <v/>
      </c>
    </row>
    <row r="742" spans="3:6" x14ac:dyDescent="0.3">
      <c r="C742" s="1" t="str">
        <f>IF(C741&lt;'Investment Calculator'!$C$8*'Investment Calculator'!$F$4,'SIP Schedule'!C741+1,"")</f>
        <v/>
      </c>
      <c r="D742" s="27" t="str">
        <f>IF(C742&lt;='Investment Calculator'!$C$8*'Investment Calculator'!$F$4,'Investment Calculator'!$C$6,"")</f>
        <v/>
      </c>
      <c r="E742" s="27" t="str">
        <f>IFERROR((F741+D742)*'Investment Calculator'!$C$7/'Investment Calculator'!$F$4,"")</f>
        <v/>
      </c>
      <c r="F742" s="27" t="str">
        <f>IFERROR(ABS(FV('Investment Calculator'!$C$7/'Investment Calculator'!$F$4,'SIP Schedule'!C742,'SIP Schedule'!D742,,1)),"")</f>
        <v/>
      </c>
    </row>
    <row r="743" spans="3:6" x14ac:dyDescent="0.3">
      <c r="C743" s="1" t="str">
        <f>IF(C742&lt;'Investment Calculator'!$C$8*'Investment Calculator'!$F$4,'SIP Schedule'!C742+1,"")</f>
        <v/>
      </c>
      <c r="D743" s="27" t="str">
        <f>IF(C743&lt;='Investment Calculator'!$C$8*'Investment Calculator'!$F$4,'Investment Calculator'!$C$6,"")</f>
        <v/>
      </c>
      <c r="E743" s="27" t="str">
        <f>IFERROR((F742+D743)*'Investment Calculator'!$C$7/'Investment Calculator'!$F$4,"")</f>
        <v/>
      </c>
      <c r="F743" s="27" t="str">
        <f>IFERROR(ABS(FV('Investment Calculator'!$C$7/'Investment Calculator'!$F$4,'SIP Schedule'!C743,'SIP Schedule'!D743,,1)),"")</f>
        <v/>
      </c>
    </row>
    <row r="744" spans="3:6" x14ac:dyDescent="0.3">
      <c r="C744" s="1" t="str">
        <f>IF(C743&lt;'Investment Calculator'!$C$8*'Investment Calculator'!$F$4,'SIP Schedule'!C743+1,"")</f>
        <v/>
      </c>
      <c r="D744" s="27" t="str">
        <f>IF(C744&lt;='Investment Calculator'!$C$8*'Investment Calculator'!$F$4,'Investment Calculator'!$C$6,"")</f>
        <v/>
      </c>
      <c r="E744" s="27" t="str">
        <f>IFERROR((F743+D744)*'Investment Calculator'!$C$7/'Investment Calculator'!$F$4,"")</f>
        <v/>
      </c>
      <c r="F744" s="27" t="str">
        <f>IFERROR(ABS(FV('Investment Calculator'!$C$7/'Investment Calculator'!$F$4,'SIP Schedule'!C744,'SIP Schedule'!D744,,1)),"")</f>
        <v/>
      </c>
    </row>
    <row r="745" spans="3:6" x14ac:dyDescent="0.3">
      <c r="C745" s="1" t="str">
        <f>IF(C744&lt;'Investment Calculator'!$C$8*'Investment Calculator'!$F$4,'SIP Schedule'!C744+1,"")</f>
        <v/>
      </c>
      <c r="D745" s="27" t="str">
        <f>IF(C745&lt;='Investment Calculator'!$C$8*'Investment Calculator'!$F$4,'Investment Calculator'!$C$6,"")</f>
        <v/>
      </c>
      <c r="E745" s="27" t="str">
        <f>IFERROR((F744+D745)*'Investment Calculator'!$C$7/'Investment Calculator'!$F$4,"")</f>
        <v/>
      </c>
      <c r="F745" s="27" t="str">
        <f>IFERROR(ABS(FV('Investment Calculator'!$C$7/'Investment Calculator'!$F$4,'SIP Schedule'!C745,'SIP Schedule'!D745,,1)),"")</f>
        <v/>
      </c>
    </row>
    <row r="746" spans="3:6" x14ac:dyDescent="0.3">
      <c r="C746" s="1" t="str">
        <f>IF(C745&lt;'Investment Calculator'!$C$8*'Investment Calculator'!$F$4,'SIP Schedule'!C745+1,"")</f>
        <v/>
      </c>
      <c r="D746" s="27" t="str">
        <f>IF(C746&lt;='Investment Calculator'!$C$8*'Investment Calculator'!$F$4,'Investment Calculator'!$C$6,"")</f>
        <v/>
      </c>
      <c r="E746" s="27" t="str">
        <f>IFERROR((F745+D746)*'Investment Calculator'!$C$7/'Investment Calculator'!$F$4,"")</f>
        <v/>
      </c>
      <c r="F746" s="27" t="str">
        <f>IFERROR(ABS(FV('Investment Calculator'!$C$7/'Investment Calculator'!$F$4,'SIP Schedule'!C746,'SIP Schedule'!D746,,1)),"")</f>
        <v/>
      </c>
    </row>
    <row r="747" spans="3:6" x14ac:dyDescent="0.3">
      <c r="C747" s="1" t="str">
        <f>IF(C746&lt;'Investment Calculator'!$C$8*'Investment Calculator'!$F$4,'SIP Schedule'!C746+1,"")</f>
        <v/>
      </c>
      <c r="D747" s="27" t="str">
        <f>IF(C747&lt;='Investment Calculator'!$C$8*'Investment Calculator'!$F$4,'Investment Calculator'!$C$6,"")</f>
        <v/>
      </c>
      <c r="E747" s="27" t="str">
        <f>IFERROR((F746+D747)*'Investment Calculator'!$C$7/'Investment Calculator'!$F$4,"")</f>
        <v/>
      </c>
      <c r="F747" s="27" t="str">
        <f>IFERROR(ABS(FV('Investment Calculator'!$C$7/'Investment Calculator'!$F$4,'SIP Schedule'!C747,'SIP Schedule'!D747,,1)),"")</f>
        <v/>
      </c>
    </row>
    <row r="748" spans="3:6" x14ac:dyDescent="0.3">
      <c r="C748" s="1" t="str">
        <f>IF(C747&lt;'Investment Calculator'!$C$8*'Investment Calculator'!$F$4,'SIP Schedule'!C747+1,"")</f>
        <v/>
      </c>
      <c r="D748" s="27" t="str">
        <f>IF(C748&lt;='Investment Calculator'!$C$8*'Investment Calculator'!$F$4,'Investment Calculator'!$C$6,"")</f>
        <v/>
      </c>
      <c r="E748" s="27" t="str">
        <f>IFERROR((F747+D748)*'Investment Calculator'!$C$7/'Investment Calculator'!$F$4,"")</f>
        <v/>
      </c>
      <c r="F748" s="27" t="str">
        <f>IFERROR(ABS(FV('Investment Calculator'!$C$7/'Investment Calculator'!$F$4,'SIP Schedule'!C748,'SIP Schedule'!D748,,1)),"")</f>
        <v/>
      </c>
    </row>
    <row r="749" spans="3:6" x14ac:dyDescent="0.3">
      <c r="C749" s="1" t="str">
        <f>IF(C748&lt;'Investment Calculator'!$C$8*'Investment Calculator'!$F$4,'SIP Schedule'!C748+1,"")</f>
        <v/>
      </c>
      <c r="D749" s="27" t="str">
        <f>IF(C749&lt;='Investment Calculator'!$C$8*'Investment Calculator'!$F$4,'Investment Calculator'!$C$6,"")</f>
        <v/>
      </c>
      <c r="E749" s="27" t="str">
        <f>IFERROR((F748+D749)*'Investment Calculator'!$C$7/'Investment Calculator'!$F$4,"")</f>
        <v/>
      </c>
      <c r="F749" s="27" t="str">
        <f>IFERROR(ABS(FV('Investment Calculator'!$C$7/'Investment Calculator'!$F$4,'SIP Schedule'!C749,'SIP Schedule'!D749,,1)),"")</f>
        <v/>
      </c>
    </row>
    <row r="750" spans="3:6" x14ac:dyDescent="0.3">
      <c r="C750" s="1" t="str">
        <f>IF(C749&lt;'Investment Calculator'!$C$8*'Investment Calculator'!$F$4,'SIP Schedule'!C749+1,"")</f>
        <v/>
      </c>
      <c r="D750" s="27" t="str">
        <f>IF(C750&lt;='Investment Calculator'!$C$8*'Investment Calculator'!$F$4,'Investment Calculator'!$C$6,"")</f>
        <v/>
      </c>
      <c r="E750" s="27" t="str">
        <f>IFERROR((F749+D750)*'Investment Calculator'!$C$7/'Investment Calculator'!$F$4,"")</f>
        <v/>
      </c>
      <c r="F750" s="27" t="str">
        <f>IFERROR(ABS(FV('Investment Calculator'!$C$7/'Investment Calculator'!$F$4,'SIP Schedule'!C750,'SIP Schedule'!D750,,1)),"")</f>
        <v/>
      </c>
    </row>
    <row r="751" spans="3:6" x14ac:dyDescent="0.3">
      <c r="C751" s="1" t="str">
        <f>IF(C750&lt;'Investment Calculator'!$C$8*'Investment Calculator'!$F$4,'SIP Schedule'!C750+1,"")</f>
        <v/>
      </c>
      <c r="D751" s="27" t="str">
        <f>IF(C751&lt;='Investment Calculator'!$C$8*'Investment Calculator'!$F$4,'Investment Calculator'!$C$6,"")</f>
        <v/>
      </c>
      <c r="E751" s="27" t="str">
        <f>IFERROR((F750+D751)*'Investment Calculator'!$C$7/'Investment Calculator'!$F$4,"")</f>
        <v/>
      </c>
      <c r="F751" s="27" t="str">
        <f>IFERROR(ABS(FV('Investment Calculator'!$C$7/'Investment Calculator'!$F$4,'SIP Schedule'!C751,'SIP Schedule'!D751,,1)),"")</f>
        <v/>
      </c>
    </row>
    <row r="752" spans="3:6" x14ac:dyDescent="0.3">
      <c r="C752" s="1" t="str">
        <f>IF(C751&lt;'Investment Calculator'!$C$8*'Investment Calculator'!$F$4,'SIP Schedule'!C751+1,"")</f>
        <v/>
      </c>
      <c r="D752" s="27" t="str">
        <f>IF(C752&lt;='Investment Calculator'!$C$8*'Investment Calculator'!$F$4,'Investment Calculator'!$C$6,"")</f>
        <v/>
      </c>
      <c r="E752" s="27" t="str">
        <f>IFERROR((F751+D752)*'Investment Calculator'!$C$7/'Investment Calculator'!$F$4,"")</f>
        <v/>
      </c>
      <c r="F752" s="27" t="str">
        <f>IFERROR(ABS(FV('Investment Calculator'!$C$7/'Investment Calculator'!$F$4,'SIP Schedule'!C752,'SIP Schedule'!D752,,1)),"")</f>
        <v/>
      </c>
    </row>
    <row r="753" spans="3:6" x14ac:dyDescent="0.3">
      <c r="C753" s="1" t="str">
        <f>IF(C752&lt;'Investment Calculator'!$C$8*'Investment Calculator'!$F$4,'SIP Schedule'!C752+1,"")</f>
        <v/>
      </c>
      <c r="D753" s="27" t="str">
        <f>IF(C753&lt;='Investment Calculator'!$C$8*'Investment Calculator'!$F$4,'Investment Calculator'!$C$6,"")</f>
        <v/>
      </c>
      <c r="E753" s="27" t="str">
        <f>IFERROR((F752+D753)*'Investment Calculator'!$C$7/'Investment Calculator'!$F$4,"")</f>
        <v/>
      </c>
      <c r="F753" s="27" t="str">
        <f>IFERROR(ABS(FV('Investment Calculator'!$C$7/'Investment Calculator'!$F$4,'SIP Schedule'!C753,'SIP Schedule'!D753,,1)),"")</f>
        <v/>
      </c>
    </row>
    <row r="754" spans="3:6" x14ac:dyDescent="0.3">
      <c r="C754" s="1" t="str">
        <f>IF(C753&lt;'Investment Calculator'!$C$8*'Investment Calculator'!$F$4,'SIP Schedule'!C753+1,"")</f>
        <v/>
      </c>
      <c r="D754" s="27" t="str">
        <f>IF(C754&lt;='Investment Calculator'!$C$8*'Investment Calculator'!$F$4,'Investment Calculator'!$C$6,"")</f>
        <v/>
      </c>
      <c r="E754" s="27" t="str">
        <f>IFERROR((F753+D754)*'Investment Calculator'!$C$7/'Investment Calculator'!$F$4,"")</f>
        <v/>
      </c>
      <c r="F754" s="27" t="str">
        <f>IFERROR(ABS(FV('Investment Calculator'!$C$7/'Investment Calculator'!$F$4,'SIP Schedule'!C754,'SIP Schedule'!D754,,1)),"")</f>
        <v/>
      </c>
    </row>
    <row r="755" spans="3:6" x14ac:dyDescent="0.3">
      <c r="C755" s="1" t="str">
        <f>IF(C754&lt;'Investment Calculator'!$C$8*'Investment Calculator'!$F$4,'SIP Schedule'!C754+1,"")</f>
        <v/>
      </c>
      <c r="D755" s="27" t="str">
        <f>IF(C755&lt;='Investment Calculator'!$C$8*'Investment Calculator'!$F$4,'Investment Calculator'!$C$6,"")</f>
        <v/>
      </c>
      <c r="E755" s="27" t="str">
        <f>IFERROR((F754+D755)*'Investment Calculator'!$C$7/'Investment Calculator'!$F$4,"")</f>
        <v/>
      </c>
      <c r="F755" s="27" t="str">
        <f>IFERROR(ABS(FV('Investment Calculator'!$C$7/'Investment Calculator'!$F$4,'SIP Schedule'!C755,'SIP Schedule'!D755,,1)),"")</f>
        <v/>
      </c>
    </row>
    <row r="756" spans="3:6" x14ac:dyDescent="0.3">
      <c r="C756" s="1" t="str">
        <f>IF(C755&lt;'Investment Calculator'!$C$8*'Investment Calculator'!$F$4,'SIP Schedule'!C755+1,"")</f>
        <v/>
      </c>
      <c r="D756" s="27" t="str">
        <f>IF(C756&lt;='Investment Calculator'!$C$8*'Investment Calculator'!$F$4,'Investment Calculator'!$C$6,"")</f>
        <v/>
      </c>
      <c r="E756" s="27" t="str">
        <f>IFERROR((F755+D756)*'Investment Calculator'!$C$7/'Investment Calculator'!$F$4,"")</f>
        <v/>
      </c>
      <c r="F756" s="27" t="str">
        <f>IFERROR(ABS(FV('Investment Calculator'!$C$7/'Investment Calculator'!$F$4,'SIP Schedule'!C756,'SIP Schedule'!D756,,1)),"")</f>
        <v/>
      </c>
    </row>
    <row r="757" spans="3:6" x14ac:dyDescent="0.3">
      <c r="C757" s="1" t="str">
        <f>IF(C756&lt;'Investment Calculator'!$C$8*'Investment Calculator'!$F$4,'SIP Schedule'!C756+1,"")</f>
        <v/>
      </c>
      <c r="D757" s="27" t="str">
        <f>IF(C757&lt;='Investment Calculator'!$C$8*'Investment Calculator'!$F$4,'Investment Calculator'!$C$6,"")</f>
        <v/>
      </c>
      <c r="E757" s="27" t="str">
        <f>IFERROR((F756+D757)*'Investment Calculator'!$C$7/'Investment Calculator'!$F$4,"")</f>
        <v/>
      </c>
      <c r="F757" s="27" t="str">
        <f>IFERROR(ABS(FV('Investment Calculator'!$C$7/'Investment Calculator'!$F$4,'SIP Schedule'!C757,'SIP Schedule'!D757,,1)),"")</f>
        <v/>
      </c>
    </row>
    <row r="758" spans="3:6" x14ac:dyDescent="0.3">
      <c r="C758" s="1" t="str">
        <f>IF(C757&lt;'Investment Calculator'!$C$8*'Investment Calculator'!$F$4,'SIP Schedule'!C757+1,"")</f>
        <v/>
      </c>
      <c r="D758" s="27" t="str">
        <f>IF(C758&lt;='Investment Calculator'!$C$8*'Investment Calculator'!$F$4,'Investment Calculator'!$C$6,"")</f>
        <v/>
      </c>
      <c r="E758" s="27" t="str">
        <f>IFERROR((F757+D758)*'Investment Calculator'!$C$7/'Investment Calculator'!$F$4,"")</f>
        <v/>
      </c>
      <c r="F758" s="27" t="str">
        <f>IFERROR(ABS(FV('Investment Calculator'!$C$7/'Investment Calculator'!$F$4,'SIP Schedule'!C758,'SIP Schedule'!D758,,1)),"")</f>
        <v/>
      </c>
    </row>
    <row r="759" spans="3:6" x14ac:dyDescent="0.3">
      <c r="C759" s="1" t="str">
        <f>IF(C758&lt;'Investment Calculator'!$C$8*'Investment Calculator'!$F$4,'SIP Schedule'!C758+1,"")</f>
        <v/>
      </c>
      <c r="D759" s="27" t="str">
        <f>IF(C759&lt;='Investment Calculator'!$C$8*'Investment Calculator'!$F$4,'Investment Calculator'!$C$6,"")</f>
        <v/>
      </c>
      <c r="E759" s="27" t="str">
        <f>IFERROR((F758+D759)*'Investment Calculator'!$C$7/'Investment Calculator'!$F$4,"")</f>
        <v/>
      </c>
      <c r="F759" s="27" t="str">
        <f>IFERROR(ABS(FV('Investment Calculator'!$C$7/'Investment Calculator'!$F$4,'SIP Schedule'!C759,'SIP Schedule'!D759,,1)),"")</f>
        <v/>
      </c>
    </row>
    <row r="760" spans="3:6" x14ac:dyDescent="0.3">
      <c r="C760" s="1" t="str">
        <f>IF(C759&lt;'Investment Calculator'!$C$8*'Investment Calculator'!$F$4,'SIP Schedule'!C759+1,"")</f>
        <v/>
      </c>
      <c r="D760" s="27" t="str">
        <f>IF(C760&lt;='Investment Calculator'!$C$8*'Investment Calculator'!$F$4,'Investment Calculator'!$C$6,"")</f>
        <v/>
      </c>
      <c r="E760" s="27" t="str">
        <f>IFERROR((F759+D760)*'Investment Calculator'!$C$7/'Investment Calculator'!$F$4,"")</f>
        <v/>
      </c>
      <c r="F760" s="27" t="str">
        <f>IFERROR(ABS(FV('Investment Calculator'!$C$7/'Investment Calculator'!$F$4,'SIP Schedule'!C760,'SIP Schedule'!D760,,1)),"")</f>
        <v/>
      </c>
    </row>
    <row r="761" spans="3:6" x14ac:dyDescent="0.3">
      <c r="C761" s="1" t="str">
        <f>IF(C760&lt;'Investment Calculator'!$C$8*'Investment Calculator'!$F$4,'SIP Schedule'!C760+1,"")</f>
        <v/>
      </c>
      <c r="D761" s="27" t="str">
        <f>IF(C761&lt;='Investment Calculator'!$C$8*'Investment Calculator'!$F$4,'Investment Calculator'!$C$6,"")</f>
        <v/>
      </c>
      <c r="E761" s="27" t="str">
        <f>IFERROR((F760+D761)*'Investment Calculator'!$C$7/'Investment Calculator'!$F$4,"")</f>
        <v/>
      </c>
      <c r="F761" s="27" t="str">
        <f>IFERROR(ABS(FV('Investment Calculator'!$C$7/'Investment Calculator'!$F$4,'SIP Schedule'!C761,'SIP Schedule'!D761,,1)),"")</f>
        <v/>
      </c>
    </row>
    <row r="762" spans="3:6" x14ac:dyDescent="0.3">
      <c r="C762" s="1" t="str">
        <f>IF(C761&lt;'Investment Calculator'!$C$8*'Investment Calculator'!$F$4,'SIP Schedule'!C761+1,"")</f>
        <v/>
      </c>
      <c r="D762" s="27" t="str">
        <f>IF(C762&lt;='Investment Calculator'!$C$8*'Investment Calculator'!$F$4,'Investment Calculator'!$C$6,"")</f>
        <v/>
      </c>
      <c r="E762" s="27" t="str">
        <f>IFERROR((F761+D762)*'Investment Calculator'!$C$7/'Investment Calculator'!$F$4,"")</f>
        <v/>
      </c>
      <c r="F762" s="27" t="str">
        <f>IFERROR(ABS(FV('Investment Calculator'!$C$7/'Investment Calculator'!$F$4,'SIP Schedule'!C762,'SIP Schedule'!D762,,1)),"")</f>
        <v/>
      </c>
    </row>
    <row r="763" spans="3:6" x14ac:dyDescent="0.3">
      <c r="C763" s="1" t="str">
        <f>IF(C762&lt;'Investment Calculator'!$C$8*'Investment Calculator'!$F$4,'SIP Schedule'!C762+1,"")</f>
        <v/>
      </c>
      <c r="D763" s="27" t="str">
        <f>IF(C763&lt;='Investment Calculator'!$C$8*'Investment Calculator'!$F$4,'Investment Calculator'!$C$6,"")</f>
        <v/>
      </c>
      <c r="E763" s="27" t="str">
        <f>IFERROR((F762+D763)*'Investment Calculator'!$C$7/'Investment Calculator'!$F$4,"")</f>
        <v/>
      </c>
      <c r="F763" s="27" t="str">
        <f>IFERROR(ABS(FV('Investment Calculator'!$C$7/'Investment Calculator'!$F$4,'SIP Schedule'!C763,'SIP Schedule'!D763,,1)),"")</f>
        <v/>
      </c>
    </row>
    <row r="764" spans="3:6" x14ac:dyDescent="0.3">
      <c r="C764" s="1" t="str">
        <f>IF(C763&lt;'Investment Calculator'!$C$8*'Investment Calculator'!$F$4,'SIP Schedule'!C763+1,"")</f>
        <v/>
      </c>
      <c r="D764" s="27" t="str">
        <f>IF(C764&lt;='Investment Calculator'!$C$8*'Investment Calculator'!$F$4,'Investment Calculator'!$C$6,"")</f>
        <v/>
      </c>
      <c r="E764" s="27" t="str">
        <f>IFERROR((F763+D764)*'Investment Calculator'!$C$7/'Investment Calculator'!$F$4,"")</f>
        <v/>
      </c>
      <c r="F764" s="27" t="str">
        <f>IFERROR(ABS(FV('Investment Calculator'!$C$7/'Investment Calculator'!$F$4,'SIP Schedule'!C764,'SIP Schedule'!D764,,1)),"")</f>
        <v/>
      </c>
    </row>
    <row r="765" spans="3:6" x14ac:dyDescent="0.3">
      <c r="C765" s="1" t="str">
        <f>IF(C764&lt;'Investment Calculator'!$C$8*'Investment Calculator'!$F$4,'SIP Schedule'!C764+1,"")</f>
        <v/>
      </c>
      <c r="D765" s="27" t="str">
        <f>IF(C765&lt;='Investment Calculator'!$C$8*'Investment Calculator'!$F$4,'Investment Calculator'!$C$6,"")</f>
        <v/>
      </c>
      <c r="E765" s="27" t="str">
        <f>IFERROR((F764+D765)*'Investment Calculator'!$C$7/'Investment Calculator'!$F$4,"")</f>
        <v/>
      </c>
      <c r="F765" s="27" t="str">
        <f>IFERROR(ABS(FV('Investment Calculator'!$C$7/'Investment Calculator'!$F$4,'SIP Schedule'!C765,'SIP Schedule'!D765,,1)),"")</f>
        <v/>
      </c>
    </row>
    <row r="766" spans="3:6" x14ac:dyDescent="0.3">
      <c r="C766" s="1" t="str">
        <f>IF(C765&lt;'Investment Calculator'!$C$8*'Investment Calculator'!$F$4,'SIP Schedule'!C765+1,"")</f>
        <v/>
      </c>
      <c r="D766" s="27" t="str">
        <f>IF(C766&lt;='Investment Calculator'!$C$8*'Investment Calculator'!$F$4,'Investment Calculator'!$C$6,"")</f>
        <v/>
      </c>
      <c r="E766" s="27" t="str">
        <f>IFERROR((F765+D766)*'Investment Calculator'!$C$7/'Investment Calculator'!$F$4,"")</f>
        <v/>
      </c>
      <c r="F766" s="27" t="str">
        <f>IFERROR(ABS(FV('Investment Calculator'!$C$7/'Investment Calculator'!$F$4,'SIP Schedule'!C766,'SIP Schedule'!D766,,1)),"")</f>
        <v/>
      </c>
    </row>
    <row r="767" spans="3:6" x14ac:dyDescent="0.3">
      <c r="C767" s="1" t="str">
        <f>IF(C766&lt;'Investment Calculator'!$C$8*'Investment Calculator'!$F$4,'SIP Schedule'!C766+1,"")</f>
        <v/>
      </c>
      <c r="D767" s="27" t="str">
        <f>IF(C767&lt;='Investment Calculator'!$C$8*'Investment Calculator'!$F$4,'Investment Calculator'!$C$6,"")</f>
        <v/>
      </c>
      <c r="E767" s="27" t="str">
        <f>IFERROR((F766+D767)*'Investment Calculator'!$C$7/'Investment Calculator'!$F$4,"")</f>
        <v/>
      </c>
      <c r="F767" s="27" t="str">
        <f>IFERROR(ABS(FV('Investment Calculator'!$C$7/'Investment Calculator'!$F$4,'SIP Schedule'!C767,'SIP Schedule'!D767,,1)),"")</f>
        <v/>
      </c>
    </row>
    <row r="768" spans="3:6" x14ac:dyDescent="0.3">
      <c r="C768" s="1" t="str">
        <f>IF(C767&lt;'Investment Calculator'!$C$8*'Investment Calculator'!$F$4,'SIP Schedule'!C767+1,"")</f>
        <v/>
      </c>
      <c r="D768" s="27" t="str">
        <f>IF(C768&lt;='Investment Calculator'!$C$8*'Investment Calculator'!$F$4,'Investment Calculator'!$C$6,"")</f>
        <v/>
      </c>
      <c r="E768" s="27" t="str">
        <f>IFERROR((F767+D768)*'Investment Calculator'!$C$7/'Investment Calculator'!$F$4,"")</f>
        <v/>
      </c>
      <c r="F768" s="27" t="str">
        <f>IFERROR(ABS(FV('Investment Calculator'!$C$7/'Investment Calculator'!$F$4,'SIP Schedule'!C768,'SIP Schedule'!D768,,1)),"")</f>
        <v/>
      </c>
    </row>
    <row r="769" spans="3:6" x14ac:dyDescent="0.3">
      <c r="C769" s="1" t="str">
        <f>IF(C768&lt;'Investment Calculator'!$C$8*'Investment Calculator'!$F$4,'SIP Schedule'!C768+1,"")</f>
        <v/>
      </c>
      <c r="D769" s="27" t="str">
        <f>IF(C769&lt;='Investment Calculator'!$C$8*'Investment Calculator'!$F$4,'Investment Calculator'!$C$6,"")</f>
        <v/>
      </c>
      <c r="E769" s="27" t="str">
        <f>IFERROR((F768+D769)*'Investment Calculator'!$C$7/'Investment Calculator'!$F$4,"")</f>
        <v/>
      </c>
      <c r="F769" s="27" t="str">
        <f>IFERROR(ABS(FV('Investment Calculator'!$C$7/'Investment Calculator'!$F$4,'SIP Schedule'!C769,'SIP Schedule'!D769,,1)),"")</f>
        <v/>
      </c>
    </row>
    <row r="770" spans="3:6" x14ac:dyDescent="0.3">
      <c r="C770" s="1" t="str">
        <f>IF(C769&lt;'Investment Calculator'!$C$8*'Investment Calculator'!$F$4,'SIP Schedule'!C769+1,"")</f>
        <v/>
      </c>
      <c r="D770" s="27" t="str">
        <f>IF(C770&lt;='Investment Calculator'!$C$8*'Investment Calculator'!$F$4,'Investment Calculator'!$C$6,"")</f>
        <v/>
      </c>
      <c r="E770" s="27" t="str">
        <f>IFERROR((F769+D770)*'Investment Calculator'!$C$7/'Investment Calculator'!$F$4,"")</f>
        <v/>
      </c>
      <c r="F770" s="27" t="str">
        <f>IFERROR(ABS(FV('Investment Calculator'!$C$7/'Investment Calculator'!$F$4,'SIP Schedule'!C770,'SIP Schedule'!D770,,1)),"")</f>
        <v/>
      </c>
    </row>
    <row r="771" spans="3:6" x14ac:dyDescent="0.3">
      <c r="C771" s="1" t="str">
        <f>IF(C770&lt;'Investment Calculator'!$C$8*'Investment Calculator'!$F$4,'SIP Schedule'!C770+1,"")</f>
        <v/>
      </c>
      <c r="D771" s="27" t="str">
        <f>IF(C771&lt;='Investment Calculator'!$C$8*'Investment Calculator'!$F$4,'Investment Calculator'!$C$6,"")</f>
        <v/>
      </c>
      <c r="E771" s="27" t="str">
        <f>IFERROR((F770+D771)*'Investment Calculator'!$C$7/'Investment Calculator'!$F$4,"")</f>
        <v/>
      </c>
      <c r="F771" s="27" t="str">
        <f>IFERROR(ABS(FV('Investment Calculator'!$C$7/'Investment Calculator'!$F$4,'SIP Schedule'!C771,'SIP Schedule'!D771,,1)),"")</f>
        <v/>
      </c>
    </row>
    <row r="772" spans="3:6" x14ac:dyDescent="0.3">
      <c r="C772" s="1" t="str">
        <f>IF(C771&lt;'Investment Calculator'!$C$8*'Investment Calculator'!$F$4,'SIP Schedule'!C771+1,"")</f>
        <v/>
      </c>
      <c r="D772" s="27" t="str">
        <f>IF(C772&lt;='Investment Calculator'!$C$8*'Investment Calculator'!$F$4,'Investment Calculator'!$C$6,"")</f>
        <v/>
      </c>
      <c r="E772" s="27" t="str">
        <f>IFERROR((F771+D772)*'Investment Calculator'!$C$7/'Investment Calculator'!$F$4,"")</f>
        <v/>
      </c>
      <c r="F772" s="27" t="str">
        <f>IFERROR(ABS(FV('Investment Calculator'!$C$7/'Investment Calculator'!$F$4,'SIP Schedule'!C772,'SIP Schedule'!D772,,1)),"")</f>
        <v/>
      </c>
    </row>
    <row r="773" spans="3:6" x14ac:dyDescent="0.3">
      <c r="C773" s="1" t="str">
        <f>IF(C772&lt;'Investment Calculator'!$C$8*'Investment Calculator'!$F$4,'SIP Schedule'!C772+1,"")</f>
        <v/>
      </c>
      <c r="D773" s="27" t="str">
        <f>IF(C773&lt;='Investment Calculator'!$C$8*'Investment Calculator'!$F$4,'Investment Calculator'!$C$6,"")</f>
        <v/>
      </c>
      <c r="E773" s="27" t="str">
        <f>IFERROR((F772+D773)*'Investment Calculator'!$C$7/'Investment Calculator'!$F$4,"")</f>
        <v/>
      </c>
      <c r="F773" s="27" t="str">
        <f>IFERROR(ABS(FV('Investment Calculator'!$C$7/'Investment Calculator'!$F$4,'SIP Schedule'!C773,'SIP Schedule'!D773,,1)),"")</f>
        <v/>
      </c>
    </row>
    <row r="774" spans="3:6" x14ac:dyDescent="0.3">
      <c r="C774" s="1" t="str">
        <f>IF(C773&lt;'Investment Calculator'!$C$8*'Investment Calculator'!$F$4,'SIP Schedule'!C773+1,"")</f>
        <v/>
      </c>
      <c r="D774" s="27" t="str">
        <f>IF(C774&lt;='Investment Calculator'!$C$8*'Investment Calculator'!$F$4,'Investment Calculator'!$C$6,"")</f>
        <v/>
      </c>
      <c r="E774" s="27" t="str">
        <f>IFERROR((F773+D774)*'Investment Calculator'!$C$7/'Investment Calculator'!$F$4,"")</f>
        <v/>
      </c>
      <c r="F774" s="27" t="str">
        <f>IFERROR(ABS(FV('Investment Calculator'!$C$7/'Investment Calculator'!$F$4,'SIP Schedule'!C774,'SIP Schedule'!D774,,1)),"")</f>
        <v/>
      </c>
    </row>
    <row r="775" spans="3:6" x14ac:dyDescent="0.3">
      <c r="C775" s="1" t="str">
        <f>IF(C774&lt;'Investment Calculator'!$C$8*'Investment Calculator'!$F$4,'SIP Schedule'!C774+1,"")</f>
        <v/>
      </c>
      <c r="D775" s="27" t="str">
        <f>IF(C775&lt;='Investment Calculator'!$C$8*'Investment Calculator'!$F$4,'Investment Calculator'!$C$6,"")</f>
        <v/>
      </c>
      <c r="E775" s="27" t="str">
        <f>IFERROR((F774+D775)*'Investment Calculator'!$C$7/'Investment Calculator'!$F$4,"")</f>
        <v/>
      </c>
      <c r="F775" s="27" t="str">
        <f>IFERROR(ABS(FV('Investment Calculator'!$C$7/'Investment Calculator'!$F$4,'SIP Schedule'!C775,'SIP Schedule'!D775,,1)),"")</f>
        <v/>
      </c>
    </row>
    <row r="776" spans="3:6" x14ac:dyDescent="0.3">
      <c r="C776" s="1" t="str">
        <f>IF(C775&lt;'Investment Calculator'!$C$8*'Investment Calculator'!$F$4,'SIP Schedule'!C775+1,"")</f>
        <v/>
      </c>
      <c r="D776" s="27" t="str">
        <f>IF(C776&lt;='Investment Calculator'!$C$8*'Investment Calculator'!$F$4,'Investment Calculator'!$C$6,"")</f>
        <v/>
      </c>
      <c r="E776" s="27" t="str">
        <f>IFERROR((F775+D776)*'Investment Calculator'!$C$7/'Investment Calculator'!$F$4,"")</f>
        <v/>
      </c>
      <c r="F776" s="27" t="str">
        <f>IFERROR(ABS(FV('Investment Calculator'!$C$7/'Investment Calculator'!$F$4,'SIP Schedule'!C776,'SIP Schedule'!D776,,1)),"")</f>
        <v/>
      </c>
    </row>
    <row r="777" spans="3:6" x14ac:dyDescent="0.3">
      <c r="C777" s="1" t="str">
        <f>IF(C776&lt;'Investment Calculator'!$C$8*'Investment Calculator'!$F$4,'SIP Schedule'!C776+1,"")</f>
        <v/>
      </c>
      <c r="D777" s="27" t="str">
        <f>IF(C777&lt;='Investment Calculator'!$C$8*'Investment Calculator'!$F$4,'Investment Calculator'!$C$6,"")</f>
        <v/>
      </c>
      <c r="E777" s="27" t="str">
        <f>IFERROR((F776+D777)*'Investment Calculator'!$C$7/'Investment Calculator'!$F$4,"")</f>
        <v/>
      </c>
      <c r="F777" s="27" t="str">
        <f>IFERROR(ABS(FV('Investment Calculator'!$C$7/'Investment Calculator'!$F$4,'SIP Schedule'!C777,'SIP Schedule'!D777,,1)),"")</f>
        <v/>
      </c>
    </row>
    <row r="778" spans="3:6" x14ac:dyDescent="0.3">
      <c r="C778" s="1" t="str">
        <f>IF(C777&lt;'Investment Calculator'!$C$8*'Investment Calculator'!$F$4,'SIP Schedule'!C777+1,"")</f>
        <v/>
      </c>
      <c r="D778" s="27" t="str">
        <f>IF(C778&lt;='Investment Calculator'!$C$8*'Investment Calculator'!$F$4,'Investment Calculator'!$C$6,"")</f>
        <v/>
      </c>
      <c r="E778" s="27" t="str">
        <f>IFERROR((F777+D778)*'Investment Calculator'!$C$7/'Investment Calculator'!$F$4,"")</f>
        <v/>
      </c>
      <c r="F778" s="27" t="str">
        <f>IFERROR(ABS(FV('Investment Calculator'!$C$7/'Investment Calculator'!$F$4,'SIP Schedule'!C778,'SIP Schedule'!D778,,1)),"")</f>
        <v/>
      </c>
    </row>
    <row r="779" spans="3:6" x14ac:dyDescent="0.3">
      <c r="C779" s="1" t="str">
        <f>IF(C778&lt;'Investment Calculator'!$C$8*'Investment Calculator'!$F$4,'SIP Schedule'!C778+1,"")</f>
        <v/>
      </c>
      <c r="D779" s="27" t="str">
        <f>IF(C779&lt;='Investment Calculator'!$C$8*'Investment Calculator'!$F$4,'Investment Calculator'!$C$6,"")</f>
        <v/>
      </c>
      <c r="E779" s="27" t="str">
        <f>IFERROR((F778+D779)*'Investment Calculator'!$C$7/'Investment Calculator'!$F$4,"")</f>
        <v/>
      </c>
      <c r="F779" s="27" t="str">
        <f>IFERROR(ABS(FV('Investment Calculator'!$C$7/'Investment Calculator'!$F$4,'SIP Schedule'!C779,'SIP Schedule'!D779,,1)),"")</f>
        <v/>
      </c>
    </row>
    <row r="780" spans="3:6" x14ac:dyDescent="0.3">
      <c r="C780" s="1" t="str">
        <f>IF(C779&lt;'Investment Calculator'!$C$8*'Investment Calculator'!$F$4,'SIP Schedule'!C779+1,"")</f>
        <v/>
      </c>
      <c r="D780" s="27" t="str">
        <f>IF(C780&lt;='Investment Calculator'!$C$8*'Investment Calculator'!$F$4,'Investment Calculator'!$C$6,"")</f>
        <v/>
      </c>
      <c r="E780" s="27" t="str">
        <f>IFERROR((F779+D780)*'Investment Calculator'!$C$7/'Investment Calculator'!$F$4,"")</f>
        <v/>
      </c>
      <c r="F780" s="27" t="str">
        <f>IFERROR(ABS(FV('Investment Calculator'!$C$7/'Investment Calculator'!$F$4,'SIP Schedule'!C780,'SIP Schedule'!D780,,1)),"")</f>
        <v/>
      </c>
    </row>
    <row r="781" spans="3:6" x14ac:dyDescent="0.3">
      <c r="C781" s="1" t="str">
        <f>IF(C780&lt;'Investment Calculator'!$C$8*'Investment Calculator'!$F$4,'SIP Schedule'!C780+1,"")</f>
        <v/>
      </c>
      <c r="D781" s="27" t="str">
        <f>IF(C781&lt;='Investment Calculator'!$C$8*'Investment Calculator'!$F$4,'Investment Calculator'!$C$6,"")</f>
        <v/>
      </c>
      <c r="E781" s="27" t="str">
        <f>IFERROR((F780+D781)*'Investment Calculator'!$C$7/'Investment Calculator'!$F$4,"")</f>
        <v/>
      </c>
      <c r="F781" s="27" t="str">
        <f>IFERROR(ABS(FV('Investment Calculator'!$C$7/'Investment Calculator'!$F$4,'SIP Schedule'!C781,'SIP Schedule'!D781,,1)),"")</f>
        <v/>
      </c>
    </row>
    <row r="782" spans="3:6" x14ac:dyDescent="0.3">
      <c r="C782" s="1" t="str">
        <f>IF(C781&lt;'Investment Calculator'!$C$8*'Investment Calculator'!$F$4,'SIP Schedule'!C781+1,"")</f>
        <v/>
      </c>
      <c r="D782" s="27" t="str">
        <f>IF(C782&lt;='Investment Calculator'!$C$8*'Investment Calculator'!$F$4,'Investment Calculator'!$C$6,"")</f>
        <v/>
      </c>
      <c r="E782" s="27" t="str">
        <f>IFERROR((F781+D782)*'Investment Calculator'!$C$7/'Investment Calculator'!$F$4,"")</f>
        <v/>
      </c>
      <c r="F782" s="27" t="str">
        <f>IFERROR(ABS(FV('Investment Calculator'!$C$7/'Investment Calculator'!$F$4,'SIP Schedule'!C782,'SIP Schedule'!D782,,1)),"")</f>
        <v/>
      </c>
    </row>
    <row r="783" spans="3:6" x14ac:dyDescent="0.3">
      <c r="C783" s="1" t="str">
        <f>IF(C782&lt;'Investment Calculator'!$C$8*'Investment Calculator'!$F$4,'SIP Schedule'!C782+1,"")</f>
        <v/>
      </c>
      <c r="D783" s="27" t="str">
        <f>IF(C783&lt;='Investment Calculator'!$C$8*'Investment Calculator'!$F$4,'Investment Calculator'!$C$6,"")</f>
        <v/>
      </c>
      <c r="E783" s="27" t="str">
        <f>IFERROR((F782+D783)*'Investment Calculator'!$C$7/'Investment Calculator'!$F$4,"")</f>
        <v/>
      </c>
      <c r="F783" s="27" t="str">
        <f>IFERROR(ABS(FV('Investment Calculator'!$C$7/'Investment Calculator'!$F$4,'SIP Schedule'!C783,'SIP Schedule'!D783,,1)),"")</f>
        <v/>
      </c>
    </row>
    <row r="784" spans="3:6" x14ac:dyDescent="0.3">
      <c r="C784" s="1" t="str">
        <f>IF(C783&lt;'Investment Calculator'!$C$8*'Investment Calculator'!$F$4,'SIP Schedule'!C783+1,"")</f>
        <v/>
      </c>
      <c r="D784" s="27" t="str">
        <f>IF(C784&lt;='Investment Calculator'!$C$8*'Investment Calculator'!$F$4,'Investment Calculator'!$C$6,"")</f>
        <v/>
      </c>
      <c r="E784" s="27" t="str">
        <f>IFERROR((F783+D784)*'Investment Calculator'!$C$7/'Investment Calculator'!$F$4,"")</f>
        <v/>
      </c>
      <c r="F784" s="27" t="str">
        <f>IFERROR(ABS(FV('Investment Calculator'!$C$7/'Investment Calculator'!$F$4,'SIP Schedule'!C784,'SIP Schedule'!D784,,1)),"")</f>
        <v/>
      </c>
    </row>
    <row r="785" spans="3:6" x14ac:dyDescent="0.3">
      <c r="C785" s="1" t="str">
        <f>IF(C784&lt;'Investment Calculator'!$C$8*'Investment Calculator'!$F$4,'SIP Schedule'!C784+1,"")</f>
        <v/>
      </c>
      <c r="D785" s="27" t="str">
        <f>IF(C785&lt;='Investment Calculator'!$C$8*'Investment Calculator'!$F$4,'Investment Calculator'!$C$6,"")</f>
        <v/>
      </c>
      <c r="E785" s="27" t="str">
        <f>IFERROR((F784+D785)*'Investment Calculator'!$C$7/'Investment Calculator'!$F$4,"")</f>
        <v/>
      </c>
      <c r="F785" s="27" t="str">
        <f>IFERROR(ABS(FV('Investment Calculator'!$C$7/'Investment Calculator'!$F$4,'SIP Schedule'!C785,'SIP Schedule'!D785,,1)),"")</f>
        <v/>
      </c>
    </row>
    <row r="786" spans="3:6" x14ac:dyDescent="0.3">
      <c r="C786" s="1" t="str">
        <f>IF(C785&lt;'Investment Calculator'!$C$8*'Investment Calculator'!$F$4,'SIP Schedule'!C785+1,"")</f>
        <v/>
      </c>
      <c r="D786" s="27" t="str">
        <f>IF(C786&lt;='Investment Calculator'!$C$8*'Investment Calculator'!$F$4,'Investment Calculator'!$C$6,"")</f>
        <v/>
      </c>
      <c r="E786" s="27" t="str">
        <f>IFERROR((F785+D786)*'Investment Calculator'!$C$7/'Investment Calculator'!$F$4,"")</f>
        <v/>
      </c>
      <c r="F786" s="27" t="str">
        <f>IFERROR(ABS(FV('Investment Calculator'!$C$7/'Investment Calculator'!$F$4,'SIP Schedule'!C786,'SIP Schedule'!D786,,1)),"")</f>
        <v/>
      </c>
    </row>
    <row r="787" spans="3:6" x14ac:dyDescent="0.3">
      <c r="C787" s="1" t="str">
        <f>IF(C786&lt;'Investment Calculator'!$C$8*'Investment Calculator'!$F$4,'SIP Schedule'!C786+1,"")</f>
        <v/>
      </c>
      <c r="D787" s="27" t="str">
        <f>IF(C787&lt;='Investment Calculator'!$C$8*'Investment Calculator'!$F$4,'Investment Calculator'!$C$6,"")</f>
        <v/>
      </c>
      <c r="E787" s="27" t="str">
        <f>IFERROR((F786+D787)*'Investment Calculator'!$C$7/'Investment Calculator'!$F$4,"")</f>
        <v/>
      </c>
      <c r="F787" s="27" t="str">
        <f>IFERROR(ABS(FV('Investment Calculator'!$C$7/'Investment Calculator'!$F$4,'SIP Schedule'!C787,'SIP Schedule'!D787,,1)),"")</f>
        <v/>
      </c>
    </row>
    <row r="788" spans="3:6" x14ac:dyDescent="0.3">
      <c r="C788" s="1" t="str">
        <f>IF(C787&lt;'Investment Calculator'!$C$8*'Investment Calculator'!$F$4,'SIP Schedule'!C787+1,"")</f>
        <v/>
      </c>
      <c r="D788" s="27" t="str">
        <f>IF(C788&lt;='Investment Calculator'!$C$8*'Investment Calculator'!$F$4,'Investment Calculator'!$C$6,"")</f>
        <v/>
      </c>
      <c r="E788" s="27" t="str">
        <f>IFERROR((F787+D788)*'Investment Calculator'!$C$7/'Investment Calculator'!$F$4,"")</f>
        <v/>
      </c>
      <c r="F788" s="27" t="str">
        <f>IFERROR(ABS(FV('Investment Calculator'!$C$7/'Investment Calculator'!$F$4,'SIP Schedule'!C788,'SIP Schedule'!D788,,1)),"")</f>
        <v/>
      </c>
    </row>
    <row r="789" spans="3:6" x14ac:dyDescent="0.3">
      <c r="C789" s="1" t="str">
        <f>IF(C788&lt;'Investment Calculator'!$C$8*'Investment Calculator'!$F$4,'SIP Schedule'!C788+1,"")</f>
        <v/>
      </c>
      <c r="D789" s="27" t="str">
        <f>IF(C789&lt;='Investment Calculator'!$C$8*'Investment Calculator'!$F$4,'Investment Calculator'!$C$6,"")</f>
        <v/>
      </c>
      <c r="E789" s="27" t="str">
        <f>IFERROR((F788+D789)*'Investment Calculator'!$C$7/'Investment Calculator'!$F$4,"")</f>
        <v/>
      </c>
      <c r="F789" s="27" t="str">
        <f>IFERROR(ABS(FV('Investment Calculator'!$C$7/'Investment Calculator'!$F$4,'SIP Schedule'!C789,'SIP Schedule'!D789,,1)),"")</f>
        <v/>
      </c>
    </row>
    <row r="790" spans="3:6" x14ac:dyDescent="0.3">
      <c r="C790" s="1" t="str">
        <f>IF(C789&lt;'Investment Calculator'!$C$8*'Investment Calculator'!$F$4,'SIP Schedule'!C789+1,"")</f>
        <v/>
      </c>
      <c r="D790" s="27" t="str">
        <f>IF(C790&lt;='Investment Calculator'!$C$8*'Investment Calculator'!$F$4,'Investment Calculator'!$C$6,"")</f>
        <v/>
      </c>
      <c r="E790" s="27" t="str">
        <f>IFERROR((F789+D790)*'Investment Calculator'!$C$7/'Investment Calculator'!$F$4,"")</f>
        <v/>
      </c>
      <c r="F790" s="27" t="str">
        <f>IFERROR(ABS(FV('Investment Calculator'!$C$7/'Investment Calculator'!$F$4,'SIP Schedule'!C790,'SIP Schedule'!D790,,1)),"")</f>
        <v/>
      </c>
    </row>
    <row r="791" spans="3:6" x14ac:dyDescent="0.3">
      <c r="C791" s="1" t="str">
        <f>IF(C790&lt;'Investment Calculator'!$C$8*'Investment Calculator'!$F$4,'SIP Schedule'!C790+1,"")</f>
        <v/>
      </c>
      <c r="D791" s="27" t="str">
        <f>IF(C791&lt;='Investment Calculator'!$C$8*'Investment Calculator'!$F$4,'Investment Calculator'!$C$6,"")</f>
        <v/>
      </c>
      <c r="E791" s="27" t="str">
        <f>IFERROR((F790+D791)*'Investment Calculator'!$C$7/'Investment Calculator'!$F$4,"")</f>
        <v/>
      </c>
      <c r="F791" s="27" t="str">
        <f>IFERROR(ABS(FV('Investment Calculator'!$C$7/'Investment Calculator'!$F$4,'SIP Schedule'!C791,'SIP Schedule'!D791,,1)),"")</f>
        <v/>
      </c>
    </row>
    <row r="792" spans="3:6" x14ac:dyDescent="0.3">
      <c r="C792" s="1" t="str">
        <f>IF(C791&lt;'Investment Calculator'!$C$8*'Investment Calculator'!$F$4,'SIP Schedule'!C791+1,"")</f>
        <v/>
      </c>
      <c r="D792" s="27" t="str">
        <f>IF(C792&lt;='Investment Calculator'!$C$8*'Investment Calculator'!$F$4,'Investment Calculator'!$C$6,"")</f>
        <v/>
      </c>
      <c r="E792" s="27" t="str">
        <f>IFERROR((F791+D792)*'Investment Calculator'!$C$7/'Investment Calculator'!$F$4,"")</f>
        <v/>
      </c>
      <c r="F792" s="27" t="str">
        <f>IFERROR(ABS(FV('Investment Calculator'!$C$7/'Investment Calculator'!$F$4,'SIP Schedule'!C792,'SIP Schedule'!D792,,1)),"")</f>
        <v/>
      </c>
    </row>
    <row r="793" spans="3:6" x14ac:dyDescent="0.3">
      <c r="C793" s="1" t="str">
        <f>IF(C792&lt;'Investment Calculator'!$C$8*'Investment Calculator'!$F$4,'SIP Schedule'!C792+1,"")</f>
        <v/>
      </c>
      <c r="D793" s="27" t="str">
        <f>IF(C793&lt;='Investment Calculator'!$C$8*'Investment Calculator'!$F$4,'Investment Calculator'!$C$6,"")</f>
        <v/>
      </c>
      <c r="E793" s="27" t="str">
        <f>IFERROR((F792+D793)*'Investment Calculator'!$C$7/'Investment Calculator'!$F$4,"")</f>
        <v/>
      </c>
      <c r="F793" s="27" t="str">
        <f>IFERROR(ABS(FV('Investment Calculator'!$C$7/'Investment Calculator'!$F$4,'SIP Schedule'!C793,'SIP Schedule'!D793,,1)),"")</f>
        <v/>
      </c>
    </row>
    <row r="794" spans="3:6" x14ac:dyDescent="0.3">
      <c r="C794" s="1" t="str">
        <f>IF(C793&lt;'Investment Calculator'!$C$8*'Investment Calculator'!$F$4,'SIP Schedule'!C793+1,"")</f>
        <v/>
      </c>
      <c r="D794" s="27" t="str">
        <f>IF(C794&lt;='Investment Calculator'!$C$8*'Investment Calculator'!$F$4,'Investment Calculator'!$C$6,"")</f>
        <v/>
      </c>
      <c r="E794" s="27" t="str">
        <f>IFERROR((F793+D794)*'Investment Calculator'!$C$7/'Investment Calculator'!$F$4,"")</f>
        <v/>
      </c>
      <c r="F794" s="27" t="str">
        <f>IFERROR(ABS(FV('Investment Calculator'!$C$7/'Investment Calculator'!$F$4,'SIP Schedule'!C794,'SIP Schedule'!D794,,1)),"")</f>
        <v/>
      </c>
    </row>
    <row r="795" spans="3:6" x14ac:dyDescent="0.3">
      <c r="C795" s="1" t="str">
        <f>IF(C794&lt;'Investment Calculator'!$C$8*'Investment Calculator'!$F$4,'SIP Schedule'!C794+1,"")</f>
        <v/>
      </c>
      <c r="D795" s="27" t="str">
        <f>IF(C795&lt;='Investment Calculator'!$C$8*'Investment Calculator'!$F$4,'Investment Calculator'!$C$6,"")</f>
        <v/>
      </c>
      <c r="E795" s="27" t="str">
        <f>IFERROR((F794+D795)*'Investment Calculator'!$C$7/'Investment Calculator'!$F$4,"")</f>
        <v/>
      </c>
      <c r="F795" s="27" t="str">
        <f>IFERROR(ABS(FV('Investment Calculator'!$C$7/'Investment Calculator'!$F$4,'SIP Schedule'!C795,'SIP Schedule'!D795,,1)),"")</f>
        <v/>
      </c>
    </row>
    <row r="796" spans="3:6" x14ac:dyDescent="0.3">
      <c r="C796" s="1" t="str">
        <f>IF(C795&lt;'Investment Calculator'!$C$8*'Investment Calculator'!$F$4,'SIP Schedule'!C795+1,"")</f>
        <v/>
      </c>
      <c r="D796" s="27" t="str">
        <f>IF(C796&lt;='Investment Calculator'!$C$8*'Investment Calculator'!$F$4,'Investment Calculator'!$C$6,"")</f>
        <v/>
      </c>
      <c r="E796" s="27" t="str">
        <f>IFERROR((F795+D796)*'Investment Calculator'!$C$7/'Investment Calculator'!$F$4,"")</f>
        <v/>
      </c>
      <c r="F796" s="27" t="str">
        <f>IFERROR(ABS(FV('Investment Calculator'!$C$7/'Investment Calculator'!$F$4,'SIP Schedule'!C796,'SIP Schedule'!D796,,1)),"")</f>
        <v/>
      </c>
    </row>
    <row r="797" spans="3:6" x14ac:dyDescent="0.3">
      <c r="C797" s="1" t="str">
        <f>IF(C796&lt;'Investment Calculator'!$C$8*'Investment Calculator'!$F$4,'SIP Schedule'!C796+1,"")</f>
        <v/>
      </c>
      <c r="D797" s="27" t="str">
        <f>IF(C797&lt;='Investment Calculator'!$C$8*'Investment Calculator'!$F$4,'Investment Calculator'!$C$6,"")</f>
        <v/>
      </c>
      <c r="E797" s="27" t="str">
        <f>IFERROR((F796+D797)*'Investment Calculator'!$C$7/'Investment Calculator'!$F$4,"")</f>
        <v/>
      </c>
      <c r="F797" s="27" t="str">
        <f>IFERROR(ABS(FV('Investment Calculator'!$C$7/'Investment Calculator'!$F$4,'SIP Schedule'!C797,'SIP Schedule'!D797,,1)),"")</f>
        <v/>
      </c>
    </row>
    <row r="798" spans="3:6" x14ac:dyDescent="0.3">
      <c r="C798" s="1" t="str">
        <f>IF(C797&lt;'Investment Calculator'!$C$8*'Investment Calculator'!$F$4,'SIP Schedule'!C797+1,"")</f>
        <v/>
      </c>
      <c r="D798" s="27" t="str">
        <f>IF(C798&lt;='Investment Calculator'!$C$8*'Investment Calculator'!$F$4,'Investment Calculator'!$C$6,"")</f>
        <v/>
      </c>
      <c r="E798" s="27" t="str">
        <f>IFERROR((F797+D798)*'Investment Calculator'!$C$7/'Investment Calculator'!$F$4,"")</f>
        <v/>
      </c>
      <c r="F798" s="27" t="str">
        <f>IFERROR(ABS(FV('Investment Calculator'!$C$7/'Investment Calculator'!$F$4,'SIP Schedule'!C798,'SIP Schedule'!D798,,1)),"")</f>
        <v/>
      </c>
    </row>
    <row r="799" spans="3:6" x14ac:dyDescent="0.3">
      <c r="C799" s="1" t="str">
        <f>IF(C798&lt;'Investment Calculator'!$C$8*'Investment Calculator'!$F$4,'SIP Schedule'!C798+1,"")</f>
        <v/>
      </c>
      <c r="D799" s="27" t="str">
        <f>IF(C799&lt;='Investment Calculator'!$C$8*'Investment Calculator'!$F$4,'Investment Calculator'!$C$6,"")</f>
        <v/>
      </c>
      <c r="E799" s="27" t="str">
        <f>IFERROR((F798+D799)*'Investment Calculator'!$C$7/'Investment Calculator'!$F$4,"")</f>
        <v/>
      </c>
      <c r="F799" s="27" t="str">
        <f>IFERROR(ABS(FV('Investment Calculator'!$C$7/'Investment Calculator'!$F$4,'SIP Schedule'!C799,'SIP Schedule'!D799,,1)),"")</f>
        <v/>
      </c>
    </row>
    <row r="800" spans="3:6" x14ac:dyDescent="0.3">
      <c r="C800" s="1" t="str">
        <f>IF(C799&lt;'Investment Calculator'!$C$8*'Investment Calculator'!$F$4,'SIP Schedule'!C799+1,"")</f>
        <v/>
      </c>
      <c r="D800" s="27" t="str">
        <f>IF(C800&lt;='Investment Calculator'!$C$8*'Investment Calculator'!$F$4,'Investment Calculator'!$C$6,"")</f>
        <v/>
      </c>
      <c r="E800" s="27" t="str">
        <f>IFERROR((F799+D800)*'Investment Calculator'!$C$7/'Investment Calculator'!$F$4,"")</f>
        <v/>
      </c>
      <c r="F800" s="27" t="str">
        <f>IFERROR(ABS(FV('Investment Calculator'!$C$7/'Investment Calculator'!$F$4,'SIP Schedule'!C800,'SIP Schedule'!D800,,1)),"")</f>
        <v/>
      </c>
    </row>
    <row r="801" spans="3:6" x14ac:dyDescent="0.3">
      <c r="C801" s="1" t="str">
        <f>IF(C800&lt;'Investment Calculator'!$C$8*'Investment Calculator'!$F$4,'SIP Schedule'!C800+1,"")</f>
        <v/>
      </c>
      <c r="D801" s="27" t="str">
        <f>IF(C801&lt;='Investment Calculator'!$C$8*'Investment Calculator'!$F$4,'Investment Calculator'!$C$6,"")</f>
        <v/>
      </c>
      <c r="E801" s="27" t="str">
        <f>IFERROR((F800+D801)*'Investment Calculator'!$C$7/'Investment Calculator'!$F$4,"")</f>
        <v/>
      </c>
      <c r="F801" s="27" t="str">
        <f>IFERROR(ABS(FV('Investment Calculator'!$C$7/'Investment Calculator'!$F$4,'SIP Schedule'!C801,'SIP Schedule'!D801,,1)),"")</f>
        <v/>
      </c>
    </row>
    <row r="802" spans="3:6" x14ac:dyDescent="0.3">
      <c r="C802" s="1" t="str">
        <f>IF(C801&lt;'Investment Calculator'!$C$8*'Investment Calculator'!$F$4,'SIP Schedule'!C801+1,"")</f>
        <v/>
      </c>
      <c r="D802" s="27" t="str">
        <f>IF(C802&lt;='Investment Calculator'!$C$8*'Investment Calculator'!$F$4,'Investment Calculator'!$C$6,"")</f>
        <v/>
      </c>
      <c r="E802" s="27" t="str">
        <f>IFERROR((F801+D802)*'Investment Calculator'!$C$7/'Investment Calculator'!$F$4,"")</f>
        <v/>
      </c>
      <c r="F802" s="27" t="str">
        <f>IFERROR(ABS(FV('Investment Calculator'!$C$7/'Investment Calculator'!$F$4,'SIP Schedule'!C802,'SIP Schedule'!D802,,1)),"")</f>
        <v/>
      </c>
    </row>
    <row r="803" spans="3:6" x14ac:dyDescent="0.3">
      <c r="C803" s="1" t="str">
        <f>IF(C802&lt;'Investment Calculator'!$C$8*'Investment Calculator'!$F$4,'SIP Schedule'!C802+1,"")</f>
        <v/>
      </c>
      <c r="D803" s="27" t="str">
        <f>IF(C803&lt;='Investment Calculator'!$C$8*'Investment Calculator'!$F$4,'Investment Calculator'!$C$6,"")</f>
        <v/>
      </c>
      <c r="E803" s="27" t="str">
        <f>IFERROR((F802+D803)*'Investment Calculator'!$C$7/'Investment Calculator'!$F$4,"")</f>
        <v/>
      </c>
      <c r="F803" s="27" t="str">
        <f>IFERROR(ABS(FV('Investment Calculator'!$C$7/'Investment Calculator'!$F$4,'SIP Schedule'!C803,'SIP Schedule'!D803,,1)),"")</f>
        <v/>
      </c>
    </row>
    <row r="804" spans="3:6" x14ac:dyDescent="0.3">
      <c r="C804" s="1" t="str">
        <f>IF(C803&lt;'Investment Calculator'!$C$8*'Investment Calculator'!$F$4,'SIP Schedule'!C803+1,"")</f>
        <v/>
      </c>
      <c r="D804" s="27" t="str">
        <f>IF(C804&lt;='Investment Calculator'!$C$8*'Investment Calculator'!$F$4,'Investment Calculator'!$C$6,"")</f>
        <v/>
      </c>
      <c r="E804" s="27" t="str">
        <f>IFERROR((F803+D804)*'Investment Calculator'!$C$7/'Investment Calculator'!$F$4,"")</f>
        <v/>
      </c>
      <c r="F804" s="27" t="str">
        <f>IFERROR(ABS(FV('Investment Calculator'!$C$7/'Investment Calculator'!$F$4,'SIP Schedule'!C804,'SIP Schedule'!D804,,1)),"")</f>
        <v/>
      </c>
    </row>
    <row r="805" spans="3:6" x14ac:dyDescent="0.3">
      <c r="C805" s="1" t="str">
        <f>IF(C804&lt;'Investment Calculator'!$C$8*'Investment Calculator'!$F$4,'SIP Schedule'!C804+1,"")</f>
        <v/>
      </c>
      <c r="D805" s="27" t="str">
        <f>IF(C805&lt;='Investment Calculator'!$C$8*'Investment Calculator'!$F$4,'Investment Calculator'!$C$6,"")</f>
        <v/>
      </c>
      <c r="E805" s="27" t="str">
        <f>IFERROR((F804+D805)*'Investment Calculator'!$C$7/'Investment Calculator'!$F$4,"")</f>
        <v/>
      </c>
      <c r="F805" s="27" t="str">
        <f>IFERROR(ABS(FV('Investment Calculator'!$C$7/'Investment Calculator'!$F$4,'SIP Schedule'!C805,'SIP Schedule'!D805,,1)),"")</f>
        <v/>
      </c>
    </row>
    <row r="806" spans="3:6" x14ac:dyDescent="0.3">
      <c r="C806" s="1" t="str">
        <f>IF(C805&lt;'Investment Calculator'!$C$8*'Investment Calculator'!$F$4,'SIP Schedule'!C805+1,"")</f>
        <v/>
      </c>
      <c r="D806" s="27" t="str">
        <f>IF(C806&lt;='Investment Calculator'!$C$8*'Investment Calculator'!$F$4,'Investment Calculator'!$C$6,"")</f>
        <v/>
      </c>
      <c r="E806" s="27" t="str">
        <f>IFERROR((F805+D806)*'Investment Calculator'!$C$7/'Investment Calculator'!$F$4,"")</f>
        <v/>
      </c>
      <c r="F806" s="27" t="str">
        <f>IFERROR(ABS(FV('Investment Calculator'!$C$7/'Investment Calculator'!$F$4,'SIP Schedule'!C806,'SIP Schedule'!D806,,1)),"")</f>
        <v/>
      </c>
    </row>
    <row r="807" spans="3:6" x14ac:dyDescent="0.3">
      <c r="C807" s="1" t="str">
        <f>IF(C806&lt;'Investment Calculator'!$C$8*'Investment Calculator'!$F$4,'SIP Schedule'!C806+1,"")</f>
        <v/>
      </c>
      <c r="D807" s="27" t="str">
        <f>IF(C807&lt;='Investment Calculator'!$C$8*'Investment Calculator'!$F$4,'Investment Calculator'!$C$6,"")</f>
        <v/>
      </c>
      <c r="E807" s="27" t="str">
        <f>IFERROR((F806+D807)*'Investment Calculator'!$C$7/'Investment Calculator'!$F$4,"")</f>
        <v/>
      </c>
      <c r="F807" s="27" t="str">
        <f>IFERROR(ABS(FV('Investment Calculator'!$C$7/'Investment Calculator'!$F$4,'SIP Schedule'!C807,'SIP Schedule'!D807,,1)),"")</f>
        <v/>
      </c>
    </row>
    <row r="808" spans="3:6" x14ac:dyDescent="0.3">
      <c r="C808" s="1" t="str">
        <f>IF(C807&lt;'Investment Calculator'!$C$8*'Investment Calculator'!$F$4,'SIP Schedule'!C807+1,"")</f>
        <v/>
      </c>
      <c r="D808" s="27" t="str">
        <f>IF(C808&lt;='Investment Calculator'!$C$8*'Investment Calculator'!$F$4,'Investment Calculator'!$C$6,"")</f>
        <v/>
      </c>
      <c r="E808" s="27" t="str">
        <f>IFERROR((F807+D808)*'Investment Calculator'!$C$7/'Investment Calculator'!$F$4,"")</f>
        <v/>
      </c>
      <c r="F808" s="27" t="str">
        <f>IFERROR(ABS(FV('Investment Calculator'!$C$7/'Investment Calculator'!$F$4,'SIP Schedule'!C808,'SIP Schedule'!D808,,1)),"")</f>
        <v/>
      </c>
    </row>
    <row r="809" spans="3:6" x14ac:dyDescent="0.3">
      <c r="C809" s="1" t="str">
        <f>IF(C808&lt;'Investment Calculator'!$C$8*'Investment Calculator'!$F$4,'SIP Schedule'!C808+1,"")</f>
        <v/>
      </c>
      <c r="D809" s="27" t="str">
        <f>IF(C809&lt;='Investment Calculator'!$C$8*'Investment Calculator'!$F$4,'Investment Calculator'!$C$6,"")</f>
        <v/>
      </c>
      <c r="E809" s="27" t="str">
        <f>IFERROR((F808+D809)*'Investment Calculator'!$C$7/'Investment Calculator'!$F$4,"")</f>
        <v/>
      </c>
      <c r="F809" s="27" t="str">
        <f>IFERROR(ABS(FV('Investment Calculator'!$C$7/'Investment Calculator'!$F$4,'SIP Schedule'!C809,'SIP Schedule'!D809,,1)),"")</f>
        <v/>
      </c>
    </row>
    <row r="810" spans="3:6" x14ac:dyDescent="0.3">
      <c r="C810" s="1" t="str">
        <f>IF(C809&lt;'Investment Calculator'!$C$8*'Investment Calculator'!$F$4,'SIP Schedule'!C809+1,"")</f>
        <v/>
      </c>
      <c r="D810" s="27" t="str">
        <f>IF(C810&lt;='Investment Calculator'!$C$8*'Investment Calculator'!$F$4,'Investment Calculator'!$C$6,"")</f>
        <v/>
      </c>
      <c r="E810" s="27" t="str">
        <f>IFERROR((F809+D810)*'Investment Calculator'!$C$7/'Investment Calculator'!$F$4,"")</f>
        <v/>
      </c>
      <c r="F810" s="27" t="str">
        <f>IFERROR(ABS(FV('Investment Calculator'!$C$7/'Investment Calculator'!$F$4,'SIP Schedule'!C810,'SIP Schedule'!D810,,1)),"")</f>
        <v/>
      </c>
    </row>
    <row r="811" spans="3:6" x14ac:dyDescent="0.3">
      <c r="C811" s="1" t="str">
        <f>IF(C810&lt;'Investment Calculator'!$C$8*'Investment Calculator'!$F$4,'SIP Schedule'!C810+1,"")</f>
        <v/>
      </c>
      <c r="D811" s="27" t="str">
        <f>IF(C811&lt;='Investment Calculator'!$C$8*'Investment Calculator'!$F$4,'Investment Calculator'!$C$6,"")</f>
        <v/>
      </c>
      <c r="E811" s="27" t="str">
        <f>IFERROR((F810+D811)*'Investment Calculator'!$C$7/'Investment Calculator'!$F$4,"")</f>
        <v/>
      </c>
      <c r="F811" s="27" t="str">
        <f>IFERROR(ABS(FV('Investment Calculator'!$C$7/'Investment Calculator'!$F$4,'SIP Schedule'!C811,'SIP Schedule'!D811,,1)),"")</f>
        <v/>
      </c>
    </row>
    <row r="812" spans="3:6" x14ac:dyDescent="0.3">
      <c r="C812" s="1" t="str">
        <f>IF(C811&lt;'Investment Calculator'!$C$8*'Investment Calculator'!$F$4,'SIP Schedule'!C811+1,"")</f>
        <v/>
      </c>
      <c r="D812" s="27" t="str">
        <f>IF(C812&lt;='Investment Calculator'!$C$8*'Investment Calculator'!$F$4,'Investment Calculator'!$C$6,"")</f>
        <v/>
      </c>
      <c r="E812" s="27" t="str">
        <f>IFERROR((F811+D812)*'Investment Calculator'!$C$7/'Investment Calculator'!$F$4,"")</f>
        <v/>
      </c>
      <c r="F812" s="27" t="str">
        <f>IFERROR(ABS(FV('Investment Calculator'!$C$7/'Investment Calculator'!$F$4,'SIP Schedule'!C812,'SIP Schedule'!D812,,1)),"")</f>
        <v/>
      </c>
    </row>
    <row r="813" spans="3:6" x14ac:dyDescent="0.3">
      <c r="C813" s="1" t="str">
        <f>IF(C812&lt;'Investment Calculator'!$C$8*'Investment Calculator'!$F$4,'SIP Schedule'!C812+1,"")</f>
        <v/>
      </c>
      <c r="D813" s="27" t="str">
        <f>IF(C813&lt;='Investment Calculator'!$C$8*'Investment Calculator'!$F$4,'Investment Calculator'!$C$6,"")</f>
        <v/>
      </c>
      <c r="E813" s="27" t="str">
        <f>IFERROR((F812+D813)*'Investment Calculator'!$C$7/'Investment Calculator'!$F$4,"")</f>
        <v/>
      </c>
      <c r="F813" s="27" t="str">
        <f>IFERROR(ABS(FV('Investment Calculator'!$C$7/'Investment Calculator'!$F$4,'SIP Schedule'!C813,'SIP Schedule'!D813,,1)),"")</f>
        <v/>
      </c>
    </row>
    <row r="814" spans="3:6" x14ac:dyDescent="0.3">
      <c r="C814" s="1" t="str">
        <f>IF(C813&lt;'Investment Calculator'!$C$8*'Investment Calculator'!$F$4,'SIP Schedule'!C813+1,"")</f>
        <v/>
      </c>
      <c r="D814" s="27" t="str">
        <f>IF(C814&lt;='Investment Calculator'!$C$8*'Investment Calculator'!$F$4,'Investment Calculator'!$C$6,"")</f>
        <v/>
      </c>
      <c r="E814" s="27" t="str">
        <f>IFERROR((F813+D814)*'Investment Calculator'!$C$7/'Investment Calculator'!$F$4,"")</f>
        <v/>
      </c>
      <c r="F814" s="27" t="str">
        <f>IFERROR(ABS(FV('Investment Calculator'!$C$7/'Investment Calculator'!$F$4,'SIP Schedule'!C814,'SIP Schedule'!D814,,1)),"")</f>
        <v/>
      </c>
    </row>
    <row r="815" spans="3:6" x14ac:dyDescent="0.3">
      <c r="C815" s="1" t="str">
        <f>IF(C814&lt;'Investment Calculator'!$C$8*'Investment Calculator'!$F$4,'SIP Schedule'!C814+1,"")</f>
        <v/>
      </c>
      <c r="D815" s="27" t="str">
        <f>IF(C815&lt;='Investment Calculator'!$C$8*'Investment Calculator'!$F$4,'Investment Calculator'!$C$6,"")</f>
        <v/>
      </c>
      <c r="E815" s="27" t="str">
        <f>IFERROR((F814+D815)*'Investment Calculator'!$C$7/'Investment Calculator'!$F$4,"")</f>
        <v/>
      </c>
      <c r="F815" s="27" t="str">
        <f>IFERROR(ABS(FV('Investment Calculator'!$C$7/'Investment Calculator'!$F$4,'SIP Schedule'!C815,'SIP Schedule'!D815,,1)),"")</f>
        <v/>
      </c>
    </row>
    <row r="816" spans="3:6" x14ac:dyDescent="0.3">
      <c r="C816" s="1" t="str">
        <f>IF(C815&lt;'Investment Calculator'!$C$8*'Investment Calculator'!$F$4,'SIP Schedule'!C815+1,"")</f>
        <v/>
      </c>
      <c r="D816" s="27" t="str">
        <f>IF(C816&lt;='Investment Calculator'!$C$8*'Investment Calculator'!$F$4,'Investment Calculator'!$C$6,"")</f>
        <v/>
      </c>
      <c r="E816" s="27" t="str">
        <f>IFERROR((F815+D816)*'Investment Calculator'!$C$7/'Investment Calculator'!$F$4,"")</f>
        <v/>
      </c>
      <c r="F816" s="27" t="str">
        <f>IFERROR(ABS(FV('Investment Calculator'!$C$7/'Investment Calculator'!$F$4,'SIP Schedule'!C816,'SIP Schedule'!D816,,1)),"")</f>
        <v/>
      </c>
    </row>
    <row r="817" spans="3:6" x14ac:dyDescent="0.3">
      <c r="C817" s="1" t="str">
        <f>IF(C816&lt;'Investment Calculator'!$C$8*'Investment Calculator'!$F$4,'SIP Schedule'!C816+1,"")</f>
        <v/>
      </c>
      <c r="D817" s="27" t="str">
        <f>IF(C817&lt;='Investment Calculator'!$C$8*'Investment Calculator'!$F$4,'Investment Calculator'!$C$6,"")</f>
        <v/>
      </c>
      <c r="E817" s="27" t="str">
        <f>IFERROR((F816+D817)*'Investment Calculator'!$C$7/'Investment Calculator'!$F$4,"")</f>
        <v/>
      </c>
      <c r="F817" s="27" t="str">
        <f>IFERROR(ABS(FV('Investment Calculator'!$C$7/'Investment Calculator'!$F$4,'SIP Schedule'!C817,'SIP Schedule'!D817,,1)),"")</f>
        <v/>
      </c>
    </row>
    <row r="818" spans="3:6" x14ac:dyDescent="0.3">
      <c r="C818" s="1" t="str">
        <f>IF(C817&lt;'Investment Calculator'!$C$8*'Investment Calculator'!$F$4,'SIP Schedule'!C817+1,"")</f>
        <v/>
      </c>
      <c r="D818" s="27" t="str">
        <f>IF(C818&lt;='Investment Calculator'!$C$8*'Investment Calculator'!$F$4,'Investment Calculator'!$C$6,"")</f>
        <v/>
      </c>
      <c r="E818" s="27" t="str">
        <f>IFERROR((F817+D818)*'Investment Calculator'!$C$7/'Investment Calculator'!$F$4,"")</f>
        <v/>
      </c>
      <c r="F818" s="27" t="str">
        <f>IFERROR(ABS(FV('Investment Calculator'!$C$7/'Investment Calculator'!$F$4,'SIP Schedule'!C818,'SIP Schedule'!D818,,1)),"")</f>
        <v/>
      </c>
    </row>
    <row r="819" spans="3:6" x14ac:dyDescent="0.3">
      <c r="C819" s="1" t="str">
        <f>IF(C818&lt;'Investment Calculator'!$C$8*'Investment Calculator'!$F$4,'SIP Schedule'!C818+1,"")</f>
        <v/>
      </c>
      <c r="D819" s="27" t="str">
        <f>IF(C819&lt;='Investment Calculator'!$C$8*'Investment Calculator'!$F$4,'Investment Calculator'!$C$6,"")</f>
        <v/>
      </c>
      <c r="E819" s="27" t="str">
        <f>IFERROR((F818+D819)*'Investment Calculator'!$C$7/'Investment Calculator'!$F$4,"")</f>
        <v/>
      </c>
      <c r="F819" s="27" t="str">
        <f>IFERROR(ABS(FV('Investment Calculator'!$C$7/'Investment Calculator'!$F$4,'SIP Schedule'!C819,'SIP Schedule'!D819,,1)),"")</f>
        <v/>
      </c>
    </row>
    <row r="820" spans="3:6" x14ac:dyDescent="0.3">
      <c r="C820" s="1" t="str">
        <f>IF(C819&lt;'Investment Calculator'!$C$8*'Investment Calculator'!$F$4,'SIP Schedule'!C819+1,"")</f>
        <v/>
      </c>
      <c r="D820" s="27" t="str">
        <f>IF(C820&lt;='Investment Calculator'!$C$8*'Investment Calculator'!$F$4,'Investment Calculator'!$C$6,"")</f>
        <v/>
      </c>
      <c r="E820" s="27" t="str">
        <f>IFERROR((F819+D820)*'Investment Calculator'!$C$7/'Investment Calculator'!$F$4,"")</f>
        <v/>
      </c>
      <c r="F820" s="27" t="str">
        <f>IFERROR(ABS(FV('Investment Calculator'!$C$7/'Investment Calculator'!$F$4,'SIP Schedule'!C820,'SIP Schedule'!D820,,1)),"")</f>
        <v/>
      </c>
    </row>
    <row r="821" spans="3:6" x14ac:dyDescent="0.3">
      <c r="C821" s="1" t="str">
        <f>IF(C820&lt;'Investment Calculator'!$C$8*'Investment Calculator'!$F$4,'SIP Schedule'!C820+1,"")</f>
        <v/>
      </c>
      <c r="D821" s="27" t="str">
        <f>IF(C821&lt;='Investment Calculator'!$C$8*'Investment Calculator'!$F$4,'Investment Calculator'!$C$6,"")</f>
        <v/>
      </c>
      <c r="E821" s="27" t="str">
        <f>IFERROR((F820+D821)*'Investment Calculator'!$C$7/'Investment Calculator'!$F$4,"")</f>
        <v/>
      </c>
      <c r="F821" s="27" t="str">
        <f>IFERROR(ABS(FV('Investment Calculator'!$C$7/'Investment Calculator'!$F$4,'SIP Schedule'!C821,'SIP Schedule'!D821,,1)),"")</f>
        <v/>
      </c>
    </row>
    <row r="822" spans="3:6" x14ac:dyDescent="0.3">
      <c r="C822" s="1" t="str">
        <f>IF(C821&lt;'Investment Calculator'!$C$8*'Investment Calculator'!$F$4,'SIP Schedule'!C821+1,"")</f>
        <v/>
      </c>
      <c r="D822" s="27" t="str">
        <f>IF(C822&lt;='Investment Calculator'!$C$8*'Investment Calculator'!$F$4,'Investment Calculator'!$C$6,"")</f>
        <v/>
      </c>
      <c r="E822" s="27" t="str">
        <f>IFERROR((F821+D822)*'Investment Calculator'!$C$7/'Investment Calculator'!$F$4,"")</f>
        <v/>
      </c>
      <c r="F822" s="27" t="str">
        <f>IFERROR(ABS(FV('Investment Calculator'!$C$7/'Investment Calculator'!$F$4,'SIP Schedule'!C822,'SIP Schedule'!D822,,1)),"")</f>
        <v/>
      </c>
    </row>
    <row r="823" spans="3:6" x14ac:dyDescent="0.3">
      <c r="C823" s="1" t="str">
        <f>IF(C822&lt;'Investment Calculator'!$C$8*'Investment Calculator'!$F$4,'SIP Schedule'!C822+1,"")</f>
        <v/>
      </c>
      <c r="D823" s="27" t="str">
        <f>IF(C823&lt;='Investment Calculator'!$C$8*'Investment Calculator'!$F$4,'Investment Calculator'!$C$6,"")</f>
        <v/>
      </c>
      <c r="E823" s="27" t="str">
        <f>IFERROR((F822+D823)*'Investment Calculator'!$C$7/'Investment Calculator'!$F$4,"")</f>
        <v/>
      </c>
      <c r="F823" s="27" t="str">
        <f>IFERROR(ABS(FV('Investment Calculator'!$C$7/'Investment Calculator'!$F$4,'SIP Schedule'!C823,'SIP Schedule'!D823,,1)),"")</f>
        <v/>
      </c>
    </row>
    <row r="824" spans="3:6" x14ac:dyDescent="0.3">
      <c r="C824" s="1" t="str">
        <f>IF(C823&lt;'Investment Calculator'!$C$8*'Investment Calculator'!$F$4,'SIP Schedule'!C823+1,"")</f>
        <v/>
      </c>
      <c r="D824" s="27" t="str">
        <f>IF(C824&lt;='Investment Calculator'!$C$8*'Investment Calculator'!$F$4,'Investment Calculator'!$C$6,"")</f>
        <v/>
      </c>
      <c r="E824" s="27" t="str">
        <f>IFERROR((F823+D824)*'Investment Calculator'!$C$7/'Investment Calculator'!$F$4,"")</f>
        <v/>
      </c>
      <c r="F824" s="27" t="str">
        <f>IFERROR(ABS(FV('Investment Calculator'!$C$7/'Investment Calculator'!$F$4,'SIP Schedule'!C824,'SIP Schedule'!D824,,1)),"")</f>
        <v/>
      </c>
    </row>
    <row r="825" spans="3:6" x14ac:dyDescent="0.3">
      <c r="C825" s="1" t="str">
        <f>IF(C824&lt;'Investment Calculator'!$C$8*'Investment Calculator'!$F$4,'SIP Schedule'!C824+1,"")</f>
        <v/>
      </c>
      <c r="D825" s="27" t="str">
        <f>IF(C825&lt;='Investment Calculator'!$C$8*'Investment Calculator'!$F$4,'Investment Calculator'!$C$6,"")</f>
        <v/>
      </c>
      <c r="E825" s="27" t="str">
        <f>IFERROR((F824+D825)*'Investment Calculator'!$C$7/'Investment Calculator'!$F$4,"")</f>
        <v/>
      </c>
      <c r="F825" s="27" t="str">
        <f>IFERROR(ABS(FV('Investment Calculator'!$C$7/'Investment Calculator'!$F$4,'SIP Schedule'!C825,'SIP Schedule'!D825,,1)),"")</f>
        <v/>
      </c>
    </row>
    <row r="826" spans="3:6" x14ac:dyDescent="0.3">
      <c r="C826" s="1" t="str">
        <f>IF(C825&lt;'Investment Calculator'!$C$8*'Investment Calculator'!$F$4,'SIP Schedule'!C825+1,"")</f>
        <v/>
      </c>
      <c r="D826" s="27" t="str">
        <f>IF(C826&lt;='Investment Calculator'!$C$8*'Investment Calculator'!$F$4,'Investment Calculator'!$C$6,"")</f>
        <v/>
      </c>
      <c r="E826" s="27" t="str">
        <f>IFERROR((F825+D826)*'Investment Calculator'!$C$7/'Investment Calculator'!$F$4,"")</f>
        <v/>
      </c>
      <c r="F826" s="27" t="str">
        <f>IFERROR(ABS(FV('Investment Calculator'!$C$7/'Investment Calculator'!$F$4,'SIP Schedule'!C826,'SIP Schedule'!D826,,1)),"")</f>
        <v/>
      </c>
    </row>
    <row r="827" spans="3:6" x14ac:dyDescent="0.3">
      <c r="C827" s="1" t="str">
        <f>IF(C826&lt;'Investment Calculator'!$C$8*'Investment Calculator'!$F$4,'SIP Schedule'!C826+1,"")</f>
        <v/>
      </c>
      <c r="D827" s="27" t="str">
        <f>IF(C827&lt;='Investment Calculator'!$C$8*'Investment Calculator'!$F$4,'Investment Calculator'!$C$6,"")</f>
        <v/>
      </c>
      <c r="E827" s="27" t="str">
        <f>IFERROR((F826+D827)*'Investment Calculator'!$C$7/'Investment Calculator'!$F$4,"")</f>
        <v/>
      </c>
      <c r="F827" s="27" t="str">
        <f>IFERROR(ABS(FV('Investment Calculator'!$C$7/'Investment Calculator'!$F$4,'SIP Schedule'!C827,'SIP Schedule'!D827,,1)),"")</f>
        <v/>
      </c>
    </row>
    <row r="828" spans="3:6" x14ac:dyDescent="0.3">
      <c r="C828" s="1" t="str">
        <f>IF(C827&lt;'Investment Calculator'!$C$8*'Investment Calculator'!$F$4,'SIP Schedule'!C827+1,"")</f>
        <v/>
      </c>
      <c r="D828" s="27" t="str">
        <f>IF(C828&lt;='Investment Calculator'!$C$8*'Investment Calculator'!$F$4,'Investment Calculator'!$C$6,"")</f>
        <v/>
      </c>
      <c r="E828" s="27" t="str">
        <f>IFERROR((F827+D828)*'Investment Calculator'!$C$7/'Investment Calculator'!$F$4,"")</f>
        <v/>
      </c>
      <c r="F828" s="27" t="str">
        <f>IFERROR(ABS(FV('Investment Calculator'!$C$7/'Investment Calculator'!$F$4,'SIP Schedule'!C828,'SIP Schedule'!D828,,1)),"")</f>
        <v/>
      </c>
    </row>
    <row r="829" spans="3:6" x14ac:dyDescent="0.3">
      <c r="C829" s="1" t="str">
        <f>IF(C828&lt;'Investment Calculator'!$C$8*'Investment Calculator'!$F$4,'SIP Schedule'!C828+1,"")</f>
        <v/>
      </c>
      <c r="D829" s="27" t="str">
        <f>IF(C829&lt;='Investment Calculator'!$C$8*'Investment Calculator'!$F$4,'Investment Calculator'!$C$6,"")</f>
        <v/>
      </c>
      <c r="E829" s="27" t="str">
        <f>IFERROR((F828+D829)*'Investment Calculator'!$C$7/'Investment Calculator'!$F$4,"")</f>
        <v/>
      </c>
      <c r="F829" s="27" t="str">
        <f>IFERROR(ABS(FV('Investment Calculator'!$C$7/'Investment Calculator'!$F$4,'SIP Schedule'!C829,'SIP Schedule'!D829,,1)),"")</f>
        <v/>
      </c>
    </row>
    <row r="830" spans="3:6" x14ac:dyDescent="0.3">
      <c r="C830" s="1" t="str">
        <f>IF(C829&lt;'Investment Calculator'!$C$8*'Investment Calculator'!$F$4,'SIP Schedule'!C829+1,"")</f>
        <v/>
      </c>
      <c r="D830" s="27" t="str">
        <f>IF(C830&lt;='Investment Calculator'!$C$8*'Investment Calculator'!$F$4,'Investment Calculator'!$C$6,"")</f>
        <v/>
      </c>
      <c r="E830" s="27" t="str">
        <f>IFERROR((F829+D830)*'Investment Calculator'!$C$7/'Investment Calculator'!$F$4,"")</f>
        <v/>
      </c>
      <c r="F830" s="27" t="str">
        <f>IFERROR(ABS(FV('Investment Calculator'!$C$7/'Investment Calculator'!$F$4,'SIP Schedule'!C830,'SIP Schedule'!D830,,1)),"")</f>
        <v/>
      </c>
    </row>
    <row r="831" spans="3:6" x14ac:dyDescent="0.3">
      <c r="C831" s="1" t="str">
        <f>IF(C830&lt;'Investment Calculator'!$C$8*'Investment Calculator'!$F$4,'SIP Schedule'!C830+1,"")</f>
        <v/>
      </c>
      <c r="D831" s="27" t="str">
        <f>IF(C831&lt;='Investment Calculator'!$C$8*'Investment Calculator'!$F$4,'Investment Calculator'!$C$6,"")</f>
        <v/>
      </c>
      <c r="E831" s="27" t="str">
        <f>IFERROR((F830+D831)*'Investment Calculator'!$C$7/'Investment Calculator'!$F$4,"")</f>
        <v/>
      </c>
      <c r="F831" s="27" t="str">
        <f>IFERROR(ABS(FV('Investment Calculator'!$C$7/'Investment Calculator'!$F$4,'SIP Schedule'!C831,'SIP Schedule'!D831,,1)),"")</f>
        <v/>
      </c>
    </row>
    <row r="832" spans="3:6" x14ac:dyDescent="0.3">
      <c r="C832" s="1" t="str">
        <f>IF(C831&lt;'Investment Calculator'!$C$8*'Investment Calculator'!$F$4,'SIP Schedule'!C831+1,"")</f>
        <v/>
      </c>
      <c r="D832" s="27" t="str">
        <f>IF(C832&lt;='Investment Calculator'!$C$8*'Investment Calculator'!$F$4,'Investment Calculator'!$C$6,"")</f>
        <v/>
      </c>
      <c r="E832" s="27" t="str">
        <f>IFERROR((F831+D832)*'Investment Calculator'!$C$7/'Investment Calculator'!$F$4,"")</f>
        <v/>
      </c>
      <c r="F832" s="27" t="str">
        <f>IFERROR(ABS(FV('Investment Calculator'!$C$7/'Investment Calculator'!$F$4,'SIP Schedule'!C832,'SIP Schedule'!D832,,1)),"")</f>
        <v/>
      </c>
    </row>
    <row r="833" spans="3:6" x14ac:dyDescent="0.3">
      <c r="C833" s="1" t="str">
        <f>IF(C832&lt;'Investment Calculator'!$C$8*'Investment Calculator'!$F$4,'SIP Schedule'!C832+1,"")</f>
        <v/>
      </c>
      <c r="D833" s="27" t="str">
        <f>IF(C833&lt;='Investment Calculator'!$C$8*'Investment Calculator'!$F$4,'Investment Calculator'!$C$6,"")</f>
        <v/>
      </c>
      <c r="E833" s="27" t="str">
        <f>IFERROR((F832+D833)*'Investment Calculator'!$C$7/'Investment Calculator'!$F$4,"")</f>
        <v/>
      </c>
      <c r="F833" s="27" t="str">
        <f>IFERROR(ABS(FV('Investment Calculator'!$C$7/'Investment Calculator'!$F$4,'SIP Schedule'!C833,'SIP Schedule'!D833,,1)),"")</f>
        <v/>
      </c>
    </row>
    <row r="834" spans="3:6" x14ac:dyDescent="0.3">
      <c r="C834" s="1" t="str">
        <f>IF(C833&lt;'Investment Calculator'!$C$8*'Investment Calculator'!$F$4,'SIP Schedule'!C833+1,"")</f>
        <v/>
      </c>
      <c r="D834" s="27" t="str">
        <f>IF(C834&lt;='Investment Calculator'!$C$8*'Investment Calculator'!$F$4,'Investment Calculator'!$C$6,"")</f>
        <v/>
      </c>
      <c r="E834" s="27" t="str">
        <f>IFERROR((F833+D834)*'Investment Calculator'!$C$7/'Investment Calculator'!$F$4,"")</f>
        <v/>
      </c>
      <c r="F834" s="27" t="str">
        <f>IFERROR(ABS(FV('Investment Calculator'!$C$7/'Investment Calculator'!$F$4,'SIP Schedule'!C834,'SIP Schedule'!D834,,1)),"")</f>
        <v/>
      </c>
    </row>
    <row r="835" spans="3:6" x14ac:dyDescent="0.3">
      <c r="C835" s="1" t="str">
        <f>IF(C834&lt;'Investment Calculator'!$C$8*'Investment Calculator'!$F$4,'SIP Schedule'!C834+1,"")</f>
        <v/>
      </c>
      <c r="D835" s="27" t="str">
        <f>IF(C835&lt;='Investment Calculator'!$C$8*'Investment Calculator'!$F$4,'Investment Calculator'!$C$6,"")</f>
        <v/>
      </c>
      <c r="E835" s="27" t="str">
        <f>IFERROR((F834+D835)*'Investment Calculator'!$C$7/'Investment Calculator'!$F$4,"")</f>
        <v/>
      </c>
      <c r="F835" s="27" t="str">
        <f>IFERROR(ABS(FV('Investment Calculator'!$C$7/'Investment Calculator'!$F$4,'SIP Schedule'!C835,'SIP Schedule'!D835,,1)),"")</f>
        <v/>
      </c>
    </row>
    <row r="836" spans="3:6" x14ac:dyDescent="0.3">
      <c r="C836" s="1" t="str">
        <f>IF(C835&lt;'Investment Calculator'!$C$8*'Investment Calculator'!$F$4,'SIP Schedule'!C835+1,"")</f>
        <v/>
      </c>
      <c r="D836" s="27" t="str">
        <f>IF(C836&lt;='Investment Calculator'!$C$8*'Investment Calculator'!$F$4,'Investment Calculator'!$C$6,"")</f>
        <v/>
      </c>
      <c r="E836" s="27" t="str">
        <f>IFERROR((F835+D836)*'Investment Calculator'!$C$7/'Investment Calculator'!$F$4,"")</f>
        <v/>
      </c>
      <c r="F836" s="27" t="str">
        <f>IFERROR(ABS(FV('Investment Calculator'!$C$7/'Investment Calculator'!$F$4,'SIP Schedule'!C836,'SIP Schedule'!D836,,1)),"")</f>
        <v/>
      </c>
    </row>
    <row r="837" spans="3:6" x14ac:dyDescent="0.3">
      <c r="C837" s="1" t="str">
        <f>IF(C836&lt;'Investment Calculator'!$C$8*'Investment Calculator'!$F$4,'SIP Schedule'!C836+1,"")</f>
        <v/>
      </c>
      <c r="D837" s="27" t="str">
        <f>IF(C837&lt;='Investment Calculator'!$C$8*'Investment Calculator'!$F$4,'Investment Calculator'!$C$6,"")</f>
        <v/>
      </c>
      <c r="E837" s="27" t="str">
        <f>IFERROR((F836+D837)*'Investment Calculator'!$C$7/'Investment Calculator'!$F$4,"")</f>
        <v/>
      </c>
      <c r="F837" s="27" t="str">
        <f>IFERROR(ABS(FV('Investment Calculator'!$C$7/'Investment Calculator'!$F$4,'SIP Schedule'!C837,'SIP Schedule'!D837,,1)),"")</f>
        <v/>
      </c>
    </row>
    <row r="838" spans="3:6" x14ac:dyDescent="0.3">
      <c r="C838" s="1" t="str">
        <f>IF(C837&lt;'Investment Calculator'!$C$8*'Investment Calculator'!$F$4,'SIP Schedule'!C837+1,"")</f>
        <v/>
      </c>
      <c r="D838" s="27" t="str">
        <f>IF(C838&lt;='Investment Calculator'!$C$8*'Investment Calculator'!$F$4,'Investment Calculator'!$C$6,"")</f>
        <v/>
      </c>
      <c r="E838" s="27" t="str">
        <f>IFERROR((F837+D838)*'Investment Calculator'!$C$7/'Investment Calculator'!$F$4,"")</f>
        <v/>
      </c>
      <c r="F838" s="27" t="str">
        <f>IFERROR(ABS(FV('Investment Calculator'!$C$7/'Investment Calculator'!$F$4,'SIP Schedule'!C838,'SIP Schedule'!D838,,1)),"")</f>
        <v/>
      </c>
    </row>
    <row r="839" spans="3:6" x14ac:dyDescent="0.3">
      <c r="C839" s="1" t="str">
        <f>IF(C838&lt;'Investment Calculator'!$C$8*'Investment Calculator'!$F$4,'SIP Schedule'!C838+1,"")</f>
        <v/>
      </c>
      <c r="D839" s="27" t="str">
        <f>IF(C839&lt;='Investment Calculator'!$C$8*'Investment Calculator'!$F$4,'Investment Calculator'!$C$6,"")</f>
        <v/>
      </c>
      <c r="E839" s="27" t="str">
        <f>IFERROR((F838+D839)*'Investment Calculator'!$C$7/'Investment Calculator'!$F$4,"")</f>
        <v/>
      </c>
      <c r="F839" s="27" t="str">
        <f>IFERROR(ABS(FV('Investment Calculator'!$C$7/'Investment Calculator'!$F$4,'SIP Schedule'!C839,'SIP Schedule'!D839,,1)),"")</f>
        <v/>
      </c>
    </row>
    <row r="840" spans="3:6" x14ac:dyDescent="0.3">
      <c r="C840" s="1" t="str">
        <f>IF(C839&lt;'Investment Calculator'!$C$8*'Investment Calculator'!$F$4,'SIP Schedule'!C839+1,"")</f>
        <v/>
      </c>
      <c r="D840" s="27" t="str">
        <f>IF(C840&lt;='Investment Calculator'!$C$8*'Investment Calculator'!$F$4,'Investment Calculator'!$C$6,"")</f>
        <v/>
      </c>
      <c r="E840" s="27" t="str">
        <f>IFERROR((F839+D840)*'Investment Calculator'!$C$7/'Investment Calculator'!$F$4,"")</f>
        <v/>
      </c>
      <c r="F840" s="27" t="str">
        <f>IFERROR(ABS(FV('Investment Calculator'!$C$7/'Investment Calculator'!$F$4,'SIP Schedule'!C840,'SIP Schedule'!D840,,1)),"")</f>
        <v/>
      </c>
    </row>
    <row r="841" spans="3:6" x14ac:dyDescent="0.3">
      <c r="C841" s="1" t="str">
        <f>IF(C840&lt;'Investment Calculator'!$C$8*'Investment Calculator'!$F$4,'SIP Schedule'!C840+1,"")</f>
        <v/>
      </c>
      <c r="D841" s="27" t="str">
        <f>IF(C841&lt;='Investment Calculator'!$C$8*'Investment Calculator'!$F$4,'Investment Calculator'!$C$6,"")</f>
        <v/>
      </c>
      <c r="E841" s="27" t="str">
        <f>IFERROR((F840+D841)*'Investment Calculator'!$C$7/'Investment Calculator'!$F$4,"")</f>
        <v/>
      </c>
      <c r="F841" s="27" t="str">
        <f>IFERROR(ABS(FV('Investment Calculator'!$C$7/'Investment Calculator'!$F$4,'SIP Schedule'!C841,'SIP Schedule'!D841,,1)),"")</f>
        <v/>
      </c>
    </row>
    <row r="842" spans="3:6" x14ac:dyDescent="0.3">
      <c r="C842" s="1" t="str">
        <f>IF(C841&lt;'Investment Calculator'!$C$8*'Investment Calculator'!$F$4,'SIP Schedule'!C841+1,"")</f>
        <v/>
      </c>
      <c r="D842" s="27" t="str">
        <f>IF(C842&lt;='Investment Calculator'!$C$8*'Investment Calculator'!$F$4,'Investment Calculator'!$C$6,"")</f>
        <v/>
      </c>
      <c r="E842" s="27" t="str">
        <f>IFERROR((F841+D842)*'Investment Calculator'!$C$7/'Investment Calculator'!$F$4,"")</f>
        <v/>
      </c>
      <c r="F842" s="27" t="str">
        <f>IFERROR(ABS(FV('Investment Calculator'!$C$7/'Investment Calculator'!$F$4,'SIP Schedule'!C842,'SIP Schedule'!D842,,1)),"")</f>
        <v/>
      </c>
    </row>
    <row r="843" spans="3:6" x14ac:dyDescent="0.3">
      <c r="C843" s="1" t="str">
        <f>IF(C842&lt;'Investment Calculator'!$C$8*'Investment Calculator'!$F$4,'SIP Schedule'!C842+1,"")</f>
        <v/>
      </c>
      <c r="D843" s="27" t="str">
        <f>IF(C843&lt;='Investment Calculator'!$C$8*'Investment Calculator'!$F$4,'Investment Calculator'!$C$6,"")</f>
        <v/>
      </c>
      <c r="E843" s="27" t="str">
        <f>IFERROR((F842+D843)*'Investment Calculator'!$C$7/'Investment Calculator'!$F$4,"")</f>
        <v/>
      </c>
      <c r="F843" s="27" t="str">
        <f>IFERROR(ABS(FV('Investment Calculator'!$C$7/'Investment Calculator'!$F$4,'SIP Schedule'!C843,'SIP Schedule'!D843,,1)),"")</f>
        <v/>
      </c>
    </row>
    <row r="844" spans="3:6" x14ac:dyDescent="0.3">
      <c r="C844" s="1" t="str">
        <f>IF(C843&lt;'Investment Calculator'!$C$8*'Investment Calculator'!$F$4,'SIP Schedule'!C843+1,"")</f>
        <v/>
      </c>
      <c r="D844" s="27" t="str">
        <f>IF(C844&lt;='Investment Calculator'!$C$8*'Investment Calculator'!$F$4,'Investment Calculator'!$C$6,"")</f>
        <v/>
      </c>
      <c r="E844" s="27" t="str">
        <f>IFERROR((F843+D844)*'Investment Calculator'!$C$7/'Investment Calculator'!$F$4,"")</f>
        <v/>
      </c>
      <c r="F844" s="27" t="str">
        <f>IFERROR(ABS(FV('Investment Calculator'!$C$7/'Investment Calculator'!$F$4,'SIP Schedule'!C844,'SIP Schedule'!D844,,1)),"")</f>
        <v/>
      </c>
    </row>
    <row r="845" spans="3:6" x14ac:dyDescent="0.3">
      <c r="C845" s="1" t="str">
        <f>IF(C844&lt;'Investment Calculator'!$C$8*'Investment Calculator'!$F$4,'SIP Schedule'!C844+1,"")</f>
        <v/>
      </c>
      <c r="D845" s="27" t="str">
        <f>IF(C845&lt;='Investment Calculator'!$C$8*'Investment Calculator'!$F$4,'Investment Calculator'!$C$6,"")</f>
        <v/>
      </c>
      <c r="E845" s="27" t="str">
        <f>IFERROR((F844+D845)*'Investment Calculator'!$C$7/'Investment Calculator'!$F$4,"")</f>
        <v/>
      </c>
      <c r="F845" s="27" t="str">
        <f>IFERROR(ABS(FV('Investment Calculator'!$C$7/'Investment Calculator'!$F$4,'SIP Schedule'!C845,'SIP Schedule'!D845,,1)),"")</f>
        <v/>
      </c>
    </row>
    <row r="846" spans="3:6" x14ac:dyDescent="0.3">
      <c r="C846" s="1" t="str">
        <f>IF(C845&lt;'Investment Calculator'!$C$8*'Investment Calculator'!$F$4,'SIP Schedule'!C845+1,"")</f>
        <v/>
      </c>
      <c r="D846" s="27" t="str">
        <f>IF(C846&lt;='Investment Calculator'!$C$8*'Investment Calculator'!$F$4,'Investment Calculator'!$C$6,"")</f>
        <v/>
      </c>
      <c r="E846" s="27" t="str">
        <f>IFERROR((F845+D846)*'Investment Calculator'!$C$7/'Investment Calculator'!$F$4,"")</f>
        <v/>
      </c>
      <c r="F846" s="27" t="str">
        <f>IFERROR(ABS(FV('Investment Calculator'!$C$7/'Investment Calculator'!$F$4,'SIP Schedule'!C846,'SIP Schedule'!D846,,1)),"")</f>
        <v/>
      </c>
    </row>
    <row r="847" spans="3:6" x14ac:dyDescent="0.3">
      <c r="C847" s="1" t="str">
        <f>IF(C846&lt;'Investment Calculator'!$C$8*'Investment Calculator'!$F$4,'SIP Schedule'!C846+1,"")</f>
        <v/>
      </c>
      <c r="D847" s="27" t="str">
        <f>IF(C847&lt;='Investment Calculator'!$C$8*'Investment Calculator'!$F$4,'Investment Calculator'!$C$6,"")</f>
        <v/>
      </c>
      <c r="E847" s="27" t="str">
        <f>IFERROR((F846+D847)*'Investment Calculator'!$C$7/'Investment Calculator'!$F$4,"")</f>
        <v/>
      </c>
      <c r="F847" s="27" t="str">
        <f>IFERROR(ABS(FV('Investment Calculator'!$C$7/'Investment Calculator'!$F$4,'SIP Schedule'!C847,'SIP Schedule'!D847,,1)),"")</f>
        <v/>
      </c>
    </row>
    <row r="848" spans="3:6" x14ac:dyDescent="0.3">
      <c r="C848" s="1" t="str">
        <f>IF(C847&lt;'Investment Calculator'!$C$8*'Investment Calculator'!$F$4,'SIP Schedule'!C847+1,"")</f>
        <v/>
      </c>
      <c r="D848" s="27" t="str">
        <f>IF(C848&lt;='Investment Calculator'!$C$8*'Investment Calculator'!$F$4,'Investment Calculator'!$C$6,"")</f>
        <v/>
      </c>
      <c r="E848" s="27" t="str">
        <f>IFERROR((F847+D848)*'Investment Calculator'!$C$7/'Investment Calculator'!$F$4,"")</f>
        <v/>
      </c>
      <c r="F848" s="27" t="str">
        <f>IFERROR(ABS(FV('Investment Calculator'!$C$7/'Investment Calculator'!$F$4,'SIP Schedule'!C848,'SIP Schedule'!D848,,1)),"")</f>
        <v/>
      </c>
    </row>
    <row r="849" spans="3:6" x14ac:dyDescent="0.3">
      <c r="C849" s="1" t="str">
        <f>IF(C848&lt;'Investment Calculator'!$C$8*'Investment Calculator'!$F$4,'SIP Schedule'!C848+1,"")</f>
        <v/>
      </c>
      <c r="D849" s="27" t="str">
        <f>IF(C849&lt;='Investment Calculator'!$C$8*'Investment Calculator'!$F$4,'Investment Calculator'!$C$6,"")</f>
        <v/>
      </c>
      <c r="E849" s="27" t="str">
        <f>IFERROR((F848+D849)*'Investment Calculator'!$C$7/'Investment Calculator'!$F$4,"")</f>
        <v/>
      </c>
      <c r="F849" s="27" t="str">
        <f>IFERROR(ABS(FV('Investment Calculator'!$C$7/'Investment Calculator'!$F$4,'SIP Schedule'!C849,'SIP Schedule'!D849,,1)),"")</f>
        <v/>
      </c>
    </row>
    <row r="850" spans="3:6" x14ac:dyDescent="0.3">
      <c r="C850" s="1" t="str">
        <f>IF(C849&lt;'Investment Calculator'!$C$8*'Investment Calculator'!$F$4,'SIP Schedule'!C849+1,"")</f>
        <v/>
      </c>
      <c r="D850" s="27" t="str">
        <f>IF(C850&lt;='Investment Calculator'!$C$8*'Investment Calculator'!$F$4,'Investment Calculator'!$C$6,"")</f>
        <v/>
      </c>
      <c r="E850" s="27" t="str">
        <f>IFERROR((F849+D850)*'Investment Calculator'!$C$7/'Investment Calculator'!$F$4,"")</f>
        <v/>
      </c>
      <c r="F850" s="27" t="str">
        <f>IFERROR(ABS(FV('Investment Calculator'!$C$7/'Investment Calculator'!$F$4,'SIP Schedule'!C850,'SIP Schedule'!D850,,1)),"")</f>
        <v/>
      </c>
    </row>
    <row r="851" spans="3:6" x14ac:dyDescent="0.3">
      <c r="C851" s="1" t="str">
        <f>IF(C850&lt;'Investment Calculator'!$C$8*'Investment Calculator'!$F$4,'SIP Schedule'!C850+1,"")</f>
        <v/>
      </c>
      <c r="D851" s="27" t="str">
        <f>IF(C851&lt;='Investment Calculator'!$C$8*'Investment Calculator'!$F$4,'Investment Calculator'!$C$6,"")</f>
        <v/>
      </c>
      <c r="E851" s="27" t="str">
        <f>IFERROR((F850+D851)*'Investment Calculator'!$C$7/'Investment Calculator'!$F$4,"")</f>
        <v/>
      </c>
      <c r="F851" s="27" t="str">
        <f>IFERROR(ABS(FV('Investment Calculator'!$C$7/'Investment Calculator'!$F$4,'SIP Schedule'!C851,'SIP Schedule'!D851,,1)),"")</f>
        <v/>
      </c>
    </row>
    <row r="852" spans="3:6" x14ac:dyDescent="0.3">
      <c r="C852" s="1" t="str">
        <f>IF(C851&lt;'Investment Calculator'!$C$8*'Investment Calculator'!$F$4,'SIP Schedule'!C851+1,"")</f>
        <v/>
      </c>
      <c r="D852" s="27" t="str">
        <f>IF(C852&lt;='Investment Calculator'!$C$8*'Investment Calculator'!$F$4,'Investment Calculator'!$C$6,"")</f>
        <v/>
      </c>
      <c r="E852" s="27" t="str">
        <f>IFERROR((F851+D852)*'Investment Calculator'!$C$7/'Investment Calculator'!$F$4,"")</f>
        <v/>
      </c>
      <c r="F852" s="27" t="str">
        <f>IFERROR(ABS(FV('Investment Calculator'!$C$7/'Investment Calculator'!$F$4,'SIP Schedule'!C852,'SIP Schedule'!D852,,1)),"")</f>
        <v/>
      </c>
    </row>
    <row r="853" spans="3:6" x14ac:dyDescent="0.3">
      <c r="C853" s="1" t="str">
        <f>IF(C852&lt;'Investment Calculator'!$C$8*'Investment Calculator'!$F$4,'SIP Schedule'!C852+1,"")</f>
        <v/>
      </c>
      <c r="D853" s="27" t="str">
        <f>IF(C853&lt;='Investment Calculator'!$C$8*'Investment Calculator'!$F$4,'Investment Calculator'!$C$6,"")</f>
        <v/>
      </c>
      <c r="E853" s="27" t="str">
        <f>IFERROR((F852+D853)*'Investment Calculator'!$C$7/'Investment Calculator'!$F$4,"")</f>
        <v/>
      </c>
      <c r="F853" s="27" t="str">
        <f>IFERROR(ABS(FV('Investment Calculator'!$C$7/'Investment Calculator'!$F$4,'SIP Schedule'!C853,'SIP Schedule'!D853,,1)),"")</f>
        <v/>
      </c>
    </row>
    <row r="854" spans="3:6" x14ac:dyDescent="0.3">
      <c r="C854" s="1" t="str">
        <f>IF(C853&lt;'Investment Calculator'!$C$8*'Investment Calculator'!$F$4,'SIP Schedule'!C853+1,"")</f>
        <v/>
      </c>
      <c r="D854" s="27" t="str">
        <f>IF(C854&lt;='Investment Calculator'!$C$8*'Investment Calculator'!$F$4,'Investment Calculator'!$C$6,"")</f>
        <v/>
      </c>
      <c r="E854" s="27" t="str">
        <f>IFERROR((F853+D854)*'Investment Calculator'!$C$7/'Investment Calculator'!$F$4,"")</f>
        <v/>
      </c>
      <c r="F854" s="27" t="str">
        <f>IFERROR(ABS(FV('Investment Calculator'!$C$7/'Investment Calculator'!$F$4,'SIP Schedule'!C854,'SIP Schedule'!D854,,1)),"")</f>
        <v/>
      </c>
    </row>
    <row r="855" spans="3:6" x14ac:dyDescent="0.3">
      <c r="C855" s="1" t="str">
        <f>IF(C854&lt;'Investment Calculator'!$C$8*'Investment Calculator'!$F$4,'SIP Schedule'!C854+1,"")</f>
        <v/>
      </c>
      <c r="D855" s="27" t="str">
        <f>IF(C855&lt;='Investment Calculator'!$C$8*'Investment Calculator'!$F$4,'Investment Calculator'!$C$6,"")</f>
        <v/>
      </c>
      <c r="E855" s="27" t="str">
        <f>IFERROR((F854+D855)*'Investment Calculator'!$C$7/'Investment Calculator'!$F$4,"")</f>
        <v/>
      </c>
      <c r="F855" s="27" t="str">
        <f>IFERROR(ABS(FV('Investment Calculator'!$C$7/'Investment Calculator'!$F$4,'SIP Schedule'!C855,'SIP Schedule'!D855,,1)),"")</f>
        <v/>
      </c>
    </row>
    <row r="856" spans="3:6" x14ac:dyDescent="0.3">
      <c r="C856" s="1" t="str">
        <f>IF(C855&lt;'Investment Calculator'!$C$8*'Investment Calculator'!$F$4,'SIP Schedule'!C855+1,"")</f>
        <v/>
      </c>
      <c r="D856" s="27" t="str">
        <f>IF(C856&lt;='Investment Calculator'!$C$8*'Investment Calculator'!$F$4,'Investment Calculator'!$C$6,"")</f>
        <v/>
      </c>
      <c r="E856" s="27" t="str">
        <f>IFERROR((F855+D856)*'Investment Calculator'!$C$7/'Investment Calculator'!$F$4,"")</f>
        <v/>
      </c>
      <c r="F856" s="27" t="str">
        <f>IFERROR(ABS(FV('Investment Calculator'!$C$7/'Investment Calculator'!$F$4,'SIP Schedule'!C856,'SIP Schedule'!D856,,1)),"")</f>
        <v/>
      </c>
    </row>
    <row r="857" spans="3:6" x14ac:dyDescent="0.3">
      <c r="C857" s="1" t="str">
        <f>IF(C856&lt;'Investment Calculator'!$C$8*'Investment Calculator'!$F$4,'SIP Schedule'!C856+1,"")</f>
        <v/>
      </c>
      <c r="D857" s="27" t="str">
        <f>IF(C857&lt;='Investment Calculator'!$C$8*'Investment Calculator'!$F$4,'Investment Calculator'!$C$6,"")</f>
        <v/>
      </c>
      <c r="E857" s="27" t="str">
        <f>IFERROR((F856+D857)*'Investment Calculator'!$C$7/'Investment Calculator'!$F$4,"")</f>
        <v/>
      </c>
      <c r="F857" s="27" t="str">
        <f>IFERROR(ABS(FV('Investment Calculator'!$C$7/'Investment Calculator'!$F$4,'SIP Schedule'!C857,'SIP Schedule'!D857,,1)),"")</f>
        <v/>
      </c>
    </row>
    <row r="858" spans="3:6" x14ac:dyDescent="0.3">
      <c r="C858" s="1" t="str">
        <f>IF(C857&lt;'Investment Calculator'!$C$8*'Investment Calculator'!$F$4,'SIP Schedule'!C857+1,"")</f>
        <v/>
      </c>
      <c r="D858" s="27" t="str">
        <f>IF(C858&lt;='Investment Calculator'!$C$8*'Investment Calculator'!$F$4,'Investment Calculator'!$C$6,"")</f>
        <v/>
      </c>
      <c r="E858" s="27" t="str">
        <f>IFERROR((F857+D858)*'Investment Calculator'!$C$7/'Investment Calculator'!$F$4,"")</f>
        <v/>
      </c>
      <c r="F858" s="27" t="str">
        <f>IFERROR(ABS(FV('Investment Calculator'!$C$7/'Investment Calculator'!$F$4,'SIP Schedule'!C858,'SIP Schedule'!D858,,1)),"")</f>
        <v/>
      </c>
    </row>
    <row r="859" spans="3:6" x14ac:dyDescent="0.3">
      <c r="C859" s="1" t="str">
        <f>IF(C858&lt;'Investment Calculator'!$C$8*'Investment Calculator'!$F$4,'SIP Schedule'!C858+1,"")</f>
        <v/>
      </c>
      <c r="D859" s="27" t="str">
        <f>IF(C859&lt;='Investment Calculator'!$C$8*'Investment Calculator'!$F$4,'Investment Calculator'!$C$6,"")</f>
        <v/>
      </c>
      <c r="E859" s="27" t="str">
        <f>IFERROR((F858+D859)*'Investment Calculator'!$C$7/'Investment Calculator'!$F$4,"")</f>
        <v/>
      </c>
      <c r="F859" s="27" t="str">
        <f>IFERROR(ABS(FV('Investment Calculator'!$C$7/'Investment Calculator'!$F$4,'SIP Schedule'!C859,'SIP Schedule'!D859,,1)),"")</f>
        <v/>
      </c>
    </row>
    <row r="860" spans="3:6" x14ac:dyDescent="0.3">
      <c r="C860" s="1" t="str">
        <f>IF(C859&lt;'Investment Calculator'!$C$8*'Investment Calculator'!$F$4,'SIP Schedule'!C859+1,"")</f>
        <v/>
      </c>
      <c r="D860" s="27" t="str">
        <f>IF(C860&lt;='Investment Calculator'!$C$8*'Investment Calculator'!$F$4,'Investment Calculator'!$C$6,"")</f>
        <v/>
      </c>
      <c r="E860" s="27" t="str">
        <f>IFERROR((F859+D860)*'Investment Calculator'!$C$7/'Investment Calculator'!$F$4,"")</f>
        <v/>
      </c>
      <c r="F860" s="27" t="str">
        <f>IFERROR(ABS(FV('Investment Calculator'!$C$7/'Investment Calculator'!$F$4,'SIP Schedule'!C860,'SIP Schedule'!D860,,1)),"")</f>
        <v/>
      </c>
    </row>
    <row r="861" spans="3:6" x14ac:dyDescent="0.3">
      <c r="C861" s="1" t="str">
        <f>IF(C860&lt;'Investment Calculator'!$C$8*'Investment Calculator'!$F$4,'SIP Schedule'!C860+1,"")</f>
        <v/>
      </c>
      <c r="D861" s="27" t="str">
        <f>IF(C861&lt;='Investment Calculator'!$C$8*'Investment Calculator'!$F$4,'Investment Calculator'!$C$6,"")</f>
        <v/>
      </c>
      <c r="E861" s="27" t="str">
        <f>IFERROR((F860+D861)*'Investment Calculator'!$C$7/'Investment Calculator'!$F$4,"")</f>
        <v/>
      </c>
      <c r="F861" s="27" t="str">
        <f>IFERROR(ABS(FV('Investment Calculator'!$C$7/'Investment Calculator'!$F$4,'SIP Schedule'!C861,'SIP Schedule'!D861,,1)),"")</f>
        <v/>
      </c>
    </row>
    <row r="862" spans="3:6" x14ac:dyDescent="0.3">
      <c r="C862" s="1" t="str">
        <f>IF(C861&lt;'Investment Calculator'!$C$8*'Investment Calculator'!$F$4,'SIP Schedule'!C861+1,"")</f>
        <v/>
      </c>
      <c r="D862" s="27" t="str">
        <f>IF(C862&lt;='Investment Calculator'!$C$8*'Investment Calculator'!$F$4,'Investment Calculator'!$C$6,"")</f>
        <v/>
      </c>
      <c r="E862" s="27" t="str">
        <f>IFERROR((F861+D862)*'Investment Calculator'!$C$7/'Investment Calculator'!$F$4,"")</f>
        <v/>
      </c>
      <c r="F862" s="27" t="str">
        <f>IFERROR(ABS(FV('Investment Calculator'!$C$7/'Investment Calculator'!$F$4,'SIP Schedule'!C862,'SIP Schedule'!D862,,1)),"")</f>
        <v/>
      </c>
    </row>
    <row r="863" spans="3:6" x14ac:dyDescent="0.3">
      <c r="C863" s="1" t="str">
        <f>IF(C862&lt;'Investment Calculator'!$C$8*'Investment Calculator'!$F$4,'SIP Schedule'!C862+1,"")</f>
        <v/>
      </c>
      <c r="D863" s="27" t="str">
        <f>IF(C863&lt;='Investment Calculator'!$C$8*'Investment Calculator'!$F$4,'Investment Calculator'!$C$6,"")</f>
        <v/>
      </c>
      <c r="E863" s="27" t="str">
        <f>IFERROR((F862+D863)*'Investment Calculator'!$C$7/'Investment Calculator'!$F$4,"")</f>
        <v/>
      </c>
      <c r="F863" s="27" t="str">
        <f>IFERROR(ABS(FV('Investment Calculator'!$C$7/'Investment Calculator'!$F$4,'SIP Schedule'!C863,'SIP Schedule'!D863,,1)),"")</f>
        <v/>
      </c>
    </row>
    <row r="864" spans="3:6" x14ac:dyDescent="0.3">
      <c r="C864" s="1" t="str">
        <f>IF(C863&lt;'Investment Calculator'!$C$8*'Investment Calculator'!$F$4,'SIP Schedule'!C863+1,"")</f>
        <v/>
      </c>
      <c r="D864" s="27" t="str">
        <f>IF(C864&lt;='Investment Calculator'!$C$8*'Investment Calculator'!$F$4,'Investment Calculator'!$C$6,"")</f>
        <v/>
      </c>
      <c r="E864" s="27" t="str">
        <f>IFERROR((F863+D864)*'Investment Calculator'!$C$7/'Investment Calculator'!$F$4,"")</f>
        <v/>
      </c>
      <c r="F864" s="27" t="str">
        <f>IFERROR(ABS(FV('Investment Calculator'!$C$7/'Investment Calculator'!$F$4,'SIP Schedule'!C864,'SIP Schedule'!D864,,1)),"")</f>
        <v/>
      </c>
    </row>
    <row r="865" spans="3:6" x14ac:dyDescent="0.3">
      <c r="C865" s="1" t="str">
        <f>IF(C864&lt;'Investment Calculator'!$C$8*'Investment Calculator'!$F$4,'SIP Schedule'!C864+1,"")</f>
        <v/>
      </c>
      <c r="D865" s="27" t="str">
        <f>IF(C865&lt;='Investment Calculator'!$C$8*'Investment Calculator'!$F$4,'Investment Calculator'!$C$6,"")</f>
        <v/>
      </c>
      <c r="E865" s="27" t="str">
        <f>IFERROR((F864+D865)*'Investment Calculator'!$C$7/'Investment Calculator'!$F$4,"")</f>
        <v/>
      </c>
      <c r="F865" s="27" t="str">
        <f>IFERROR(ABS(FV('Investment Calculator'!$C$7/'Investment Calculator'!$F$4,'SIP Schedule'!C865,'SIP Schedule'!D865,,1)),"")</f>
        <v/>
      </c>
    </row>
    <row r="866" spans="3:6" x14ac:dyDescent="0.3">
      <c r="C866" s="1" t="str">
        <f>IF(C865&lt;'Investment Calculator'!$C$8*'Investment Calculator'!$F$4,'SIP Schedule'!C865+1,"")</f>
        <v/>
      </c>
      <c r="D866" s="27" t="str">
        <f>IF(C866&lt;='Investment Calculator'!$C$8*'Investment Calculator'!$F$4,'Investment Calculator'!$C$6,"")</f>
        <v/>
      </c>
      <c r="E866" s="27" t="str">
        <f>IFERROR((F865+D866)*'Investment Calculator'!$C$7/'Investment Calculator'!$F$4,"")</f>
        <v/>
      </c>
      <c r="F866" s="27" t="str">
        <f>IFERROR(ABS(FV('Investment Calculator'!$C$7/'Investment Calculator'!$F$4,'SIP Schedule'!C866,'SIP Schedule'!D866,,1)),"")</f>
        <v/>
      </c>
    </row>
    <row r="867" spans="3:6" x14ac:dyDescent="0.3">
      <c r="C867" s="1" t="str">
        <f>IF(C866&lt;'Investment Calculator'!$C$8*'Investment Calculator'!$F$4,'SIP Schedule'!C866+1,"")</f>
        <v/>
      </c>
      <c r="D867" s="27" t="str">
        <f>IF(C867&lt;='Investment Calculator'!$C$8*'Investment Calculator'!$F$4,'Investment Calculator'!$C$6,"")</f>
        <v/>
      </c>
      <c r="E867" s="27" t="str">
        <f>IFERROR((F866+D867)*'Investment Calculator'!$C$7/'Investment Calculator'!$F$4,"")</f>
        <v/>
      </c>
      <c r="F867" s="27" t="str">
        <f>IFERROR(ABS(FV('Investment Calculator'!$C$7/'Investment Calculator'!$F$4,'SIP Schedule'!C867,'SIP Schedule'!D867,,1)),"")</f>
        <v/>
      </c>
    </row>
    <row r="868" spans="3:6" x14ac:dyDescent="0.3">
      <c r="C868" s="1" t="str">
        <f>IF(C867&lt;'Investment Calculator'!$C$8*'Investment Calculator'!$F$4,'SIP Schedule'!C867+1,"")</f>
        <v/>
      </c>
      <c r="D868" s="27" t="str">
        <f>IF(C868&lt;='Investment Calculator'!$C$8*'Investment Calculator'!$F$4,'Investment Calculator'!$C$6,"")</f>
        <v/>
      </c>
      <c r="E868" s="27" t="str">
        <f>IFERROR((F867+D868)*'Investment Calculator'!$C$7/'Investment Calculator'!$F$4,"")</f>
        <v/>
      </c>
      <c r="F868" s="27" t="str">
        <f>IFERROR(ABS(FV('Investment Calculator'!$C$7/'Investment Calculator'!$F$4,'SIP Schedule'!C868,'SIP Schedule'!D868,,1)),"")</f>
        <v/>
      </c>
    </row>
    <row r="869" spans="3:6" x14ac:dyDescent="0.3">
      <c r="C869" s="1" t="str">
        <f>IF(C868&lt;'Investment Calculator'!$C$8*'Investment Calculator'!$F$4,'SIP Schedule'!C868+1,"")</f>
        <v/>
      </c>
      <c r="D869" s="27" t="str">
        <f>IF(C869&lt;='Investment Calculator'!$C$8*'Investment Calculator'!$F$4,'Investment Calculator'!$C$6,"")</f>
        <v/>
      </c>
      <c r="E869" s="27" t="str">
        <f>IFERROR((F868+D869)*'Investment Calculator'!$C$7/'Investment Calculator'!$F$4,"")</f>
        <v/>
      </c>
      <c r="F869" s="27" t="str">
        <f>IFERROR(ABS(FV('Investment Calculator'!$C$7/'Investment Calculator'!$F$4,'SIP Schedule'!C869,'SIP Schedule'!D869,,1)),"")</f>
        <v/>
      </c>
    </row>
    <row r="870" spans="3:6" x14ac:dyDescent="0.3">
      <c r="C870" s="1" t="str">
        <f>IF(C869&lt;'Investment Calculator'!$C$8*'Investment Calculator'!$F$4,'SIP Schedule'!C869+1,"")</f>
        <v/>
      </c>
      <c r="D870" s="27" t="str">
        <f>IF(C870&lt;='Investment Calculator'!$C$8*'Investment Calculator'!$F$4,'Investment Calculator'!$C$6,"")</f>
        <v/>
      </c>
      <c r="E870" s="27" t="str">
        <f>IFERROR((F869+D870)*'Investment Calculator'!$C$7/'Investment Calculator'!$F$4,"")</f>
        <v/>
      </c>
      <c r="F870" s="27" t="str">
        <f>IFERROR(ABS(FV('Investment Calculator'!$C$7/'Investment Calculator'!$F$4,'SIP Schedule'!C870,'SIP Schedule'!D870,,1)),"")</f>
        <v/>
      </c>
    </row>
    <row r="871" spans="3:6" x14ac:dyDescent="0.3">
      <c r="C871" s="1" t="str">
        <f>IF(C870&lt;'Investment Calculator'!$C$8*'Investment Calculator'!$F$4,'SIP Schedule'!C870+1,"")</f>
        <v/>
      </c>
      <c r="D871" s="27" t="str">
        <f>IF(C871&lt;='Investment Calculator'!$C$8*'Investment Calculator'!$F$4,'Investment Calculator'!$C$6,"")</f>
        <v/>
      </c>
      <c r="E871" s="27" t="str">
        <f>IFERROR((F870+D871)*'Investment Calculator'!$C$7/'Investment Calculator'!$F$4,"")</f>
        <v/>
      </c>
      <c r="F871" s="27" t="str">
        <f>IFERROR(ABS(FV('Investment Calculator'!$C$7/'Investment Calculator'!$F$4,'SIP Schedule'!C871,'SIP Schedule'!D871,,1)),"")</f>
        <v/>
      </c>
    </row>
    <row r="872" spans="3:6" x14ac:dyDescent="0.3">
      <c r="C872" s="1" t="str">
        <f>IF(C871&lt;'Investment Calculator'!$C$8*'Investment Calculator'!$F$4,'SIP Schedule'!C871+1,"")</f>
        <v/>
      </c>
      <c r="D872" s="27" t="str">
        <f>IF(C872&lt;='Investment Calculator'!$C$8*'Investment Calculator'!$F$4,'Investment Calculator'!$C$6,"")</f>
        <v/>
      </c>
      <c r="E872" s="27" t="str">
        <f>IFERROR((F871+D872)*'Investment Calculator'!$C$7/'Investment Calculator'!$F$4,"")</f>
        <v/>
      </c>
      <c r="F872" s="27" t="str">
        <f>IFERROR(ABS(FV('Investment Calculator'!$C$7/'Investment Calculator'!$F$4,'SIP Schedule'!C872,'SIP Schedule'!D872,,1)),"")</f>
        <v/>
      </c>
    </row>
    <row r="873" spans="3:6" x14ac:dyDescent="0.3">
      <c r="C873" s="1" t="str">
        <f>IF(C872&lt;'Investment Calculator'!$C$8*'Investment Calculator'!$F$4,'SIP Schedule'!C872+1,"")</f>
        <v/>
      </c>
      <c r="D873" s="27" t="str">
        <f>IF(C873&lt;='Investment Calculator'!$C$8*'Investment Calculator'!$F$4,'Investment Calculator'!$C$6,"")</f>
        <v/>
      </c>
      <c r="E873" s="27" t="str">
        <f>IFERROR((F872+D873)*'Investment Calculator'!$C$7/'Investment Calculator'!$F$4,"")</f>
        <v/>
      </c>
      <c r="F873" s="27" t="str">
        <f>IFERROR(ABS(FV('Investment Calculator'!$C$7/'Investment Calculator'!$F$4,'SIP Schedule'!C873,'SIP Schedule'!D873,,1)),"")</f>
        <v/>
      </c>
    </row>
    <row r="874" spans="3:6" x14ac:dyDescent="0.3">
      <c r="C874" s="1" t="str">
        <f>IF(C873&lt;'Investment Calculator'!$C$8*'Investment Calculator'!$F$4,'SIP Schedule'!C873+1,"")</f>
        <v/>
      </c>
      <c r="D874" s="27" t="str">
        <f>IF(C874&lt;='Investment Calculator'!$C$8*'Investment Calculator'!$F$4,'Investment Calculator'!$C$6,"")</f>
        <v/>
      </c>
      <c r="E874" s="27" t="str">
        <f>IFERROR((F873+D874)*'Investment Calculator'!$C$7/'Investment Calculator'!$F$4,"")</f>
        <v/>
      </c>
      <c r="F874" s="27" t="str">
        <f>IFERROR(ABS(FV('Investment Calculator'!$C$7/'Investment Calculator'!$F$4,'SIP Schedule'!C874,'SIP Schedule'!D874,,1)),"")</f>
        <v/>
      </c>
    </row>
    <row r="875" spans="3:6" x14ac:dyDescent="0.3">
      <c r="C875" s="1" t="str">
        <f>IF(C874&lt;'Investment Calculator'!$C$8*'Investment Calculator'!$F$4,'SIP Schedule'!C874+1,"")</f>
        <v/>
      </c>
      <c r="D875" s="27" t="str">
        <f>IF(C875&lt;='Investment Calculator'!$C$8*'Investment Calculator'!$F$4,'Investment Calculator'!$C$6,"")</f>
        <v/>
      </c>
      <c r="E875" s="27" t="str">
        <f>IFERROR((F874+D875)*'Investment Calculator'!$C$7/'Investment Calculator'!$F$4,"")</f>
        <v/>
      </c>
      <c r="F875" s="27" t="str">
        <f>IFERROR(ABS(FV('Investment Calculator'!$C$7/'Investment Calculator'!$F$4,'SIP Schedule'!C875,'SIP Schedule'!D875,,1)),"")</f>
        <v/>
      </c>
    </row>
    <row r="876" spans="3:6" x14ac:dyDescent="0.3">
      <c r="C876" s="1" t="str">
        <f>IF(C875&lt;'Investment Calculator'!$C$8*'Investment Calculator'!$F$4,'SIP Schedule'!C875+1,"")</f>
        <v/>
      </c>
      <c r="D876" s="27" t="str">
        <f>IF(C876&lt;='Investment Calculator'!$C$8*'Investment Calculator'!$F$4,'Investment Calculator'!$C$6,"")</f>
        <v/>
      </c>
      <c r="E876" s="27" t="str">
        <f>IFERROR((F875+D876)*'Investment Calculator'!$C$7/'Investment Calculator'!$F$4,"")</f>
        <v/>
      </c>
      <c r="F876" s="27" t="str">
        <f>IFERROR(ABS(FV('Investment Calculator'!$C$7/'Investment Calculator'!$F$4,'SIP Schedule'!C876,'SIP Schedule'!D876,,1)),"")</f>
        <v/>
      </c>
    </row>
    <row r="877" spans="3:6" x14ac:dyDescent="0.3">
      <c r="C877" s="1" t="str">
        <f>IF(C876&lt;'Investment Calculator'!$C$8*'Investment Calculator'!$F$4,'SIP Schedule'!C876+1,"")</f>
        <v/>
      </c>
      <c r="D877" s="27" t="str">
        <f>IF(C877&lt;='Investment Calculator'!$C$8*'Investment Calculator'!$F$4,'Investment Calculator'!$C$6,"")</f>
        <v/>
      </c>
      <c r="E877" s="27" t="str">
        <f>IFERROR((F876+D877)*'Investment Calculator'!$C$7/'Investment Calculator'!$F$4,"")</f>
        <v/>
      </c>
      <c r="F877" s="27" t="str">
        <f>IFERROR(ABS(FV('Investment Calculator'!$C$7/'Investment Calculator'!$F$4,'SIP Schedule'!C877,'SIP Schedule'!D877,,1)),"")</f>
        <v/>
      </c>
    </row>
    <row r="878" spans="3:6" x14ac:dyDescent="0.3">
      <c r="C878" s="1" t="str">
        <f>IF(C877&lt;'Investment Calculator'!$C$8*'Investment Calculator'!$F$4,'SIP Schedule'!C877+1,"")</f>
        <v/>
      </c>
      <c r="D878" s="27" t="str">
        <f>IF(C878&lt;='Investment Calculator'!$C$8*'Investment Calculator'!$F$4,'Investment Calculator'!$C$6,"")</f>
        <v/>
      </c>
      <c r="E878" s="27" t="str">
        <f>IFERROR((F877+D878)*'Investment Calculator'!$C$7/'Investment Calculator'!$F$4,"")</f>
        <v/>
      </c>
      <c r="F878" s="27" t="str">
        <f>IFERROR(ABS(FV('Investment Calculator'!$C$7/'Investment Calculator'!$F$4,'SIP Schedule'!C878,'SIP Schedule'!D878,,1)),"")</f>
        <v/>
      </c>
    </row>
    <row r="879" spans="3:6" x14ac:dyDescent="0.3">
      <c r="C879" s="1" t="str">
        <f>IF(C878&lt;'Investment Calculator'!$C$8*'Investment Calculator'!$F$4,'SIP Schedule'!C878+1,"")</f>
        <v/>
      </c>
      <c r="D879" s="27" t="str">
        <f>IF(C879&lt;='Investment Calculator'!$C$8*'Investment Calculator'!$F$4,'Investment Calculator'!$C$6,"")</f>
        <v/>
      </c>
      <c r="E879" s="27" t="str">
        <f>IFERROR((F878+D879)*'Investment Calculator'!$C$7/'Investment Calculator'!$F$4,"")</f>
        <v/>
      </c>
      <c r="F879" s="27" t="str">
        <f>IFERROR(ABS(FV('Investment Calculator'!$C$7/'Investment Calculator'!$F$4,'SIP Schedule'!C879,'SIP Schedule'!D879,,1)),"")</f>
        <v/>
      </c>
    </row>
    <row r="880" spans="3:6" x14ac:dyDescent="0.3">
      <c r="C880" s="1" t="str">
        <f>IF(C879&lt;'Investment Calculator'!$C$8*'Investment Calculator'!$F$4,'SIP Schedule'!C879+1,"")</f>
        <v/>
      </c>
      <c r="D880" s="27" t="str">
        <f>IF(C880&lt;='Investment Calculator'!$C$8*'Investment Calculator'!$F$4,'Investment Calculator'!$C$6,"")</f>
        <v/>
      </c>
      <c r="E880" s="27" t="str">
        <f>IFERROR((F879+D880)*'Investment Calculator'!$C$7/'Investment Calculator'!$F$4,"")</f>
        <v/>
      </c>
      <c r="F880" s="27" t="str">
        <f>IFERROR(ABS(FV('Investment Calculator'!$C$7/'Investment Calculator'!$F$4,'SIP Schedule'!C880,'SIP Schedule'!D880,,1)),"")</f>
        <v/>
      </c>
    </row>
    <row r="881" spans="3:6" x14ac:dyDescent="0.3">
      <c r="C881" s="1" t="str">
        <f>IF(C880&lt;'Investment Calculator'!$C$8*'Investment Calculator'!$F$4,'SIP Schedule'!C880+1,"")</f>
        <v/>
      </c>
      <c r="D881" s="27" t="str">
        <f>IF(C881&lt;='Investment Calculator'!$C$8*'Investment Calculator'!$F$4,'Investment Calculator'!$C$6,"")</f>
        <v/>
      </c>
      <c r="E881" s="27" t="str">
        <f>IFERROR((F880+D881)*'Investment Calculator'!$C$7/'Investment Calculator'!$F$4,"")</f>
        <v/>
      </c>
      <c r="F881" s="27" t="str">
        <f>IFERROR(ABS(FV('Investment Calculator'!$C$7/'Investment Calculator'!$F$4,'SIP Schedule'!C881,'SIP Schedule'!D881,,1)),"")</f>
        <v/>
      </c>
    </row>
    <row r="882" spans="3:6" x14ac:dyDescent="0.3">
      <c r="C882" s="1" t="str">
        <f>IF(C881&lt;'Investment Calculator'!$C$8*'Investment Calculator'!$F$4,'SIP Schedule'!C881+1,"")</f>
        <v/>
      </c>
      <c r="D882" s="27" t="str">
        <f>IF(C882&lt;='Investment Calculator'!$C$8*'Investment Calculator'!$F$4,'Investment Calculator'!$C$6,"")</f>
        <v/>
      </c>
      <c r="E882" s="27" t="str">
        <f>IFERROR((F881+D882)*'Investment Calculator'!$C$7/'Investment Calculator'!$F$4,"")</f>
        <v/>
      </c>
      <c r="F882" s="27" t="str">
        <f>IFERROR(ABS(FV('Investment Calculator'!$C$7/'Investment Calculator'!$F$4,'SIP Schedule'!C882,'SIP Schedule'!D882,,1)),"")</f>
        <v/>
      </c>
    </row>
    <row r="883" spans="3:6" x14ac:dyDescent="0.3">
      <c r="C883" s="1" t="str">
        <f>IF(C882&lt;'Investment Calculator'!$C$8*'Investment Calculator'!$F$4,'SIP Schedule'!C882+1,"")</f>
        <v/>
      </c>
      <c r="D883" s="27" t="str">
        <f>IF(C883&lt;='Investment Calculator'!$C$8*'Investment Calculator'!$F$4,'Investment Calculator'!$C$6,"")</f>
        <v/>
      </c>
      <c r="E883" s="27" t="str">
        <f>IFERROR((F882+D883)*'Investment Calculator'!$C$7/'Investment Calculator'!$F$4,"")</f>
        <v/>
      </c>
      <c r="F883" s="27" t="str">
        <f>IFERROR(ABS(FV('Investment Calculator'!$C$7/'Investment Calculator'!$F$4,'SIP Schedule'!C883,'SIP Schedule'!D883,,1)),"")</f>
        <v/>
      </c>
    </row>
    <row r="884" spans="3:6" x14ac:dyDescent="0.3">
      <c r="C884" s="1" t="str">
        <f>IF(C883&lt;'Investment Calculator'!$C$8*'Investment Calculator'!$F$4,'SIP Schedule'!C883+1,"")</f>
        <v/>
      </c>
      <c r="D884" s="27" t="str">
        <f>IF(C884&lt;='Investment Calculator'!$C$8*'Investment Calculator'!$F$4,'Investment Calculator'!$C$6,"")</f>
        <v/>
      </c>
      <c r="E884" s="27" t="str">
        <f>IFERROR((F883+D884)*'Investment Calculator'!$C$7/'Investment Calculator'!$F$4,"")</f>
        <v/>
      </c>
      <c r="F884" s="27" t="str">
        <f>IFERROR(ABS(FV('Investment Calculator'!$C$7/'Investment Calculator'!$F$4,'SIP Schedule'!C884,'SIP Schedule'!D884,,1)),"")</f>
        <v/>
      </c>
    </row>
    <row r="885" spans="3:6" x14ac:dyDescent="0.3">
      <c r="C885" s="1" t="str">
        <f>IF(C884&lt;'Investment Calculator'!$C$8*'Investment Calculator'!$F$4,'SIP Schedule'!C884+1,"")</f>
        <v/>
      </c>
      <c r="D885" s="27" t="str">
        <f>IF(C885&lt;='Investment Calculator'!$C$8*'Investment Calculator'!$F$4,'Investment Calculator'!$C$6,"")</f>
        <v/>
      </c>
      <c r="E885" s="27" t="str">
        <f>IFERROR((F884+D885)*'Investment Calculator'!$C$7/'Investment Calculator'!$F$4,"")</f>
        <v/>
      </c>
      <c r="F885" s="27" t="str">
        <f>IFERROR(ABS(FV('Investment Calculator'!$C$7/'Investment Calculator'!$F$4,'SIP Schedule'!C885,'SIP Schedule'!D885,,1)),"")</f>
        <v/>
      </c>
    </row>
    <row r="886" spans="3:6" x14ac:dyDescent="0.3">
      <c r="C886" s="1" t="str">
        <f>IF(C885&lt;'Investment Calculator'!$C$8*'Investment Calculator'!$F$4,'SIP Schedule'!C885+1,"")</f>
        <v/>
      </c>
      <c r="D886" s="27" t="str">
        <f>IF(C886&lt;='Investment Calculator'!$C$8*'Investment Calculator'!$F$4,'Investment Calculator'!$C$6,"")</f>
        <v/>
      </c>
      <c r="E886" s="27" t="str">
        <f>IFERROR((F885+D886)*'Investment Calculator'!$C$7/'Investment Calculator'!$F$4,"")</f>
        <v/>
      </c>
      <c r="F886" s="27" t="str">
        <f>IFERROR(ABS(FV('Investment Calculator'!$C$7/'Investment Calculator'!$F$4,'SIP Schedule'!C886,'SIP Schedule'!D886,,1)),"")</f>
        <v/>
      </c>
    </row>
    <row r="887" spans="3:6" x14ac:dyDescent="0.3">
      <c r="C887" s="1" t="str">
        <f>IF(C886&lt;'Investment Calculator'!$C$8*'Investment Calculator'!$F$4,'SIP Schedule'!C886+1,"")</f>
        <v/>
      </c>
      <c r="D887" s="27" t="str">
        <f>IF(C887&lt;='Investment Calculator'!$C$8*'Investment Calculator'!$F$4,'Investment Calculator'!$C$6,"")</f>
        <v/>
      </c>
      <c r="E887" s="27" t="str">
        <f>IFERROR((F886+D887)*'Investment Calculator'!$C$7/'Investment Calculator'!$F$4,"")</f>
        <v/>
      </c>
      <c r="F887" s="27" t="str">
        <f>IFERROR(ABS(FV('Investment Calculator'!$C$7/'Investment Calculator'!$F$4,'SIP Schedule'!C887,'SIP Schedule'!D887,,1)),"")</f>
        <v/>
      </c>
    </row>
    <row r="888" spans="3:6" x14ac:dyDescent="0.3">
      <c r="C888" s="1" t="str">
        <f>IF(C887&lt;'Investment Calculator'!$C$8*'Investment Calculator'!$F$4,'SIP Schedule'!C887+1,"")</f>
        <v/>
      </c>
      <c r="D888" s="27" t="str">
        <f>IF(C888&lt;='Investment Calculator'!$C$8*'Investment Calculator'!$F$4,'Investment Calculator'!$C$6,"")</f>
        <v/>
      </c>
      <c r="E888" s="27" t="str">
        <f>IFERROR((F887+D888)*'Investment Calculator'!$C$7/'Investment Calculator'!$F$4,"")</f>
        <v/>
      </c>
      <c r="F888" s="27" t="str">
        <f>IFERROR(ABS(FV('Investment Calculator'!$C$7/'Investment Calculator'!$F$4,'SIP Schedule'!C888,'SIP Schedule'!D888,,1)),"")</f>
        <v/>
      </c>
    </row>
    <row r="889" spans="3:6" x14ac:dyDescent="0.3">
      <c r="C889" s="1" t="str">
        <f>IF(C888&lt;'Investment Calculator'!$C$8*'Investment Calculator'!$F$4,'SIP Schedule'!C888+1,"")</f>
        <v/>
      </c>
      <c r="D889" s="27" t="str">
        <f>IF(C889&lt;='Investment Calculator'!$C$8*'Investment Calculator'!$F$4,'Investment Calculator'!$C$6,"")</f>
        <v/>
      </c>
      <c r="E889" s="27" t="str">
        <f>IFERROR((F888+D889)*'Investment Calculator'!$C$7/'Investment Calculator'!$F$4,"")</f>
        <v/>
      </c>
      <c r="F889" s="27" t="str">
        <f>IFERROR(ABS(FV('Investment Calculator'!$C$7/'Investment Calculator'!$F$4,'SIP Schedule'!C889,'SIP Schedule'!D889,,1)),"")</f>
        <v/>
      </c>
    </row>
    <row r="890" spans="3:6" x14ac:dyDescent="0.3">
      <c r="C890" s="1" t="str">
        <f>IF(C889&lt;'Investment Calculator'!$C$8*'Investment Calculator'!$F$4,'SIP Schedule'!C889+1,"")</f>
        <v/>
      </c>
      <c r="D890" s="27" t="str">
        <f>IF(C890&lt;='Investment Calculator'!$C$8*'Investment Calculator'!$F$4,'Investment Calculator'!$C$6,"")</f>
        <v/>
      </c>
      <c r="E890" s="27" t="str">
        <f>IFERROR((F889+D890)*'Investment Calculator'!$C$7/'Investment Calculator'!$F$4,"")</f>
        <v/>
      </c>
      <c r="F890" s="27" t="str">
        <f>IFERROR(ABS(FV('Investment Calculator'!$C$7/'Investment Calculator'!$F$4,'SIP Schedule'!C890,'SIP Schedule'!D890,,1)),"")</f>
        <v/>
      </c>
    </row>
    <row r="891" spans="3:6" x14ac:dyDescent="0.3">
      <c r="C891" s="1" t="str">
        <f>IF(C890&lt;'Investment Calculator'!$C$8*'Investment Calculator'!$F$4,'SIP Schedule'!C890+1,"")</f>
        <v/>
      </c>
      <c r="D891" s="27" t="str">
        <f>IF(C891&lt;='Investment Calculator'!$C$8*'Investment Calculator'!$F$4,'Investment Calculator'!$C$6,"")</f>
        <v/>
      </c>
      <c r="E891" s="27" t="str">
        <f>IFERROR((F890+D891)*'Investment Calculator'!$C$7/'Investment Calculator'!$F$4,"")</f>
        <v/>
      </c>
      <c r="F891" s="27" t="str">
        <f>IFERROR(ABS(FV('Investment Calculator'!$C$7/'Investment Calculator'!$F$4,'SIP Schedule'!C891,'SIP Schedule'!D891,,1)),"")</f>
        <v/>
      </c>
    </row>
    <row r="892" spans="3:6" x14ac:dyDescent="0.3">
      <c r="C892" s="1" t="str">
        <f>IF(C891&lt;'Investment Calculator'!$C$8*'Investment Calculator'!$F$4,'SIP Schedule'!C891+1,"")</f>
        <v/>
      </c>
      <c r="D892" s="27" t="str">
        <f>IF(C892&lt;='Investment Calculator'!$C$8*'Investment Calculator'!$F$4,'Investment Calculator'!$C$6,"")</f>
        <v/>
      </c>
      <c r="E892" s="27" t="str">
        <f>IFERROR((F891+D892)*'Investment Calculator'!$C$7/'Investment Calculator'!$F$4,"")</f>
        <v/>
      </c>
      <c r="F892" s="27" t="str">
        <f>IFERROR(ABS(FV('Investment Calculator'!$C$7/'Investment Calculator'!$F$4,'SIP Schedule'!C892,'SIP Schedule'!D892,,1)),"")</f>
        <v/>
      </c>
    </row>
    <row r="893" spans="3:6" x14ac:dyDescent="0.3">
      <c r="C893" s="1" t="str">
        <f>IF(C892&lt;'Investment Calculator'!$C$8*'Investment Calculator'!$F$4,'SIP Schedule'!C892+1,"")</f>
        <v/>
      </c>
      <c r="D893" s="27" t="str">
        <f>IF(C893&lt;='Investment Calculator'!$C$8*'Investment Calculator'!$F$4,'Investment Calculator'!$C$6,"")</f>
        <v/>
      </c>
      <c r="E893" s="27" t="str">
        <f>IFERROR((F892+D893)*'Investment Calculator'!$C$7/'Investment Calculator'!$F$4,"")</f>
        <v/>
      </c>
      <c r="F893" s="27" t="str">
        <f>IFERROR(ABS(FV('Investment Calculator'!$C$7/'Investment Calculator'!$F$4,'SIP Schedule'!C893,'SIP Schedule'!D893,,1)),"")</f>
        <v/>
      </c>
    </row>
    <row r="894" spans="3:6" x14ac:dyDescent="0.3">
      <c r="C894" s="1" t="str">
        <f>IF(C893&lt;'Investment Calculator'!$C$8*'Investment Calculator'!$F$4,'SIP Schedule'!C893+1,"")</f>
        <v/>
      </c>
      <c r="D894" s="27" t="str">
        <f>IF(C894&lt;='Investment Calculator'!$C$8*'Investment Calculator'!$F$4,'Investment Calculator'!$C$6,"")</f>
        <v/>
      </c>
      <c r="E894" s="27" t="str">
        <f>IFERROR((F893+D894)*'Investment Calculator'!$C$7/'Investment Calculator'!$F$4,"")</f>
        <v/>
      </c>
      <c r="F894" s="27" t="str">
        <f>IFERROR(ABS(FV('Investment Calculator'!$C$7/'Investment Calculator'!$F$4,'SIP Schedule'!C894,'SIP Schedule'!D894,,1)),"")</f>
        <v/>
      </c>
    </row>
    <row r="895" spans="3:6" x14ac:dyDescent="0.3">
      <c r="C895" s="1" t="str">
        <f>IF(C894&lt;'Investment Calculator'!$C$8*'Investment Calculator'!$F$4,'SIP Schedule'!C894+1,"")</f>
        <v/>
      </c>
      <c r="D895" s="27" t="str">
        <f>IF(C895&lt;='Investment Calculator'!$C$8*'Investment Calculator'!$F$4,'Investment Calculator'!$C$6,"")</f>
        <v/>
      </c>
      <c r="E895" s="27" t="str">
        <f>IFERROR((F894+D895)*'Investment Calculator'!$C$7/'Investment Calculator'!$F$4,"")</f>
        <v/>
      </c>
      <c r="F895" s="27" t="str">
        <f>IFERROR(ABS(FV('Investment Calculator'!$C$7/'Investment Calculator'!$F$4,'SIP Schedule'!C895,'SIP Schedule'!D895,,1)),"")</f>
        <v/>
      </c>
    </row>
    <row r="896" spans="3:6" x14ac:dyDescent="0.3">
      <c r="C896" s="1" t="str">
        <f>IF(C895&lt;'Investment Calculator'!$C$8*'Investment Calculator'!$F$4,'SIP Schedule'!C895+1,"")</f>
        <v/>
      </c>
      <c r="D896" s="27" t="str">
        <f>IF(C896&lt;='Investment Calculator'!$C$8*'Investment Calculator'!$F$4,'Investment Calculator'!$C$6,"")</f>
        <v/>
      </c>
      <c r="E896" s="27" t="str">
        <f>IFERROR((F895+D896)*'Investment Calculator'!$C$7/'Investment Calculator'!$F$4,"")</f>
        <v/>
      </c>
      <c r="F896" s="27" t="str">
        <f>IFERROR(ABS(FV('Investment Calculator'!$C$7/'Investment Calculator'!$F$4,'SIP Schedule'!C896,'SIP Schedule'!D896,,1)),"")</f>
        <v/>
      </c>
    </row>
    <row r="897" spans="3:6" x14ac:dyDescent="0.3">
      <c r="C897" s="1" t="str">
        <f>IF(C896&lt;'Investment Calculator'!$C$8*'Investment Calculator'!$F$4,'SIP Schedule'!C896+1,"")</f>
        <v/>
      </c>
      <c r="D897" s="27" t="str">
        <f>IF(C897&lt;='Investment Calculator'!$C$8*'Investment Calculator'!$F$4,'Investment Calculator'!$C$6,"")</f>
        <v/>
      </c>
      <c r="E897" s="27" t="str">
        <f>IFERROR((F896+D897)*'Investment Calculator'!$C$7/'Investment Calculator'!$F$4,"")</f>
        <v/>
      </c>
      <c r="F897" s="27" t="str">
        <f>IFERROR(ABS(FV('Investment Calculator'!$C$7/'Investment Calculator'!$F$4,'SIP Schedule'!C897,'SIP Schedule'!D897,,1)),"")</f>
        <v/>
      </c>
    </row>
    <row r="898" spans="3:6" x14ac:dyDescent="0.3">
      <c r="C898" s="1" t="str">
        <f>IF(C897&lt;'Investment Calculator'!$C$8*'Investment Calculator'!$F$4,'SIP Schedule'!C897+1,"")</f>
        <v/>
      </c>
      <c r="D898" s="27" t="str">
        <f>IF(C898&lt;='Investment Calculator'!$C$8*'Investment Calculator'!$F$4,'Investment Calculator'!$C$6,"")</f>
        <v/>
      </c>
      <c r="E898" s="27" t="str">
        <f>IFERROR((F897+D898)*'Investment Calculator'!$C$7/'Investment Calculator'!$F$4,"")</f>
        <v/>
      </c>
      <c r="F898" s="27" t="str">
        <f>IFERROR(ABS(FV('Investment Calculator'!$C$7/'Investment Calculator'!$F$4,'SIP Schedule'!C898,'SIP Schedule'!D898,,1)),"")</f>
        <v/>
      </c>
    </row>
    <row r="899" spans="3:6" x14ac:dyDescent="0.3">
      <c r="C899" s="1" t="str">
        <f>IF(C898&lt;'Investment Calculator'!$C$8*'Investment Calculator'!$F$4,'SIP Schedule'!C898+1,"")</f>
        <v/>
      </c>
      <c r="D899" s="27" t="str">
        <f>IF(C899&lt;='Investment Calculator'!$C$8*'Investment Calculator'!$F$4,'Investment Calculator'!$C$6,"")</f>
        <v/>
      </c>
      <c r="E899" s="27" t="str">
        <f>IFERROR((F898+D899)*'Investment Calculator'!$C$7/'Investment Calculator'!$F$4,"")</f>
        <v/>
      </c>
      <c r="F899" s="27" t="str">
        <f>IFERROR(ABS(FV('Investment Calculator'!$C$7/'Investment Calculator'!$F$4,'SIP Schedule'!C899,'SIP Schedule'!D899,,1)),"")</f>
        <v/>
      </c>
    </row>
    <row r="900" spans="3:6" x14ac:dyDescent="0.3">
      <c r="C900" s="1" t="str">
        <f>IF(C899&lt;'Investment Calculator'!$C$8*'Investment Calculator'!$F$4,'SIP Schedule'!C899+1,"")</f>
        <v/>
      </c>
      <c r="D900" s="27" t="str">
        <f>IF(C900&lt;='Investment Calculator'!$C$8*'Investment Calculator'!$F$4,'Investment Calculator'!$C$6,"")</f>
        <v/>
      </c>
      <c r="E900" s="27" t="str">
        <f>IFERROR((F899+D900)*'Investment Calculator'!$C$7/'Investment Calculator'!$F$4,"")</f>
        <v/>
      </c>
      <c r="F900" s="27" t="str">
        <f>IFERROR(ABS(FV('Investment Calculator'!$C$7/'Investment Calculator'!$F$4,'SIP Schedule'!C900,'SIP Schedule'!D900,,1)),"")</f>
        <v/>
      </c>
    </row>
    <row r="901" spans="3:6" x14ac:dyDescent="0.3">
      <c r="C901" s="1" t="str">
        <f>IF(C900&lt;'Investment Calculator'!$C$8*'Investment Calculator'!$F$4,'SIP Schedule'!C900+1,"")</f>
        <v/>
      </c>
      <c r="D901" s="27" t="str">
        <f>IF(C901&lt;='Investment Calculator'!$C$8*'Investment Calculator'!$F$4,'Investment Calculator'!$C$6,"")</f>
        <v/>
      </c>
      <c r="E901" s="27" t="str">
        <f>IFERROR((F900+D901)*'Investment Calculator'!$C$7/'Investment Calculator'!$F$4,"")</f>
        <v/>
      </c>
      <c r="F901" s="27" t="str">
        <f>IFERROR(ABS(FV('Investment Calculator'!$C$7/'Investment Calculator'!$F$4,'SIP Schedule'!C901,'SIP Schedule'!D901,,1)),"")</f>
        <v/>
      </c>
    </row>
    <row r="902" spans="3:6" x14ac:dyDescent="0.3">
      <c r="C902" s="1" t="str">
        <f>IF(C901&lt;'Investment Calculator'!$C$8*'Investment Calculator'!$F$4,'SIP Schedule'!C901+1,"")</f>
        <v/>
      </c>
      <c r="D902" s="27" t="str">
        <f>IF(C902&lt;='Investment Calculator'!$C$8*'Investment Calculator'!$F$4,'Investment Calculator'!$C$6,"")</f>
        <v/>
      </c>
      <c r="E902" s="27" t="str">
        <f>IFERROR((F901+D902)*'Investment Calculator'!$C$7/'Investment Calculator'!$F$4,"")</f>
        <v/>
      </c>
      <c r="F902" s="27" t="str">
        <f>IFERROR(ABS(FV('Investment Calculator'!$C$7/'Investment Calculator'!$F$4,'SIP Schedule'!C902,'SIP Schedule'!D902,,1)),"")</f>
        <v/>
      </c>
    </row>
    <row r="903" spans="3:6" x14ac:dyDescent="0.3">
      <c r="C903" s="1" t="str">
        <f>IF(C902&lt;'Investment Calculator'!$C$8*'Investment Calculator'!$F$4,'SIP Schedule'!C902+1,"")</f>
        <v/>
      </c>
      <c r="D903" s="27" t="str">
        <f>IF(C903&lt;='Investment Calculator'!$C$8*'Investment Calculator'!$F$4,'Investment Calculator'!$C$6,"")</f>
        <v/>
      </c>
      <c r="E903" s="27" t="str">
        <f>IFERROR((F902+D903)*'Investment Calculator'!$C$7/'Investment Calculator'!$F$4,"")</f>
        <v/>
      </c>
      <c r="F903" s="27" t="str">
        <f>IFERROR(ABS(FV('Investment Calculator'!$C$7/'Investment Calculator'!$F$4,'SIP Schedule'!C903,'SIP Schedule'!D903,,1)),"")</f>
        <v/>
      </c>
    </row>
    <row r="904" spans="3:6" x14ac:dyDescent="0.3">
      <c r="C904" s="1" t="str">
        <f>IF(C903&lt;'Investment Calculator'!$C$8*'Investment Calculator'!$F$4,'SIP Schedule'!C903+1,"")</f>
        <v/>
      </c>
      <c r="D904" s="27" t="str">
        <f>IF(C904&lt;='Investment Calculator'!$C$8*'Investment Calculator'!$F$4,'Investment Calculator'!$C$6,"")</f>
        <v/>
      </c>
      <c r="E904" s="27" t="str">
        <f>IFERROR((F903+D904)*'Investment Calculator'!$C$7/'Investment Calculator'!$F$4,"")</f>
        <v/>
      </c>
      <c r="F904" s="27" t="str">
        <f>IFERROR(ABS(FV('Investment Calculator'!$C$7/'Investment Calculator'!$F$4,'SIP Schedule'!C904,'SIP Schedule'!D904,,1)),"")</f>
        <v/>
      </c>
    </row>
    <row r="905" spans="3:6" x14ac:dyDescent="0.3">
      <c r="C905" s="1" t="str">
        <f>IF(C904&lt;'Investment Calculator'!$C$8*'Investment Calculator'!$F$4,'SIP Schedule'!C904+1,"")</f>
        <v/>
      </c>
      <c r="D905" s="27" t="str">
        <f>IF(C905&lt;='Investment Calculator'!$C$8*'Investment Calculator'!$F$4,'Investment Calculator'!$C$6,"")</f>
        <v/>
      </c>
      <c r="E905" s="27" t="str">
        <f>IFERROR((F904+D905)*'Investment Calculator'!$C$7/'Investment Calculator'!$F$4,"")</f>
        <v/>
      </c>
      <c r="F905" s="27" t="str">
        <f>IFERROR(ABS(FV('Investment Calculator'!$C$7/'Investment Calculator'!$F$4,'SIP Schedule'!C905,'SIP Schedule'!D905,,1)),"")</f>
        <v/>
      </c>
    </row>
    <row r="906" spans="3:6" x14ac:dyDescent="0.3">
      <c r="C906" s="1" t="str">
        <f>IF(C905&lt;'Investment Calculator'!$C$8*'Investment Calculator'!$F$4,'SIP Schedule'!C905+1,"")</f>
        <v/>
      </c>
      <c r="D906" s="27" t="str">
        <f>IF(C906&lt;='Investment Calculator'!$C$8*'Investment Calculator'!$F$4,'Investment Calculator'!$C$6,"")</f>
        <v/>
      </c>
      <c r="E906" s="27" t="str">
        <f>IFERROR((F905+D906)*'Investment Calculator'!$C$7/'Investment Calculator'!$F$4,"")</f>
        <v/>
      </c>
      <c r="F906" s="27" t="str">
        <f>IFERROR(ABS(FV('Investment Calculator'!$C$7/'Investment Calculator'!$F$4,'SIP Schedule'!C906,'SIP Schedule'!D906,,1)),"")</f>
        <v/>
      </c>
    </row>
    <row r="907" spans="3:6" x14ac:dyDescent="0.3">
      <c r="C907" s="1" t="str">
        <f>IF(C906&lt;'Investment Calculator'!$C$8*'Investment Calculator'!$F$4,'SIP Schedule'!C906+1,"")</f>
        <v/>
      </c>
      <c r="D907" s="27" t="str">
        <f>IF(C907&lt;='Investment Calculator'!$C$8*'Investment Calculator'!$F$4,'Investment Calculator'!$C$6,"")</f>
        <v/>
      </c>
      <c r="E907" s="27" t="str">
        <f>IFERROR((F906+D907)*'Investment Calculator'!$C$7/'Investment Calculator'!$F$4,"")</f>
        <v/>
      </c>
      <c r="F907" s="27" t="str">
        <f>IFERROR(ABS(FV('Investment Calculator'!$C$7/'Investment Calculator'!$F$4,'SIP Schedule'!C907,'SIP Schedule'!D907,,1)),"")</f>
        <v/>
      </c>
    </row>
    <row r="908" spans="3:6" x14ac:dyDescent="0.3">
      <c r="C908" s="1" t="str">
        <f>IF(C907&lt;'Investment Calculator'!$C$8*'Investment Calculator'!$F$4,'SIP Schedule'!C907+1,"")</f>
        <v/>
      </c>
      <c r="D908" s="27" t="str">
        <f>IF(C908&lt;='Investment Calculator'!$C$8*'Investment Calculator'!$F$4,'Investment Calculator'!$C$6,"")</f>
        <v/>
      </c>
      <c r="E908" s="27" t="str">
        <f>IFERROR((F907+D908)*'Investment Calculator'!$C$7/'Investment Calculator'!$F$4,"")</f>
        <v/>
      </c>
      <c r="F908" s="27" t="str">
        <f>IFERROR(ABS(FV('Investment Calculator'!$C$7/'Investment Calculator'!$F$4,'SIP Schedule'!C908,'SIP Schedule'!D908,,1)),"")</f>
        <v/>
      </c>
    </row>
    <row r="909" spans="3:6" x14ac:dyDescent="0.3">
      <c r="C909" s="1" t="str">
        <f>IF(C908&lt;'Investment Calculator'!$C$8*'Investment Calculator'!$F$4,'SIP Schedule'!C908+1,"")</f>
        <v/>
      </c>
      <c r="D909" s="27" t="str">
        <f>IF(C909&lt;='Investment Calculator'!$C$8*'Investment Calculator'!$F$4,'Investment Calculator'!$C$6,"")</f>
        <v/>
      </c>
      <c r="E909" s="27" t="str">
        <f>IFERROR((F908+D909)*'Investment Calculator'!$C$7/'Investment Calculator'!$F$4,"")</f>
        <v/>
      </c>
      <c r="F909" s="27" t="str">
        <f>IFERROR(ABS(FV('Investment Calculator'!$C$7/'Investment Calculator'!$F$4,'SIP Schedule'!C909,'SIP Schedule'!D909,,1)),"")</f>
        <v/>
      </c>
    </row>
    <row r="910" spans="3:6" x14ac:dyDescent="0.3">
      <c r="C910" s="1" t="str">
        <f>IF(C909&lt;'Investment Calculator'!$C$8*'Investment Calculator'!$F$4,'SIP Schedule'!C909+1,"")</f>
        <v/>
      </c>
      <c r="D910" s="27" t="str">
        <f>IF(C910&lt;='Investment Calculator'!$C$8*'Investment Calculator'!$F$4,'Investment Calculator'!$C$6,"")</f>
        <v/>
      </c>
      <c r="E910" s="27" t="str">
        <f>IFERROR((F909+D910)*'Investment Calculator'!$C$7/'Investment Calculator'!$F$4,"")</f>
        <v/>
      </c>
      <c r="F910" s="27" t="str">
        <f>IFERROR(ABS(FV('Investment Calculator'!$C$7/'Investment Calculator'!$F$4,'SIP Schedule'!C910,'SIP Schedule'!D910,,1)),"")</f>
        <v/>
      </c>
    </row>
    <row r="911" spans="3:6" x14ac:dyDescent="0.3">
      <c r="C911" s="1" t="str">
        <f>IF(C910&lt;'Investment Calculator'!$C$8*'Investment Calculator'!$F$4,'SIP Schedule'!C910+1,"")</f>
        <v/>
      </c>
      <c r="D911" s="27" t="str">
        <f>IF(C911&lt;='Investment Calculator'!$C$8*'Investment Calculator'!$F$4,'Investment Calculator'!$C$6,"")</f>
        <v/>
      </c>
      <c r="E911" s="27" t="str">
        <f>IFERROR((F910+D911)*'Investment Calculator'!$C$7/'Investment Calculator'!$F$4,"")</f>
        <v/>
      </c>
      <c r="F911" s="27" t="str">
        <f>IFERROR(ABS(FV('Investment Calculator'!$C$7/'Investment Calculator'!$F$4,'SIP Schedule'!C911,'SIP Schedule'!D911,,1)),"")</f>
        <v/>
      </c>
    </row>
    <row r="912" spans="3:6" x14ac:dyDescent="0.3">
      <c r="C912" s="1" t="str">
        <f>IF(C911&lt;'Investment Calculator'!$C$8*'Investment Calculator'!$F$4,'SIP Schedule'!C911+1,"")</f>
        <v/>
      </c>
      <c r="D912" s="27" t="str">
        <f>IF(C912&lt;='Investment Calculator'!$C$8*'Investment Calculator'!$F$4,'Investment Calculator'!$C$6,"")</f>
        <v/>
      </c>
      <c r="E912" s="27" t="str">
        <f>IFERROR((F911+D912)*'Investment Calculator'!$C$7/'Investment Calculator'!$F$4,"")</f>
        <v/>
      </c>
      <c r="F912" s="27" t="str">
        <f>IFERROR(ABS(FV('Investment Calculator'!$C$7/'Investment Calculator'!$F$4,'SIP Schedule'!C912,'SIP Schedule'!D912,,1)),"")</f>
        <v/>
      </c>
    </row>
    <row r="913" spans="3:6" x14ac:dyDescent="0.3">
      <c r="C913" s="1" t="str">
        <f>IF(C912&lt;'Investment Calculator'!$C$8*'Investment Calculator'!$F$4,'SIP Schedule'!C912+1,"")</f>
        <v/>
      </c>
      <c r="D913" s="27" t="str">
        <f>IF(C913&lt;='Investment Calculator'!$C$8*'Investment Calculator'!$F$4,'Investment Calculator'!$C$6,"")</f>
        <v/>
      </c>
      <c r="E913" s="27" t="str">
        <f>IFERROR((F912+D913)*'Investment Calculator'!$C$7/'Investment Calculator'!$F$4,"")</f>
        <v/>
      </c>
      <c r="F913" s="27" t="str">
        <f>IFERROR(ABS(FV('Investment Calculator'!$C$7/'Investment Calculator'!$F$4,'SIP Schedule'!C913,'SIP Schedule'!D913,,1)),"")</f>
        <v/>
      </c>
    </row>
    <row r="914" spans="3:6" x14ac:dyDescent="0.3">
      <c r="C914" s="1" t="str">
        <f>IF(C913&lt;'Investment Calculator'!$C$8*'Investment Calculator'!$F$4,'SIP Schedule'!C913+1,"")</f>
        <v/>
      </c>
      <c r="D914" s="27" t="str">
        <f>IF(C914&lt;='Investment Calculator'!$C$8*'Investment Calculator'!$F$4,'Investment Calculator'!$C$6,"")</f>
        <v/>
      </c>
      <c r="E914" s="27" t="str">
        <f>IFERROR((F913+D914)*'Investment Calculator'!$C$7/'Investment Calculator'!$F$4,"")</f>
        <v/>
      </c>
      <c r="F914" s="27" t="str">
        <f>IFERROR(ABS(FV('Investment Calculator'!$C$7/'Investment Calculator'!$F$4,'SIP Schedule'!C914,'SIP Schedule'!D914,,1)),"")</f>
        <v/>
      </c>
    </row>
    <row r="915" spans="3:6" x14ac:dyDescent="0.3">
      <c r="C915" s="1" t="str">
        <f>IF(C914&lt;'Investment Calculator'!$C$8*'Investment Calculator'!$F$4,'SIP Schedule'!C914+1,"")</f>
        <v/>
      </c>
      <c r="D915" s="27" t="str">
        <f>IF(C915&lt;='Investment Calculator'!$C$8*'Investment Calculator'!$F$4,'Investment Calculator'!$C$6,"")</f>
        <v/>
      </c>
      <c r="E915" s="27" t="str">
        <f>IFERROR((F914+D915)*'Investment Calculator'!$C$7/'Investment Calculator'!$F$4,"")</f>
        <v/>
      </c>
      <c r="F915" s="27" t="str">
        <f>IFERROR(ABS(FV('Investment Calculator'!$C$7/'Investment Calculator'!$F$4,'SIP Schedule'!C915,'SIP Schedule'!D915,,1)),"")</f>
        <v/>
      </c>
    </row>
    <row r="916" spans="3:6" x14ac:dyDescent="0.3">
      <c r="C916" s="1" t="str">
        <f>IF(C915&lt;'Investment Calculator'!$C$8*'Investment Calculator'!$F$4,'SIP Schedule'!C915+1,"")</f>
        <v/>
      </c>
      <c r="D916" s="27" t="str">
        <f>IF(C916&lt;='Investment Calculator'!$C$8*'Investment Calculator'!$F$4,'Investment Calculator'!$C$6,"")</f>
        <v/>
      </c>
      <c r="E916" s="27" t="str">
        <f>IFERROR((F915+D916)*'Investment Calculator'!$C$7/'Investment Calculator'!$F$4,"")</f>
        <v/>
      </c>
      <c r="F916" s="27" t="str">
        <f>IFERROR(ABS(FV('Investment Calculator'!$C$7/'Investment Calculator'!$F$4,'SIP Schedule'!C916,'SIP Schedule'!D916,,1)),"")</f>
        <v/>
      </c>
    </row>
    <row r="917" spans="3:6" x14ac:dyDescent="0.3">
      <c r="C917" s="1" t="str">
        <f>IF(C916&lt;'Investment Calculator'!$C$8*'Investment Calculator'!$F$4,'SIP Schedule'!C916+1,"")</f>
        <v/>
      </c>
      <c r="D917" s="27" t="str">
        <f>IF(C917&lt;='Investment Calculator'!$C$8*'Investment Calculator'!$F$4,'Investment Calculator'!$C$6,"")</f>
        <v/>
      </c>
      <c r="E917" s="27" t="str">
        <f>IFERROR((F916+D917)*'Investment Calculator'!$C$7/'Investment Calculator'!$F$4,"")</f>
        <v/>
      </c>
      <c r="F917" s="27" t="str">
        <f>IFERROR(ABS(FV('Investment Calculator'!$C$7/'Investment Calculator'!$F$4,'SIP Schedule'!C917,'SIP Schedule'!D917,,1)),"")</f>
        <v/>
      </c>
    </row>
    <row r="918" spans="3:6" x14ac:dyDescent="0.3">
      <c r="C918" s="1" t="str">
        <f>IF(C917&lt;'Investment Calculator'!$C$8*'Investment Calculator'!$F$4,'SIP Schedule'!C917+1,"")</f>
        <v/>
      </c>
      <c r="D918" s="27" t="str">
        <f>IF(C918&lt;='Investment Calculator'!$C$8*'Investment Calculator'!$F$4,'Investment Calculator'!$C$6,"")</f>
        <v/>
      </c>
      <c r="E918" s="27" t="str">
        <f>IFERROR((F917+D918)*'Investment Calculator'!$C$7/'Investment Calculator'!$F$4,"")</f>
        <v/>
      </c>
      <c r="F918" s="27" t="str">
        <f>IFERROR(ABS(FV('Investment Calculator'!$C$7/'Investment Calculator'!$F$4,'SIP Schedule'!C918,'SIP Schedule'!D918,,1)),"")</f>
        <v/>
      </c>
    </row>
    <row r="919" spans="3:6" x14ac:dyDescent="0.3">
      <c r="C919" s="1" t="str">
        <f>IF(C918&lt;'Investment Calculator'!$C$8*'Investment Calculator'!$F$4,'SIP Schedule'!C918+1,"")</f>
        <v/>
      </c>
      <c r="D919" s="27" t="str">
        <f>IF(C919&lt;='Investment Calculator'!$C$8*'Investment Calculator'!$F$4,'Investment Calculator'!$C$6,"")</f>
        <v/>
      </c>
      <c r="E919" s="27" t="str">
        <f>IFERROR((F918+D919)*'Investment Calculator'!$C$7/'Investment Calculator'!$F$4,"")</f>
        <v/>
      </c>
      <c r="F919" s="27" t="str">
        <f>IFERROR(ABS(FV('Investment Calculator'!$C$7/'Investment Calculator'!$F$4,'SIP Schedule'!C919,'SIP Schedule'!D919,,1)),"")</f>
        <v/>
      </c>
    </row>
    <row r="920" spans="3:6" x14ac:dyDescent="0.3">
      <c r="C920" s="1" t="str">
        <f>IF(C919&lt;'Investment Calculator'!$C$8*'Investment Calculator'!$F$4,'SIP Schedule'!C919+1,"")</f>
        <v/>
      </c>
      <c r="D920" s="27" t="str">
        <f>IF(C920&lt;='Investment Calculator'!$C$8*'Investment Calculator'!$F$4,'Investment Calculator'!$C$6,"")</f>
        <v/>
      </c>
      <c r="E920" s="27" t="str">
        <f>IFERROR((F919+D920)*'Investment Calculator'!$C$7/'Investment Calculator'!$F$4,"")</f>
        <v/>
      </c>
      <c r="F920" s="27" t="str">
        <f>IFERROR(ABS(FV('Investment Calculator'!$C$7/'Investment Calculator'!$F$4,'SIP Schedule'!C920,'SIP Schedule'!D920,,1)),"")</f>
        <v/>
      </c>
    </row>
    <row r="921" spans="3:6" x14ac:dyDescent="0.3">
      <c r="C921" s="1" t="str">
        <f>IF(C920&lt;'Investment Calculator'!$C$8*'Investment Calculator'!$F$4,'SIP Schedule'!C920+1,"")</f>
        <v/>
      </c>
      <c r="D921" s="27" t="str">
        <f>IF(C921&lt;='Investment Calculator'!$C$8*'Investment Calculator'!$F$4,'Investment Calculator'!$C$6,"")</f>
        <v/>
      </c>
      <c r="E921" s="27" t="str">
        <f>IFERROR((F920+D921)*'Investment Calculator'!$C$7/'Investment Calculator'!$F$4,"")</f>
        <v/>
      </c>
      <c r="F921" s="27" t="str">
        <f>IFERROR(ABS(FV('Investment Calculator'!$C$7/'Investment Calculator'!$F$4,'SIP Schedule'!C921,'SIP Schedule'!D921,,1)),"")</f>
        <v/>
      </c>
    </row>
    <row r="922" spans="3:6" x14ac:dyDescent="0.3">
      <c r="C922" s="1" t="str">
        <f>IF(C921&lt;'Investment Calculator'!$C$8*'Investment Calculator'!$F$4,'SIP Schedule'!C921+1,"")</f>
        <v/>
      </c>
      <c r="D922" s="27" t="str">
        <f>IF(C922&lt;='Investment Calculator'!$C$8*'Investment Calculator'!$F$4,'Investment Calculator'!$C$6,"")</f>
        <v/>
      </c>
      <c r="E922" s="27" t="str">
        <f>IFERROR((F921+D922)*'Investment Calculator'!$C$7/'Investment Calculator'!$F$4,"")</f>
        <v/>
      </c>
      <c r="F922" s="27" t="str">
        <f>IFERROR(ABS(FV('Investment Calculator'!$C$7/'Investment Calculator'!$F$4,'SIP Schedule'!C922,'SIP Schedule'!D922,,1)),"")</f>
        <v/>
      </c>
    </row>
    <row r="923" spans="3:6" x14ac:dyDescent="0.3">
      <c r="C923" s="1" t="str">
        <f>IF(C922&lt;'Investment Calculator'!$C$8*'Investment Calculator'!$F$4,'SIP Schedule'!C922+1,"")</f>
        <v/>
      </c>
      <c r="D923" s="27" t="str">
        <f>IF(C923&lt;='Investment Calculator'!$C$8*'Investment Calculator'!$F$4,'Investment Calculator'!$C$6,"")</f>
        <v/>
      </c>
      <c r="E923" s="27" t="str">
        <f>IFERROR((F922+D923)*'Investment Calculator'!$C$7/'Investment Calculator'!$F$4,"")</f>
        <v/>
      </c>
      <c r="F923" s="27" t="str">
        <f>IFERROR(ABS(FV('Investment Calculator'!$C$7/'Investment Calculator'!$F$4,'SIP Schedule'!C923,'SIP Schedule'!D923,,1)),"")</f>
        <v/>
      </c>
    </row>
    <row r="924" spans="3:6" x14ac:dyDescent="0.3">
      <c r="C924" s="1" t="str">
        <f>IF(C923&lt;'Investment Calculator'!$C$8*'Investment Calculator'!$F$4,'SIP Schedule'!C923+1,"")</f>
        <v/>
      </c>
      <c r="D924" s="27" t="str">
        <f>IF(C924&lt;='Investment Calculator'!$C$8*'Investment Calculator'!$F$4,'Investment Calculator'!$C$6,"")</f>
        <v/>
      </c>
      <c r="E924" s="27" t="str">
        <f>IFERROR((F923+D924)*'Investment Calculator'!$C$7/'Investment Calculator'!$F$4,"")</f>
        <v/>
      </c>
      <c r="F924" s="27" t="str">
        <f>IFERROR(ABS(FV('Investment Calculator'!$C$7/'Investment Calculator'!$F$4,'SIP Schedule'!C924,'SIP Schedule'!D924,,1)),"")</f>
        <v/>
      </c>
    </row>
    <row r="925" spans="3:6" x14ac:dyDescent="0.3">
      <c r="C925" s="1" t="str">
        <f>IF(C924&lt;'Investment Calculator'!$C$8*'Investment Calculator'!$F$4,'SIP Schedule'!C924+1,"")</f>
        <v/>
      </c>
      <c r="D925" s="27" t="str">
        <f>IF(C925&lt;='Investment Calculator'!$C$8*'Investment Calculator'!$F$4,'Investment Calculator'!$C$6,"")</f>
        <v/>
      </c>
      <c r="E925" s="27" t="str">
        <f>IFERROR((F924+D925)*'Investment Calculator'!$C$7/'Investment Calculator'!$F$4,"")</f>
        <v/>
      </c>
      <c r="F925" s="27" t="str">
        <f>IFERROR(ABS(FV('Investment Calculator'!$C$7/'Investment Calculator'!$F$4,'SIP Schedule'!C925,'SIP Schedule'!D925,,1)),"")</f>
        <v/>
      </c>
    </row>
    <row r="926" spans="3:6" x14ac:dyDescent="0.3">
      <c r="C926" s="1" t="str">
        <f>IF(C925&lt;'Investment Calculator'!$C$8*'Investment Calculator'!$F$4,'SIP Schedule'!C925+1,"")</f>
        <v/>
      </c>
      <c r="D926" s="27" t="str">
        <f>IF(C926&lt;='Investment Calculator'!$C$8*'Investment Calculator'!$F$4,'Investment Calculator'!$C$6,"")</f>
        <v/>
      </c>
      <c r="E926" s="27" t="str">
        <f>IFERROR((F925+D926)*'Investment Calculator'!$C$7/'Investment Calculator'!$F$4,"")</f>
        <v/>
      </c>
      <c r="F926" s="27" t="str">
        <f>IFERROR(ABS(FV('Investment Calculator'!$C$7/'Investment Calculator'!$F$4,'SIP Schedule'!C926,'SIP Schedule'!D926,,1)),"")</f>
        <v/>
      </c>
    </row>
    <row r="927" spans="3:6" x14ac:dyDescent="0.3">
      <c r="C927" s="1" t="str">
        <f>IF(C926&lt;'Investment Calculator'!$C$8*'Investment Calculator'!$F$4,'SIP Schedule'!C926+1,"")</f>
        <v/>
      </c>
      <c r="D927" s="27" t="str">
        <f>IF(C927&lt;='Investment Calculator'!$C$8*'Investment Calculator'!$F$4,'Investment Calculator'!$C$6,"")</f>
        <v/>
      </c>
      <c r="E927" s="27" t="str">
        <f>IFERROR((F926+D927)*'Investment Calculator'!$C$7/'Investment Calculator'!$F$4,"")</f>
        <v/>
      </c>
      <c r="F927" s="27" t="str">
        <f>IFERROR(ABS(FV('Investment Calculator'!$C$7/'Investment Calculator'!$F$4,'SIP Schedule'!C927,'SIP Schedule'!D927,,1)),"")</f>
        <v/>
      </c>
    </row>
    <row r="928" spans="3:6" x14ac:dyDescent="0.3">
      <c r="C928" s="1" t="str">
        <f>IF(C927&lt;'Investment Calculator'!$C$8*'Investment Calculator'!$F$4,'SIP Schedule'!C927+1,"")</f>
        <v/>
      </c>
      <c r="D928" s="27" t="str">
        <f>IF(C928&lt;='Investment Calculator'!$C$8*'Investment Calculator'!$F$4,'Investment Calculator'!$C$6,"")</f>
        <v/>
      </c>
      <c r="E928" s="27" t="str">
        <f>IFERROR((F927+D928)*'Investment Calculator'!$C$7/'Investment Calculator'!$F$4,"")</f>
        <v/>
      </c>
      <c r="F928" s="27" t="str">
        <f>IFERROR(ABS(FV('Investment Calculator'!$C$7/'Investment Calculator'!$F$4,'SIP Schedule'!C928,'SIP Schedule'!D928,,1)),"")</f>
        <v/>
      </c>
    </row>
    <row r="929" spans="3:6" x14ac:dyDescent="0.3">
      <c r="C929" s="1" t="str">
        <f>IF(C928&lt;'Investment Calculator'!$C$8*'Investment Calculator'!$F$4,'SIP Schedule'!C928+1,"")</f>
        <v/>
      </c>
      <c r="D929" s="27" t="str">
        <f>IF(C929&lt;='Investment Calculator'!$C$8*'Investment Calculator'!$F$4,'Investment Calculator'!$C$6,"")</f>
        <v/>
      </c>
      <c r="E929" s="27" t="str">
        <f>IFERROR((F928+D929)*'Investment Calculator'!$C$7/'Investment Calculator'!$F$4,"")</f>
        <v/>
      </c>
      <c r="F929" s="27" t="str">
        <f>IFERROR(ABS(FV('Investment Calculator'!$C$7/'Investment Calculator'!$F$4,'SIP Schedule'!C929,'SIP Schedule'!D929,,1)),"")</f>
        <v/>
      </c>
    </row>
    <row r="930" spans="3:6" x14ac:dyDescent="0.3">
      <c r="C930" s="1" t="str">
        <f>IF(C929&lt;'Investment Calculator'!$C$8*'Investment Calculator'!$F$4,'SIP Schedule'!C929+1,"")</f>
        <v/>
      </c>
      <c r="D930" s="27" t="str">
        <f>IF(C930&lt;='Investment Calculator'!$C$8*'Investment Calculator'!$F$4,'Investment Calculator'!$C$6,"")</f>
        <v/>
      </c>
      <c r="E930" s="27" t="str">
        <f>IFERROR((F929+D930)*'Investment Calculator'!$C$7/'Investment Calculator'!$F$4,"")</f>
        <v/>
      </c>
      <c r="F930" s="27" t="str">
        <f>IFERROR(ABS(FV('Investment Calculator'!$C$7/'Investment Calculator'!$F$4,'SIP Schedule'!C930,'SIP Schedule'!D930,,1)),"")</f>
        <v/>
      </c>
    </row>
    <row r="931" spans="3:6" x14ac:dyDescent="0.3">
      <c r="C931" s="1" t="str">
        <f>IF(C930&lt;'Investment Calculator'!$C$8*'Investment Calculator'!$F$4,'SIP Schedule'!C930+1,"")</f>
        <v/>
      </c>
      <c r="D931" s="27" t="str">
        <f>IF(C931&lt;='Investment Calculator'!$C$8*'Investment Calculator'!$F$4,'Investment Calculator'!$C$6,"")</f>
        <v/>
      </c>
      <c r="E931" s="27" t="str">
        <f>IFERROR((F930+D931)*'Investment Calculator'!$C$7/'Investment Calculator'!$F$4,"")</f>
        <v/>
      </c>
      <c r="F931" s="27" t="str">
        <f>IFERROR(ABS(FV('Investment Calculator'!$C$7/'Investment Calculator'!$F$4,'SIP Schedule'!C931,'SIP Schedule'!D931,,1)),"")</f>
        <v/>
      </c>
    </row>
    <row r="932" spans="3:6" x14ac:dyDescent="0.3">
      <c r="C932" s="1" t="str">
        <f>IF(C931&lt;'Investment Calculator'!$C$8*'Investment Calculator'!$F$4,'SIP Schedule'!C931+1,"")</f>
        <v/>
      </c>
      <c r="D932" s="27" t="str">
        <f>IF(C932&lt;='Investment Calculator'!$C$8*'Investment Calculator'!$F$4,'Investment Calculator'!$C$6,"")</f>
        <v/>
      </c>
      <c r="E932" s="27" t="str">
        <f>IFERROR((F931+D932)*'Investment Calculator'!$C$7/'Investment Calculator'!$F$4,"")</f>
        <v/>
      </c>
      <c r="F932" s="27" t="str">
        <f>IFERROR(ABS(FV('Investment Calculator'!$C$7/'Investment Calculator'!$F$4,'SIP Schedule'!C932,'SIP Schedule'!D932,,1)),"")</f>
        <v/>
      </c>
    </row>
    <row r="933" spans="3:6" x14ac:dyDescent="0.3">
      <c r="C933" s="1" t="str">
        <f>IF(C932&lt;'Investment Calculator'!$C$8*'Investment Calculator'!$F$4,'SIP Schedule'!C932+1,"")</f>
        <v/>
      </c>
      <c r="D933" s="27" t="str">
        <f>IF(C933&lt;='Investment Calculator'!$C$8*'Investment Calculator'!$F$4,'Investment Calculator'!$C$6,"")</f>
        <v/>
      </c>
      <c r="E933" s="27" t="str">
        <f>IFERROR((F932+D933)*'Investment Calculator'!$C$7/'Investment Calculator'!$F$4,"")</f>
        <v/>
      </c>
      <c r="F933" s="27" t="str">
        <f>IFERROR(ABS(FV('Investment Calculator'!$C$7/'Investment Calculator'!$F$4,'SIP Schedule'!C933,'SIP Schedule'!D933,,1)),"")</f>
        <v/>
      </c>
    </row>
    <row r="934" spans="3:6" x14ac:dyDescent="0.3">
      <c r="C934" s="1" t="str">
        <f>IF(C933&lt;'Investment Calculator'!$C$8*'Investment Calculator'!$F$4,'SIP Schedule'!C933+1,"")</f>
        <v/>
      </c>
      <c r="D934" s="27" t="str">
        <f>IF(C934&lt;='Investment Calculator'!$C$8*'Investment Calculator'!$F$4,'Investment Calculator'!$C$6,"")</f>
        <v/>
      </c>
      <c r="E934" s="27" t="str">
        <f>IFERROR((F933+D934)*'Investment Calculator'!$C$7/'Investment Calculator'!$F$4,"")</f>
        <v/>
      </c>
      <c r="F934" s="27" t="str">
        <f>IFERROR(ABS(FV('Investment Calculator'!$C$7/'Investment Calculator'!$F$4,'SIP Schedule'!C934,'SIP Schedule'!D934,,1)),"")</f>
        <v/>
      </c>
    </row>
    <row r="935" spans="3:6" x14ac:dyDescent="0.3">
      <c r="C935" s="1" t="str">
        <f>IF(C934&lt;'Investment Calculator'!$C$8*'Investment Calculator'!$F$4,'SIP Schedule'!C934+1,"")</f>
        <v/>
      </c>
      <c r="D935" s="27" t="str">
        <f>IF(C935&lt;='Investment Calculator'!$C$8*'Investment Calculator'!$F$4,'Investment Calculator'!$C$6,"")</f>
        <v/>
      </c>
      <c r="E935" s="27" t="str">
        <f>IFERROR((F934+D935)*'Investment Calculator'!$C$7/'Investment Calculator'!$F$4,"")</f>
        <v/>
      </c>
      <c r="F935" s="27" t="str">
        <f>IFERROR(ABS(FV('Investment Calculator'!$C$7/'Investment Calculator'!$F$4,'SIP Schedule'!C935,'SIP Schedule'!D935,,1)),"")</f>
        <v/>
      </c>
    </row>
    <row r="936" spans="3:6" x14ac:dyDescent="0.3">
      <c r="C936" s="1" t="str">
        <f>IF(C935&lt;'Investment Calculator'!$C$8*'Investment Calculator'!$F$4,'SIP Schedule'!C935+1,"")</f>
        <v/>
      </c>
      <c r="D936" s="27" t="str">
        <f>IF(C936&lt;='Investment Calculator'!$C$8*'Investment Calculator'!$F$4,'Investment Calculator'!$C$6,"")</f>
        <v/>
      </c>
      <c r="E936" s="27" t="str">
        <f>IFERROR((F935+D936)*'Investment Calculator'!$C$7/'Investment Calculator'!$F$4,"")</f>
        <v/>
      </c>
      <c r="F936" s="27" t="str">
        <f>IFERROR(ABS(FV('Investment Calculator'!$C$7/'Investment Calculator'!$F$4,'SIP Schedule'!C936,'SIP Schedule'!D936,,1)),"")</f>
        <v/>
      </c>
    </row>
    <row r="937" spans="3:6" x14ac:dyDescent="0.3">
      <c r="C937" s="1" t="str">
        <f>IF(C936&lt;'Investment Calculator'!$C$8*'Investment Calculator'!$F$4,'SIP Schedule'!C936+1,"")</f>
        <v/>
      </c>
      <c r="D937" s="27" t="str">
        <f>IF(C937&lt;='Investment Calculator'!$C$8*'Investment Calculator'!$F$4,'Investment Calculator'!$C$6,"")</f>
        <v/>
      </c>
      <c r="E937" s="27" t="str">
        <f>IFERROR((F936+D937)*'Investment Calculator'!$C$7/'Investment Calculator'!$F$4,"")</f>
        <v/>
      </c>
      <c r="F937" s="27" t="str">
        <f>IFERROR(ABS(FV('Investment Calculator'!$C$7/'Investment Calculator'!$F$4,'SIP Schedule'!C937,'SIP Schedule'!D937,,1)),"")</f>
        <v/>
      </c>
    </row>
    <row r="938" spans="3:6" x14ac:dyDescent="0.3">
      <c r="C938" s="1" t="str">
        <f>IF(C937&lt;'Investment Calculator'!$C$8*'Investment Calculator'!$F$4,'SIP Schedule'!C937+1,"")</f>
        <v/>
      </c>
      <c r="D938" s="27" t="str">
        <f>IF(C938&lt;='Investment Calculator'!$C$8*'Investment Calculator'!$F$4,'Investment Calculator'!$C$6,"")</f>
        <v/>
      </c>
      <c r="E938" s="27" t="str">
        <f>IFERROR((F937+D938)*'Investment Calculator'!$C$7/'Investment Calculator'!$F$4,"")</f>
        <v/>
      </c>
      <c r="F938" s="27" t="str">
        <f>IFERROR(ABS(FV('Investment Calculator'!$C$7/'Investment Calculator'!$F$4,'SIP Schedule'!C938,'SIP Schedule'!D938,,1)),"")</f>
        <v/>
      </c>
    </row>
    <row r="939" spans="3:6" x14ac:dyDescent="0.3">
      <c r="C939" s="1" t="str">
        <f>IF(C938&lt;'Investment Calculator'!$C$8*'Investment Calculator'!$F$4,'SIP Schedule'!C938+1,"")</f>
        <v/>
      </c>
      <c r="D939" s="27" t="str">
        <f>IF(C939&lt;='Investment Calculator'!$C$8*'Investment Calculator'!$F$4,'Investment Calculator'!$C$6,"")</f>
        <v/>
      </c>
      <c r="E939" s="27" t="str">
        <f>IFERROR((F938+D939)*'Investment Calculator'!$C$7/'Investment Calculator'!$F$4,"")</f>
        <v/>
      </c>
      <c r="F939" s="27" t="str">
        <f>IFERROR(ABS(FV('Investment Calculator'!$C$7/'Investment Calculator'!$F$4,'SIP Schedule'!C939,'SIP Schedule'!D939,,1)),"")</f>
        <v/>
      </c>
    </row>
    <row r="940" spans="3:6" x14ac:dyDescent="0.3">
      <c r="C940" s="1" t="str">
        <f>IF(C939&lt;'Investment Calculator'!$C$8*'Investment Calculator'!$F$4,'SIP Schedule'!C939+1,"")</f>
        <v/>
      </c>
      <c r="D940" s="27" t="str">
        <f>IF(C940&lt;='Investment Calculator'!$C$8*'Investment Calculator'!$F$4,'Investment Calculator'!$C$6,"")</f>
        <v/>
      </c>
      <c r="E940" s="27" t="str">
        <f>IFERROR((F939+D940)*'Investment Calculator'!$C$7/'Investment Calculator'!$F$4,"")</f>
        <v/>
      </c>
      <c r="F940" s="27" t="str">
        <f>IFERROR(ABS(FV('Investment Calculator'!$C$7/'Investment Calculator'!$F$4,'SIP Schedule'!C940,'SIP Schedule'!D940,,1)),"")</f>
        <v/>
      </c>
    </row>
    <row r="941" spans="3:6" x14ac:dyDescent="0.3">
      <c r="C941" s="1" t="str">
        <f>IF(C940&lt;'Investment Calculator'!$C$8*'Investment Calculator'!$F$4,'SIP Schedule'!C940+1,"")</f>
        <v/>
      </c>
      <c r="D941" s="27" t="str">
        <f>IF(C941&lt;='Investment Calculator'!$C$8*'Investment Calculator'!$F$4,'Investment Calculator'!$C$6,"")</f>
        <v/>
      </c>
      <c r="E941" s="27" t="str">
        <f>IFERROR((F940+D941)*'Investment Calculator'!$C$7/'Investment Calculator'!$F$4,"")</f>
        <v/>
      </c>
      <c r="F941" s="27" t="str">
        <f>IFERROR(ABS(FV('Investment Calculator'!$C$7/'Investment Calculator'!$F$4,'SIP Schedule'!C941,'SIP Schedule'!D941,,1)),"")</f>
        <v/>
      </c>
    </row>
    <row r="942" spans="3:6" x14ac:dyDescent="0.3">
      <c r="C942" s="1" t="str">
        <f>IF(C941&lt;'Investment Calculator'!$C$8*'Investment Calculator'!$F$4,'SIP Schedule'!C941+1,"")</f>
        <v/>
      </c>
      <c r="D942" s="27" t="str">
        <f>IF(C942&lt;='Investment Calculator'!$C$8*'Investment Calculator'!$F$4,'Investment Calculator'!$C$6,"")</f>
        <v/>
      </c>
      <c r="E942" s="27" t="str">
        <f>IFERROR((F941+D942)*'Investment Calculator'!$C$7/'Investment Calculator'!$F$4,"")</f>
        <v/>
      </c>
      <c r="F942" s="27" t="str">
        <f>IFERROR(ABS(FV('Investment Calculator'!$C$7/'Investment Calculator'!$F$4,'SIP Schedule'!C942,'SIP Schedule'!D942,,1)),"")</f>
        <v/>
      </c>
    </row>
    <row r="943" spans="3:6" x14ac:dyDescent="0.3">
      <c r="C943" s="1" t="str">
        <f>IF(C942&lt;'Investment Calculator'!$C$8*'Investment Calculator'!$F$4,'SIP Schedule'!C942+1,"")</f>
        <v/>
      </c>
      <c r="D943" s="27" t="str">
        <f>IF(C943&lt;='Investment Calculator'!$C$8*'Investment Calculator'!$F$4,'Investment Calculator'!$C$6,"")</f>
        <v/>
      </c>
      <c r="E943" s="27" t="str">
        <f>IFERROR((F942+D943)*'Investment Calculator'!$C$7/'Investment Calculator'!$F$4,"")</f>
        <v/>
      </c>
      <c r="F943" s="27" t="str">
        <f>IFERROR(ABS(FV('Investment Calculator'!$C$7/'Investment Calculator'!$F$4,'SIP Schedule'!C943,'SIP Schedule'!D943,,1)),"")</f>
        <v/>
      </c>
    </row>
    <row r="944" spans="3:6" x14ac:dyDescent="0.3">
      <c r="C944" s="1" t="str">
        <f>IF(C943&lt;'Investment Calculator'!$C$8*'Investment Calculator'!$F$4,'SIP Schedule'!C943+1,"")</f>
        <v/>
      </c>
      <c r="D944" s="27" t="str">
        <f>IF(C944&lt;='Investment Calculator'!$C$8*'Investment Calculator'!$F$4,'Investment Calculator'!$C$6,"")</f>
        <v/>
      </c>
      <c r="E944" s="27" t="str">
        <f>IFERROR((F943+D944)*'Investment Calculator'!$C$7/'Investment Calculator'!$F$4,"")</f>
        <v/>
      </c>
      <c r="F944" s="27" t="str">
        <f>IFERROR(ABS(FV('Investment Calculator'!$C$7/'Investment Calculator'!$F$4,'SIP Schedule'!C944,'SIP Schedule'!D944,,1)),"")</f>
        <v/>
      </c>
    </row>
    <row r="945" spans="3:6" x14ac:dyDescent="0.3">
      <c r="C945" s="1" t="str">
        <f>IF(C944&lt;'Investment Calculator'!$C$8*'Investment Calculator'!$F$4,'SIP Schedule'!C944+1,"")</f>
        <v/>
      </c>
      <c r="D945" s="27" t="str">
        <f>IF(C945&lt;='Investment Calculator'!$C$8*'Investment Calculator'!$F$4,'Investment Calculator'!$C$6,"")</f>
        <v/>
      </c>
      <c r="E945" s="27" t="str">
        <f>IFERROR((F944+D945)*'Investment Calculator'!$C$7/'Investment Calculator'!$F$4,"")</f>
        <v/>
      </c>
      <c r="F945" s="27" t="str">
        <f>IFERROR(ABS(FV('Investment Calculator'!$C$7/'Investment Calculator'!$F$4,'SIP Schedule'!C945,'SIP Schedule'!D945,,1)),"")</f>
        <v/>
      </c>
    </row>
    <row r="946" spans="3:6" x14ac:dyDescent="0.3">
      <c r="C946" s="1" t="str">
        <f>IF(C945&lt;'Investment Calculator'!$C$8*'Investment Calculator'!$F$4,'SIP Schedule'!C945+1,"")</f>
        <v/>
      </c>
      <c r="D946" s="27" t="str">
        <f>IF(C946&lt;='Investment Calculator'!$C$8*'Investment Calculator'!$F$4,'Investment Calculator'!$C$6,"")</f>
        <v/>
      </c>
      <c r="E946" s="27" t="str">
        <f>IFERROR((F945+D946)*'Investment Calculator'!$C$7/'Investment Calculator'!$F$4,"")</f>
        <v/>
      </c>
      <c r="F946" s="27" t="str">
        <f>IFERROR(ABS(FV('Investment Calculator'!$C$7/'Investment Calculator'!$F$4,'SIP Schedule'!C946,'SIP Schedule'!D946,,1)),"")</f>
        <v/>
      </c>
    </row>
    <row r="947" spans="3:6" x14ac:dyDescent="0.3">
      <c r="C947" s="1" t="str">
        <f>IF(C946&lt;'Investment Calculator'!$C$8*'Investment Calculator'!$F$4,'SIP Schedule'!C946+1,"")</f>
        <v/>
      </c>
      <c r="D947" s="27" t="str">
        <f>IF(C947&lt;='Investment Calculator'!$C$8*'Investment Calculator'!$F$4,'Investment Calculator'!$C$6,"")</f>
        <v/>
      </c>
      <c r="E947" s="27" t="str">
        <f>IFERROR((F946+D947)*'Investment Calculator'!$C$7/'Investment Calculator'!$F$4,"")</f>
        <v/>
      </c>
      <c r="F947" s="27" t="str">
        <f>IFERROR(ABS(FV('Investment Calculator'!$C$7/'Investment Calculator'!$F$4,'SIP Schedule'!C947,'SIP Schedule'!D947,,1)),"")</f>
        <v/>
      </c>
    </row>
    <row r="948" spans="3:6" x14ac:dyDescent="0.3">
      <c r="C948" s="1" t="str">
        <f>IF(C947&lt;'Investment Calculator'!$C$8*'Investment Calculator'!$F$4,'SIP Schedule'!C947+1,"")</f>
        <v/>
      </c>
      <c r="D948" s="27" t="str">
        <f>IF(C948&lt;='Investment Calculator'!$C$8*'Investment Calculator'!$F$4,'Investment Calculator'!$C$6,"")</f>
        <v/>
      </c>
      <c r="E948" s="27" t="str">
        <f>IFERROR((F947+D948)*'Investment Calculator'!$C$7/'Investment Calculator'!$F$4,"")</f>
        <v/>
      </c>
      <c r="F948" s="27" t="str">
        <f>IFERROR(ABS(FV('Investment Calculator'!$C$7/'Investment Calculator'!$F$4,'SIP Schedule'!C948,'SIP Schedule'!D948,,1)),"")</f>
        <v/>
      </c>
    </row>
    <row r="949" spans="3:6" x14ac:dyDescent="0.3">
      <c r="C949" s="1" t="str">
        <f>IF(C948&lt;'Investment Calculator'!$C$8*'Investment Calculator'!$F$4,'SIP Schedule'!C948+1,"")</f>
        <v/>
      </c>
      <c r="D949" s="27" t="str">
        <f>IF(C949&lt;='Investment Calculator'!$C$8*'Investment Calculator'!$F$4,'Investment Calculator'!$C$6,"")</f>
        <v/>
      </c>
      <c r="E949" s="27" t="str">
        <f>IFERROR((F948+D949)*'Investment Calculator'!$C$7/'Investment Calculator'!$F$4,"")</f>
        <v/>
      </c>
      <c r="F949" s="27" t="str">
        <f>IFERROR(ABS(FV('Investment Calculator'!$C$7/'Investment Calculator'!$F$4,'SIP Schedule'!C949,'SIP Schedule'!D949,,1)),"")</f>
        <v/>
      </c>
    </row>
    <row r="950" spans="3:6" x14ac:dyDescent="0.3">
      <c r="C950" s="1" t="str">
        <f>IF(C949&lt;'Investment Calculator'!$C$8*'Investment Calculator'!$F$4,'SIP Schedule'!C949+1,"")</f>
        <v/>
      </c>
      <c r="D950" s="27" t="str">
        <f>IF(C950&lt;='Investment Calculator'!$C$8*'Investment Calculator'!$F$4,'Investment Calculator'!$C$6,"")</f>
        <v/>
      </c>
      <c r="E950" s="27" t="str">
        <f>IFERROR((F949+D950)*'Investment Calculator'!$C$7/'Investment Calculator'!$F$4,"")</f>
        <v/>
      </c>
      <c r="F950" s="27" t="str">
        <f>IFERROR(ABS(FV('Investment Calculator'!$C$7/'Investment Calculator'!$F$4,'SIP Schedule'!C950,'SIP Schedule'!D950,,1)),"")</f>
        <v/>
      </c>
    </row>
    <row r="951" spans="3:6" x14ac:dyDescent="0.3">
      <c r="C951" s="1" t="str">
        <f>IF(C950&lt;'Investment Calculator'!$C$8*'Investment Calculator'!$F$4,'SIP Schedule'!C950+1,"")</f>
        <v/>
      </c>
      <c r="D951" s="27" t="str">
        <f>IF(C951&lt;='Investment Calculator'!$C$8*'Investment Calculator'!$F$4,'Investment Calculator'!$C$6,"")</f>
        <v/>
      </c>
      <c r="E951" s="27" t="str">
        <f>IFERROR((F950+D951)*'Investment Calculator'!$C$7/'Investment Calculator'!$F$4,"")</f>
        <v/>
      </c>
      <c r="F951" s="27" t="str">
        <f>IFERROR(ABS(FV('Investment Calculator'!$C$7/'Investment Calculator'!$F$4,'SIP Schedule'!C951,'SIP Schedule'!D951,,1)),"")</f>
        <v/>
      </c>
    </row>
    <row r="952" spans="3:6" x14ac:dyDescent="0.3">
      <c r="C952" s="1" t="str">
        <f>IF(C951&lt;'Investment Calculator'!$C$8*'Investment Calculator'!$F$4,'SIP Schedule'!C951+1,"")</f>
        <v/>
      </c>
      <c r="D952" s="27" t="str">
        <f>IF(C952&lt;='Investment Calculator'!$C$8*'Investment Calculator'!$F$4,'Investment Calculator'!$C$6,"")</f>
        <v/>
      </c>
      <c r="E952" s="27" t="str">
        <f>IFERROR((F951+D952)*'Investment Calculator'!$C$7/'Investment Calculator'!$F$4,"")</f>
        <v/>
      </c>
      <c r="F952" s="27" t="str">
        <f>IFERROR(ABS(FV('Investment Calculator'!$C$7/'Investment Calculator'!$F$4,'SIP Schedule'!C952,'SIP Schedule'!D952,,1)),"")</f>
        <v/>
      </c>
    </row>
    <row r="953" spans="3:6" x14ac:dyDescent="0.3">
      <c r="C953" s="1" t="str">
        <f>IF(C952&lt;'Investment Calculator'!$C$8*'Investment Calculator'!$F$4,'SIP Schedule'!C952+1,"")</f>
        <v/>
      </c>
      <c r="D953" s="27" t="str">
        <f>IF(C953&lt;='Investment Calculator'!$C$8*'Investment Calculator'!$F$4,'Investment Calculator'!$C$6,"")</f>
        <v/>
      </c>
      <c r="E953" s="27" t="str">
        <f>IFERROR((F952+D953)*'Investment Calculator'!$C$7/'Investment Calculator'!$F$4,"")</f>
        <v/>
      </c>
      <c r="F953" s="27" t="str">
        <f>IFERROR(ABS(FV('Investment Calculator'!$C$7/'Investment Calculator'!$F$4,'SIP Schedule'!C953,'SIP Schedule'!D953,,1)),"")</f>
        <v/>
      </c>
    </row>
    <row r="954" spans="3:6" x14ac:dyDescent="0.3">
      <c r="C954" s="1" t="str">
        <f>IF(C953&lt;'Investment Calculator'!$C$8*'Investment Calculator'!$F$4,'SIP Schedule'!C953+1,"")</f>
        <v/>
      </c>
      <c r="D954" s="27" t="str">
        <f>IF(C954&lt;='Investment Calculator'!$C$8*'Investment Calculator'!$F$4,'Investment Calculator'!$C$6,"")</f>
        <v/>
      </c>
      <c r="E954" s="27" t="str">
        <f>IFERROR((F953+D954)*'Investment Calculator'!$C$7/'Investment Calculator'!$F$4,"")</f>
        <v/>
      </c>
      <c r="F954" s="27" t="str">
        <f>IFERROR(ABS(FV('Investment Calculator'!$C$7/'Investment Calculator'!$F$4,'SIP Schedule'!C954,'SIP Schedule'!D954,,1)),"")</f>
        <v/>
      </c>
    </row>
    <row r="955" spans="3:6" x14ac:dyDescent="0.3">
      <c r="C955" s="1" t="str">
        <f>IF(C954&lt;'Investment Calculator'!$C$8*'Investment Calculator'!$F$4,'SIP Schedule'!C954+1,"")</f>
        <v/>
      </c>
      <c r="D955" s="27" t="str">
        <f>IF(C955&lt;='Investment Calculator'!$C$8*'Investment Calculator'!$F$4,'Investment Calculator'!$C$6,"")</f>
        <v/>
      </c>
      <c r="E955" s="27" t="str">
        <f>IFERROR((F954+D955)*'Investment Calculator'!$C$7/'Investment Calculator'!$F$4,"")</f>
        <v/>
      </c>
      <c r="F955" s="27" t="str">
        <f>IFERROR(ABS(FV('Investment Calculator'!$C$7/'Investment Calculator'!$F$4,'SIP Schedule'!C955,'SIP Schedule'!D955,,1)),"")</f>
        <v/>
      </c>
    </row>
    <row r="956" spans="3:6" x14ac:dyDescent="0.3">
      <c r="C956" s="1" t="str">
        <f>IF(C955&lt;'Investment Calculator'!$C$8*'Investment Calculator'!$F$4,'SIP Schedule'!C955+1,"")</f>
        <v/>
      </c>
      <c r="D956" s="27" t="str">
        <f>IF(C956&lt;='Investment Calculator'!$C$8*'Investment Calculator'!$F$4,'Investment Calculator'!$C$6,"")</f>
        <v/>
      </c>
      <c r="E956" s="27" t="str">
        <f>IFERROR((F955+D956)*'Investment Calculator'!$C$7/'Investment Calculator'!$F$4,"")</f>
        <v/>
      </c>
      <c r="F956" s="27" t="str">
        <f>IFERROR(ABS(FV('Investment Calculator'!$C$7/'Investment Calculator'!$F$4,'SIP Schedule'!C956,'SIP Schedule'!D956,,1)),"")</f>
        <v/>
      </c>
    </row>
    <row r="957" spans="3:6" x14ac:dyDescent="0.3">
      <c r="C957" s="1" t="str">
        <f>IF(C956&lt;'Investment Calculator'!$C$8*'Investment Calculator'!$F$4,'SIP Schedule'!C956+1,"")</f>
        <v/>
      </c>
      <c r="D957" s="27" t="str">
        <f>IF(C957&lt;='Investment Calculator'!$C$8*'Investment Calculator'!$F$4,'Investment Calculator'!$C$6,"")</f>
        <v/>
      </c>
      <c r="E957" s="27" t="str">
        <f>IFERROR((F956+D957)*'Investment Calculator'!$C$7/'Investment Calculator'!$F$4,"")</f>
        <v/>
      </c>
      <c r="F957" s="27" t="str">
        <f>IFERROR(ABS(FV('Investment Calculator'!$C$7/'Investment Calculator'!$F$4,'SIP Schedule'!C957,'SIP Schedule'!D957,,1)),"")</f>
        <v/>
      </c>
    </row>
    <row r="958" spans="3:6" x14ac:dyDescent="0.3">
      <c r="C958" s="1" t="str">
        <f>IF(C957&lt;'Investment Calculator'!$C$8*'Investment Calculator'!$F$4,'SIP Schedule'!C957+1,"")</f>
        <v/>
      </c>
      <c r="D958" s="27" t="str">
        <f>IF(C958&lt;='Investment Calculator'!$C$8*'Investment Calculator'!$F$4,'Investment Calculator'!$C$6,"")</f>
        <v/>
      </c>
      <c r="E958" s="27" t="str">
        <f>IFERROR((F957+D958)*'Investment Calculator'!$C$7/'Investment Calculator'!$F$4,"")</f>
        <v/>
      </c>
      <c r="F958" s="27" t="str">
        <f>IFERROR(ABS(FV('Investment Calculator'!$C$7/'Investment Calculator'!$F$4,'SIP Schedule'!C958,'SIP Schedule'!D958,,1)),"")</f>
        <v/>
      </c>
    </row>
    <row r="959" spans="3:6" x14ac:dyDescent="0.3">
      <c r="C959" s="1" t="str">
        <f>IF(C958&lt;'Investment Calculator'!$C$8*'Investment Calculator'!$F$4,'SIP Schedule'!C958+1,"")</f>
        <v/>
      </c>
      <c r="D959" s="27" t="str">
        <f>IF(C959&lt;='Investment Calculator'!$C$8*'Investment Calculator'!$F$4,'Investment Calculator'!$C$6,"")</f>
        <v/>
      </c>
      <c r="E959" s="27" t="str">
        <f>IFERROR((F958+D959)*'Investment Calculator'!$C$7/'Investment Calculator'!$F$4,"")</f>
        <v/>
      </c>
      <c r="F959" s="27" t="str">
        <f>IFERROR(ABS(FV('Investment Calculator'!$C$7/'Investment Calculator'!$F$4,'SIP Schedule'!C959,'SIP Schedule'!D959,,1)),"")</f>
        <v/>
      </c>
    </row>
    <row r="960" spans="3:6" x14ac:dyDescent="0.3">
      <c r="C960" s="1" t="str">
        <f>IF(C959&lt;'Investment Calculator'!$C$8*'Investment Calculator'!$F$4,'SIP Schedule'!C959+1,"")</f>
        <v/>
      </c>
      <c r="D960" s="27" t="str">
        <f>IF(C960&lt;='Investment Calculator'!$C$8*'Investment Calculator'!$F$4,'Investment Calculator'!$C$6,"")</f>
        <v/>
      </c>
      <c r="E960" s="27" t="str">
        <f>IFERROR((F959+D960)*'Investment Calculator'!$C$7/'Investment Calculator'!$F$4,"")</f>
        <v/>
      </c>
      <c r="F960" s="27" t="str">
        <f>IFERROR(ABS(FV('Investment Calculator'!$C$7/'Investment Calculator'!$F$4,'SIP Schedule'!C960,'SIP Schedule'!D960,,1)),"")</f>
        <v/>
      </c>
    </row>
    <row r="961" spans="3:6" x14ac:dyDescent="0.3">
      <c r="C961" s="1" t="str">
        <f>IF(C960&lt;'Investment Calculator'!$C$8*'Investment Calculator'!$F$4,'SIP Schedule'!C960+1,"")</f>
        <v/>
      </c>
      <c r="D961" s="27" t="str">
        <f>IF(C961&lt;='Investment Calculator'!$C$8*'Investment Calculator'!$F$4,'Investment Calculator'!$C$6,"")</f>
        <v/>
      </c>
      <c r="E961" s="27" t="str">
        <f>IFERROR((F960+D961)*'Investment Calculator'!$C$7/'Investment Calculator'!$F$4,"")</f>
        <v/>
      </c>
      <c r="F961" s="27" t="str">
        <f>IFERROR(ABS(FV('Investment Calculator'!$C$7/'Investment Calculator'!$F$4,'SIP Schedule'!C961,'SIP Schedule'!D961,,1)),"")</f>
        <v/>
      </c>
    </row>
    <row r="962" spans="3:6" x14ac:dyDescent="0.3">
      <c r="C962" s="1" t="str">
        <f>IF(C961&lt;'Investment Calculator'!$C$8*'Investment Calculator'!$F$4,'SIP Schedule'!C961+1,"")</f>
        <v/>
      </c>
      <c r="D962" s="27" t="str">
        <f>IF(C962&lt;='Investment Calculator'!$C$8*'Investment Calculator'!$F$4,'Investment Calculator'!$C$6,"")</f>
        <v/>
      </c>
      <c r="E962" s="27" t="str">
        <f>IFERROR((F961+D962)*'Investment Calculator'!$C$7/'Investment Calculator'!$F$4,"")</f>
        <v/>
      </c>
      <c r="F962" s="27" t="str">
        <f>IFERROR(ABS(FV('Investment Calculator'!$C$7/'Investment Calculator'!$F$4,'SIP Schedule'!C962,'SIP Schedule'!D962,,1)),"")</f>
        <v/>
      </c>
    </row>
    <row r="963" spans="3:6" x14ac:dyDescent="0.3">
      <c r="C963" s="1" t="str">
        <f>IF(C962&lt;'Investment Calculator'!$C$8*'Investment Calculator'!$F$4,'SIP Schedule'!C962+1,"")</f>
        <v/>
      </c>
      <c r="D963" s="27" t="str">
        <f>IF(C963&lt;='Investment Calculator'!$C$8*'Investment Calculator'!$F$4,'Investment Calculator'!$C$6,"")</f>
        <v/>
      </c>
      <c r="E963" s="27" t="str">
        <f>IFERROR((F962+D963)*'Investment Calculator'!$C$7/'Investment Calculator'!$F$4,"")</f>
        <v/>
      </c>
      <c r="F963" s="27" t="str">
        <f>IFERROR(ABS(FV('Investment Calculator'!$C$7/'Investment Calculator'!$F$4,'SIP Schedule'!C963,'SIP Schedule'!D963,,1)),"")</f>
        <v/>
      </c>
    </row>
    <row r="964" spans="3:6" x14ac:dyDescent="0.3">
      <c r="C964" s="1" t="str">
        <f>IF(C963&lt;'Investment Calculator'!$C$8*'Investment Calculator'!$F$4,'SIP Schedule'!C963+1,"")</f>
        <v/>
      </c>
      <c r="D964" s="27" t="str">
        <f>IF(C964&lt;='Investment Calculator'!$C$8*'Investment Calculator'!$F$4,'Investment Calculator'!$C$6,"")</f>
        <v/>
      </c>
      <c r="E964" s="27" t="str">
        <f>IFERROR((F963+D964)*'Investment Calculator'!$C$7/'Investment Calculator'!$F$4,"")</f>
        <v/>
      </c>
      <c r="F964" s="27" t="str">
        <f>IFERROR(ABS(FV('Investment Calculator'!$C$7/'Investment Calculator'!$F$4,'SIP Schedule'!C964,'SIP Schedule'!D964,,1)),"")</f>
        <v/>
      </c>
    </row>
    <row r="965" spans="3:6" x14ac:dyDescent="0.3">
      <c r="C965" s="1" t="str">
        <f>IF(C964&lt;'Investment Calculator'!$C$8*'Investment Calculator'!$F$4,'SIP Schedule'!C964+1,"")</f>
        <v/>
      </c>
      <c r="D965" s="27" t="str">
        <f>IF(C965&lt;='Investment Calculator'!$C$8*'Investment Calculator'!$F$4,'Investment Calculator'!$C$6,"")</f>
        <v/>
      </c>
      <c r="E965" s="27" t="str">
        <f>IFERROR((F964+D965)*'Investment Calculator'!$C$7/'Investment Calculator'!$F$4,"")</f>
        <v/>
      </c>
      <c r="F965" s="27" t="str">
        <f>IFERROR(ABS(FV('Investment Calculator'!$C$7/'Investment Calculator'!$F$4,'SIP Schedule'!C965,'SIP Schedule'!D965,,1)),"")</f>
        <v/>
      </c>
    </row>
    <row r="966" spans="3:6" x14ac:dyDescent="0.3">
      <c r="C966" s="1" t="str">
        <f>IF(C965&lt;'Investment Calculator'!$C$8*'Investment Calculator'!$F$4,'SIP Schedule'!C965+1,"")</f>
        <v/>
      </c>
      <c r="D966" s="27" t="str">
        <f>IF(C966&lt;='Investment Calculator'!$C$8*'Investment Calculator'!$F$4,'Investment Calculator'!$C$6,"")</f>
        <v/>
      </c>
      <c r="E966" s="27" t="str">
        <f>IFERROR((F965+D966)*'Investment Calculator'!$C$7/'Investment Calculator'!$F$4,"")</f>
        <v/>
      </c>
      <c r="F966" s="27" t="str">
        <f>IFERROR(ABS(FV('Investment Calculator'!$C$7/'Investment Calculator'!$F$4,'SIP Schedule'!C966,'SIP Schedule'!D966,,1)),"")</f>
        <v/>
      </c>
    </row>
    <row r="967" spans="3:6" x14ac:dyDescent="0.3">
      <c r="C967" s="1" t="str">
        <f>IF(C966&lt;'Investment Calculator'!$C$8*'Investment Calculator'!$F$4,'SIP Schedule'!C966+1,"")</f>
        <v/>
      </c>
      <c r="D967" s="27" t="str">
        <f>IF(C967&lt;='Investment Calculator'!$C$8*'Investment Calculator'!$F$4,'Investment Calculator'!$C$6,"")</f>
        <v/>
      </c>
      <c r="E967" s="27" t="str">
        <f>IFERROR((F966+D967)*'Investment Calculator'!$C$7/'Investment Calculator'!$F$4,"")</f>
        <v/>
      </c>
      <c r="F967" s="27" t="str">
        <f>IFERROR(ABS(FV('Investment Calculator'!$C$7/'Investment Calculator'!$F$4,'SIP Schedule'!C967,'SIP Schedule'!D967,,1)),"")</f>
        <v/>
      </c>
    </row>
    <row r="968" spans="3:6" x14ac:dyDescent="0.3">
      <c r="C968" s="1" t="str">
        <f>IF(C967&lt;'Investment Calculator'!$C$8*'Investment Calculator'!$F$4,'SIP Schedule'!C967+1,"")</f>
        <v/>
      </c>
      <c r="D968" s="27" t="str">
        <f>IF(C968&lt;='Investment Calculator'!$C$8*'Investment Calculator'!$F$4,'Investment Calculator'!$C$6,"")</f>
        <v/>
      </c>
      <c r="E968" s="27" t="str">
        <f>IFERROR((F967+D968)*'Investment Calculator'!$C$7/'Investment Calculator'!$F$4,"")</f>
        <v/>
      </c>
      <c r="F968" s="27" t="str">
        <f>IFERROR(ABS(FV('Investment Calculator'!$C$7/'Investment Calculator'!$F$4,'SIP Schedule'!C968,'SIP Schedule'!D968,,1)),"")</f>
        <v/>
      </c>
    </row>
    <row r="969" spans="3:6" x14ac:dyDescent="0.3">
      <c r="C969" s="1" t="str">
        <f>IF(C968&lt;'Investment Calculator'!$C$8*'Investment Calculator'!$F$4,'SIP Schedule'!C968+1,"")</f>
        <v/>
      </c>
      <c r="D969" s="27" t="str">
        <f>IF(C969&lt;='Investment Calculator'!$C$8*'Investment Calculator'!$F$4,'Investment Calculator'!$C$6,"")</f>
        <v/>
      </c>
      <c r="E969" s="27" t="str">
        <f>IFERROR((F968+D969)*'Investment Calculator'!$C$7/'Investment Calculator'!$F$4,"")</f>
        <v/>
      </c>
      <c r="F969" s="27" t="str">
        <f>IFERROR(ABS(FV('Investment Calculator'!$C$7/'Investment Calculator'!$F$4,'SIP Schedule'!C969,'SIP Schedule'!D969,,1)),"")</f>
        <v/>
      </c>
    </row>
    <row r="970" spans="3:6" x14ac:dyDescent="0.3">
      <c r="C970" s="1" t="str">
        <f>IF(C969&lt;'Investment Calculator'!$C$8*'Investment Calculator'!$F$4,'SIP Schedule'!C969+1,"")</f>
        <v/>
      </c>
      <c r="D970" s="27" t="str">
        <f>IF(C970&lt;='Investment Calculator'!$C$8*'Investment Calculator'!$F$4,'Investment Calculator'!$C$6,"")</f>
        <v/>
      </c>
      <c r="E970" s="27" t="str">
        <f>IFERROR((F969+D970)*'Investment Calculator'!$C$7/'Investment Calculator'!$F$4,"")</f>
        <v/>
      </c>
      <c r="F970" s="27" t="str">
        <f>IFERROR(ABS(FV('Investment Calculator'!$C$7/'Investment Calculator'!$F$4,'SIP Schedule'!C970,'SIP Schedule'!D970,,1)),"")</f>
        <v/>
      </c>
    </row>
    <row r="971" spans="3:6" x14ac:dyDescent="0.3">
      <c r="C971" s="1" t="str">
        <f>IF(C970&lt;'Investment Calculator'!$C$8*'Investment Calculator'!$F$4,'SIP Schedule'!C970+1,"")</f>
        <v/>
      </c>
      <c r="D971" s="27" t="str">
        <f>IF(C971&lt;='Investment Calculator'!$C$8*'Investment Calculator'!$F$4,'Investment Calculator'!$C$6,"")</f>
        <v/>
      </c>
      <c r="E971" s="27" t="str">
        <f>IFERROR((F970+D971)*'Investment Calculator'!$C$7/'Investment Calculator'!$F$4,"")</f>
        <v/>
      </c>
      <c r="F971" s="27" t="str">
        <f>IFERROR(ABS(FV('Investment Calculator'!$C$7/'Investment Calculator'!$F$4,'SIP Schedule'!C971,'SIP Schedule'!D971,,1)),"")</f>
        <v/>
      </c>
    </row>
    <row r="972" spans="3:6" x14ac:dyDescent="0.3">
      <c r="C972" s="1" t="str">
        <f>IF(C971&lt;'Investment Calculator'!$C$8*'Investment Calculator'!$F$4,'SIP Schedule'!C971+1,"")</f>
        <v/>
      </c>
      <c r="D972" s="27" t="str">
        <f>IF(C972&lt;='Investment Calculator'!$C$8*'Investment Calculator'!$F$4,'Investment Calculator'!$C$6,"")</f>
        <v/>
      </c>
      <c r="E972" s="27" t="str">
        <f>IFERROR((F971+D972)*'Investment Calculator'!$C$7/'Investment Calculator'!$F$4,"")</f>
        <v/>
      </c>
      <c r="F972" s="27" t="str">
        <f>IFERROR(ABS(FV('Investment Calculator'!$C$7/'Investment Calculator'!$F$4,'SIP Schedule'!C972,'SIP Schedule'!D972,,1)),"")</f>
        <v/>
      </c>
    </row>
    <row r="973" spans="3:6" x14ac:dyDescent="0.3">
      <c r="C973" s="1" t="str">
        <f>IF(C972&lt;'Investment Calculator'!$C$8*'Investment Calculator'!$F$4,'SIP Schedule'!C972+1,"")</f>
        <v/>
      </c>
      <c r="D973" s="27" t="str">
        <f>IF(C973&lt;='Investment Calculator'!$C$8*'Investment Calculator'!$F$4,'Investment Calculator'!$C$6,"")</f>
        <v/>
      </c>
      <c r="E973" s="27" t="str">
        <f>IFERROR((F972+D973)*'Investment Calculator'!$C$7/'Investment Calculator'!$F$4,"")</f>
        <v/>
      </c>
      <c r="F973" s="27" t="str">
        <f>IFERROR(ABS(FV('Investment Calculator'!$C$7/'Investment Calculator'!$F$4,'SIP Schedule'!C973,'SIP Schedule'!D973,,1)),"")</f>
        <v/>
      </c>
    </row>
    <row r="974" spans="3:6" x14ac:dyDescent="0.3">
      <c r="C974" s="1" t="str">
        <f>IF(C973&lt;'Investment Calculator'!$C$8*'Investment Calculator'!$F$4,'SIP Schedule'!C973+1,"")</f>
        <v/>
      </c>
      <c r="D974" s="27" t="str">
        <f>IF(C974&lt;='Investment Calculator'!$C$8*'Investment Calculator'!$F$4,'Investment Calculator'!$C$6,"")</f>
        <v/>
      </c>
      <c r="E974" s="27" t="str">
        <f>IFERROR((F973+D974)*'Investment Calculator'!$C$7/'Investment Calculator'!$F$4,"")</f>
        <v/>
      </c>
      <c r="F974" s="27" t="str">
        <f>IFERROR(ABS(FV('Investment Calculator'!$C$7/'Investment Calculator'!$F$4,'SIP Schedule'!C974,'SIP Schedule'!D974,,1)),"")</f>
        <v/>
      </c>
    </row>
    <row r="975" spans="3:6" x14ac:dyDescent="0.3">
      <c r="C975" s="1" t="str">
        <f>IF(C974&lt;'Investment Calculator'!$C$8*'Investment Calculator'!$F$4,'SIP Schedule'!C974+1,"")</f>
        <v/>
      </c>
      <c r="D975" s="27" t="str">
        <f>IF(C975&lt;='Investment Calculator'!$C$8*'Investment Calculator'!$F$4,'Investment Calculator'!$C$6,"")</f>
        <v/>
      </c>
      <c r="E975" s="27" t="str">
        <f>IFERROR((F974+D975)*'Investment Calculator'!$C$7/'Investment Calculator'!$F$4,"")</f>
        <v/>
      </c>
      <c r="F975" s="27" t="str">
        <f>IFERROR(ABS(FV('Investment Calculator'!$C$7/'Investment Calculator'!$F$4,'SIP Schedule'!C975,'SIP Schedule'!D975,,1)),"")</f>
        <v/>
      </c>
    </row>
    <row r="976" spans="3:6" x14ac:dyDescent="0.3">
      <c r="C976" s="1" t="str">
        <f>IF(C975&lt;'Investment Calculator'!$C$8*'Investment Calculator'!$F$4,'SIP Schedule'!C975+1,"")</f>
        <v/>
      </c>
      <c r="D976" s="27" t="str">
        <f>IF(C976&lt;='Investment Calculator'!$C$8*'Investment Calculator'!$F$4,'Investment Calculator'!$C$6,"")</f>
        <v/>
      </c>
      <c r="E976" s="27" t="str">
        <f>IFERROR((F975+D976)*'Investment Calculator'!$C$7/'Investment Calculator'!$F$4,"")</f>
        <v/>
      </c>
      <c r="F976" s="27" t="str">
        <f>IFERROR(ABS(FV('Investment Calculator'!$C$7/'Investment Calculator'!$F$4,'SIP Schedule'!C976,'SIP Schedule'!D976,,1)),"")</f>
        <v/>
      </c>
    </row>
    <row r="977" spans="3:6" x14ac:dyDescent="0.3">
      <c r="C977" s="1" t="str">
        <f>IF(C976&lt;'Investment Calculator'!$C$8*'Investment Calculator'!$F$4,'SIP Schedule'!C976+1,"")</f>
        <v/>
      </c>
      <c r="D977" s="27" t="str">
        <f>IF(C977&lt;='Investment Calculator'!$C$8*'Investment Calculator'!$F$4,'Investment Calculator'!$C$6,"")</f>
        <v/>
      </c>
      <c r="E977" s="27" t="str">
        <f>IFERROR((F976+D977)*'Investment Calculator'!$C$7/'Investment Calculator'!$F$4,"")</f>
        <v/>
      </c>
      <c r="F977" s="27" t="str">
        <f>IFERROR(ABS(FV('Investment Calculator'!$C$7/'Investment Calculator'!$F$4,'SIP Schedule'!C977,'SIP Schedule'!D977,,1)),"")</f>
        <v/>
      </c>
    </row>
    <row r="978" spans="3:6" x14ac:dyDescent="0.3">
      <c r="C978" s="1" t="str">
        <f>IF(C977&lt;'Investment Calculator'!$C$8*'Investment Calculator'!$F$4,'SIP Schedule'!C977+1,"")</f>
        <v/>
      </c>
      <c r="D978" s="27" t="str">
        <f>IF(C978&lt;='Investment Calculator'!$C$8*'Investment Calculator'!$F$4,'Investment Calculator'!$C$6,"")</f>
        <v/>
      </c>
      <c r="E978" s="27" t="str">
        <f>IFERROR((F977+D978)*'Investment Calculator'!$C$7/'Investment Calculator'!$F$4,"")</f>
        <v/>
      </c>
      <c r="F978" s="27" t="str">
        <f>IFERROR(ABS(FV('Investment Calculator'!$C$7/'Investment Calculator'!$F$4,'SIP Schedule'!C978,'SIP Schedule'!D978,,1)),"")</f>
        <v/>
      </c>
    </row>
    <row r="979" spans="3:6" x14ac:dyDescent="0.3">
      <c r="C979" s="1" t="str">
        <f>IF(C978&lt;'Investment Calculator'!$C$8*'Investment Calculator'!$F$4,'SIP Schedule'!C978+1,"")</f>
        <v/>
      </c>
      <c r="D979" s="27" t="str">
        <f>IF(C979&lt;='Investment Calculator'!$C$8*'Investment Calculator'!$F$4,'Investment Calculator'!$C$6,"")</f>
        <v/>
      </c>
      <c r="E979" s="27" t="str">
        <f>IFERROR((F978+D979)*'Investment Calculator'!$C$7/'Investment Calculator'!$F$4,"")</f>
        <v/>
      </c>
      <c r="F979" s="27" t="str">
        <f>IFERROR(ABS(FV('Investment Calculator'!$C$7/'Investment Calculator'!$F$4,'SIP Schedule'!C979,'SIP Schedule'!D979,,1)),"")</f>
        <v/>
      </c>
    </row>
    <row r="980" spans="3:6" x14ac:dyDescent="0.3">
      <c r="C980" s="1" t="str">
        <f>IF(C979&lt;'Investment Calculator'!$C$8*'Investment Calculator'!$F$4,'SIP Schedule'!C979+1,"")</f>
        <v/>
      </c>
      <c r="D980" s="27" t="str">
        <f>IF(C980&lt;='Investment Calculator'!$C$8*'Investment Calculator'!$F$4,'Investment Calculator'!$C$6,"")</f>
        <v/>
      </c>
      <c r="E980" s="27" t="str">
        <f>IFERROR((F979+D980)*'Investment Calculator'!$C$7/'Investment Calculator'!$F$4,"")</f>
        <v/>
      </c>
      <c r="F980" s="27" t="str">
        <f>IFERROR(ABS(FV('Investment Calculator'!$C$7/'Investment Calculator'!$F$4,'SIP Schedule'!C980,'SIP Schedule'!D980,,1)),"")</f>
        <v/>
      </c>
    </row>
    <row r="981" spans="3:6" x14ac:dyDescent="0.3">
      <c r="C981" s="1" t="str">
        <f>IF(C980&lt;'Investment Calculator'!$C$8*'Investment Calculator'!$F$4,'SIP Schedule'!C980+1,"")</f>
        <v/>
      </c>
      <c r="D981" s="27" t="str">
        <f>IF(C981&lt;='Investment Calculator'!$C$8*'Investment Calculator'!$F$4,'Investment Calculator'!$C$6,"")</f>
        <v/>
      </c>
      <c r="E981" s="27" t="str">
        <f>IFERROR((F980+D981)*'Investment Calculator'!$C$7/'Investment Calculator'!$F$4,"")</f>
        <v/>
      </c>
      <c r="F981" s="27" t="str">
        <f>IFERROR(ABS(FV('Investment Calculator'!$C$7/'Investment Calculator'!$F$4,'SIP Schedule'!C981,'SIP Schedule'!D981,,1)),"")</f>
        <v/>
      </c>
    </row>
    <row r="982" spans="3:6" x14ac:dyDescent="0.3">
      <c r="C982" s="1" t="str">
        <f>IF(C981&lt;'Investment Calculator'!$C$8*'Investment Calculator'!$F$4,'SIP Schedule'!C981+1,"")</f>
        <v/>
      </c>
      <c r="D982" s="27" t="str">
        <f>IF(C982&lt;='Investment Calculator'!$C$8*'Investment Calculator'!$F$4,'Investment Calculator'!$C$6,"")</f>
        <v/>
      </c>
      <c r="E982" s="27" t="str">
        <f>IFERROR((F981+D982)*'Investment Calculator'!$C$7/'Investment Calculator'!$F$4,"")</f>
        <v/>
      </c>
      <c r="F982" s="27" t="str">
        <f>IFERROR(ABS(FV('Investment Calculator'!$C$7/'Investment Calculator'!$F$4,'SIP Schedule'!C982,'SIP Schedule'!D982,,1)),"")</f>
        <v/>
      </c>
    </row>
    <row r="983" spans="3:6" x14ac:dyDescent="0.3">
      <c r="C983" s="1" t="str">
        <f>IF(C982&lt;'Investment Calculator'!$C$8*'Investment Calculator'!$F$4,'SIP Schedule'!C982+1,"")</f>
        <v/>
      </c>
      <c r="D983" s="27" t="str">
        <f>IF(C983&lt;='Investment Calculator'!$C$8*'Investment Calculator'!$F$4,'Investment Calculator'!$C$6,"")</f>
        <v/>
      </c>
      <c r="E983" s="27" t="str">
        <f>IFERROR((F982+D983)*'Investment Calculator'!$C$7/'Investment Calculator'!$F$4,"")</f>
        <v/>
      </c>
      <c r="F983" s="27" t="str">
        <f>IFERROR(ABS(FV('Investment Calculator'!$C$7/'Investment Calculator'!$F$4,'SIP Schedule'!C983,'SIP Schedule'!D983,,1)),"")</f>
        <v/>
      </c>
    </row>
    <row r="984" spans="3:6" x14ac:dyDescent="0.3">
      <c r="C984" s="1" t="str">
        <f>IF(C983&lt;'Investment Calculator'!$C$8*'Investment Calculator'!$F$4,'SIP Schedule'!C983+1,"")</f>
        <v/>
      </c>
      <c r="D984" s="27" t="str">
        <f>IF(C984&lt;='Investment Calculator'!$C$8*'Investment Calculator'!$F$4,'Investment Calculator'!$C$6,"")</f>
        <v/>
      </c>
      <c r="E984" s="27" t="str">
        <f>IFERROR((F983+D984)*'Investment Calculator'!$C$7/'Investment Calculator'!$F$4,"")</f>
        <v/>
      </c>
      <c r="F984" s="27" t="str">
        <f>IFERROR(ABS(FV('Investment Calculator'!$C$7/'Investment Calculator'!$F$4,'SIP Schedule'!C984,'SIP Schedule'!D984,,1)),"")</f>
        <v/>
      </c>
    </row>
    <row r="985" spans="3:6" x14ac:dyDescent="0.3">
      <c r="C985" s="1" t="str">
        <f>IF(C984&lt;'Investment Calculator'!$C$8*'Investment Calculator'!$F$4,'SIP Schedule'!C984+1,"")</f>
        <v/>
      </c>
      <c r="D985" s="27" t="str">
        <f>IF(C985&lt;='Investment Calculator'!$C$8*'Investment Calculator'!$F$4,'Investment Calculator'!$C$6,"")</f>
        <v/>
      </c>
      <c r="E985" s="27" t="str">
        <f>IFERROR((F984+D985)*'Investment Calculator'!$C$7/'Investment Calculator'!$F$4,"")</f>
        <v/>
      </c>
      <c r="F985" s="27" t="str">
        <f>IFERROR(ABS(FV('Investment Calculator'!$C$7/'Investment Calculator'!$F$4,'SIP Schedule'!C985,'SIP Schedule'!D985,,1)),"")</f>
        <v/>
      </c>
    </row>
    <row r="986" spans="3:6" x14ac:dyDescent="0.3">
      <c r="C986" s="1" t="str">
        <f>IF(C985&lt;'Investment Calculator'!$C$8*'Investment Calculator'!$F$4,'SIP Schedule'!C985+1,"")</f>
        <v/>
      </c>
      <c r="D986" s="27" t="str">
        <f>IF(C986&lt;='Investment Calculator'!$C$8*'Investment Calculator'!$F$4,'Investment Calculator'!$C$6,"")</f>
        <v/>
      </c>
      <c r="E986" s="27" t="str">
        <f>IFERROR((F985+D986)*'Investment Calculator'!$C$7/'Investment Calculator'!$F$4,"")</f>
        <v/>
      </c>
      <c r="F986" s="27" t="str">
        <f>IFERROR(ABS(FV('Investment Calculator'!$C$7/'Investment Calculator'!$F$4,'SIP Schedule'!C986,'SIP Schedule'!D986,,1)),"")</f>
        <v/>
      </c>
    </row>
    <row r="987" spans="3:6" x14ac:dyDescent="0.3">
      <c r="C987" s="1" t="str">
        <f>IF(C986&lt;'Investment Calculator'!$C$8*'Investment Calculator'!$F$4,'SIP Schedule'!C986+1,"")</f>
        <v/>
      </c>
      <c r="D987" s="27" t="str">
        <f>IF(C987&lt;='Investment Calculator'!$C$8*'Investment Calculator'!$F$4,'Investment Calculator'!$C$6,"")</f>
        <v/>
      </c>
      <c r="E987" s="27" t="str">
        <f>IFERROR((F986+D987)*'Investment Calculator'!$C$7/'Investment Calculator'!$F$4,"")</f>
        <v/>
      </c>
      <c r="F987" s="27" t="str">
        <f>IFERROR(ABS(FV('Investment Calculator'!$C$7/'Investment Calculator'!$F$4,'SIP Schedule'!C987,'SIP Schedule'!D987,,1)),"")</f>
        <v/>
      </c>
    </row>
    <row r="988" spans="3:6" x14ac:dyDescent="0.3">
      <c r="C988" s="1" t="str">
        <f>IF(C987&lt;'Investment Calculator'!$C$8*'Investment Calculator'!$F$4,'SIP Schedule'!C987+1,"")</f>
        <v/>
      </c>
      <c r="D988" s="27" t="str">
        <f>IF(C988&lt;='Investment Calculator'!$C$8*'Investment Calculator'!$F$4,'Investment Calculator'!$C$6,"")</f>
        <v/>
      </c>
      <c r="E988" s="27" t="str">
        <f>IFERROR((F987+D988)*'Investment Calculator'!$C$7/'Investment Calculator'!$F$4,"")</f>
        <v/>
      </c>
      <c r="F988" s="27" t="str">
        <f>IFERROR(ABS(FV('Investment Calculator'!$C$7/'Investment Calculator'!$F$4,'SIP Schedule'!C988,'SIP Schedule'!D988,,1)),"")</f>
        <v/>
      </c>
    </row>
    <row r="989" spans="3:6" x14ac:dyDescent="0.3">
      <c r="C989" s="1" t="str">
        <f>IF(C988&lt;'Investment Calculator'!$C$8*'Investment Calculator'!$F$4,'SIP Schedule'!C988+1,"")</f>
        <v/>
      </c>
      <c r="D989" s="27" t="str">
        <f>IF(C989&lt;='Investment Calculator'!$C$8*'Investment Calculator'!$F$4,'Investment Calculator'!$C$6,"")</f>
        <v/>
      </c>
      <c r="E989" s="27" t="str">
        <f>IFERROR((F988+D989)*'Investment Calculator'!$C$7/'Investment Calculator'!$F$4,"")</f>
        <v/>
      </c>
      <c r="F989" s="27" t="str">
        <f>IFERROR(ABS(FV('Investment Calculator'!$C$7/'Investment Calculator'!$F$4,'SIP Schedule'!C989,'SIP Schedule'!D989,,1)),"")</f>
        <v/>
      </c>
    </row>
    <row r="990" spans="3:6" x14ac:dyDescent="0.3">
      <c r="C990" s="1" t="str">
        <f>IF(C989&lt;'Investment Calculator'!$C$8*'Investment Calculator'!$F$4,'SIP Schedule'!C989+1,"")</f>
        <v/>
      </c>
      <c r="D990" s="27" t="str">
        <f>IF(C990&lt;='Investment Calculator'!$C$8*'Investment Calculator'!$F$4,'Investment Calculator'!$C$6,"")</f>
        <v/>
      </c>
      <c r="E990" s="27" t="str">
        <f>IFERROR((F989+D990)*'Investment Calculator'!$C$7/'Investment Calculator'!$F$4,"")</f>
        <v/>
      </c>
      <c r="F990" s="27" t="str">
        <f>IFERROR(ABS(FV('Investment Calculator'!$C$7/'Investment Calculator'!$F$4,'SIP Schedule'!C990,'SIP Schedule'!D990,,1)),"")</f>
        <v/>
      </c>
    </row>
    <row r="991" spans="3:6" x14ac:dyDescent="0.3">
      <c r="C991" s="1" t="str">
        <f>IF(C990&lt;'Investment Calculator'!$C$8*'Investment Calculator'!$F$4,'SIP Schedule'!C990+1,"")</f>
        <v/>
      </c>
      <c r="D991" s="27" t="str">
        <f>IF(C991&lt;='Investment Calculator'!$C$8*'Investment Calculator'!$F$4,'Investment Calculator'!$C$6,"")</f>
        <v/>
      </c>
      <c r="E991" s="27" t="str">
        <f>IFERROR((F990+D991)*'Investment Calculator'!$C$7/'Investment Calculator'!$F$4,"")</f>
        <v/>
      </c>
      <c r="F991" s="27" t="str">
        <f>IFERROR(ABS(FV('Investment Calculator'!$C$7/'Investment Calculator'!$F$4,'SIP Schedule'!C991,'SIP Schedule'!D991,,1)),"")</f>
        <v/>
      </c>
    </row>
    <row r="992" spans="3:6" x14ac:dyDescent="0.3">
      <c r="C992" s="1" t="str">
        <f>IF(C991&lt;'Investment Calculator'!$C$8*'Investment Calculator'!$F$4,'SIP Schedule'!C991+1,"")</f>
        <v/>
      </c>
      <c r="D992" s="27" t="str">
        <f>IF(C992&lt;='Investment Calculator'!$C$8*'Investment Calculator'!$F$4,'Investment Calculator'!$C$6,"")</f>
        <v/>
      </c>
      <c r="E992" s="27" t="str">
        <f>IFERROR((F991+D992)*'Investment Calculator'!$C$7/'Investment Calculator'!$F$4,"")</f>
        <v/>
      </c>
      <c r="F992" s="27" t="str">
        <f>IFERROR(ABS(FV('Investment Calculator'!$C$7/'Investment Calculator'!$F$4,'SIP Schedule'!C992,'SIP Schedule'!D992,,1)),"")</f>
        <v/>
      </c>
    </row>
    <row r="993" spans="3:6" x14ac:dyDescent="0.3">
      <c r="C993" s="1" t="str">
        <f>IF(C992&lt;'Investment Calculator'!$C$8*'Investment Calculator'!$F$4,'SIP Schedule'!C992+1,"")</f>
        <v/>
      </c>
      <c r="D993" s="27" t="str">
        <f>IF(C993&lt;='Investment Calculator'!$C$8*'Investment Calculator'!$F$4,'Investment Calculator'!$C$6,"")</f>
        <v/>
      </c>
      <c r="E993" s="27" t="str">
        <f>IFERROR((F992+D993)*'Investment Calculator'!$C$7/'Investment Calculator'!$F$4,"")</f>
        <v/>
      </c>
      <c r="F993" s="27" t="str">
        <f>IFERROR(ABS(FV('Investment Calculator'!$C$7/'Investment Calculator'!$F$4,'SIP Schedule'!C993,'SIP Schedule'!D993,,1)),"")</f>
        <v/>
      </c>
    </row>
    <row r="994" spans="3:6" x14ac:dyDescent="0.3">
      <c r="C994" s="1" t="str">
        <f>IF(C993&lt;'Investment Calculator'!$C$8*'Investment Calculator'!$F$4,'SIP Schedule'!C993+1,"")</f>
        <v/>
      </c>
      <c r="D994" s="27" t="str">
        <f>IF(C994&lt;='Investment Calculator'!$C$8*'Investment Calculator'!$F$4,'Investment Calculator'!$C$6,"")</f>
        <v/>
      </c>
      <c r="E994" s="27" t="str">
        <f>IFERROR((F993+D994)*'Investment Calculator'!$C$7/'Investment Calculator'!$F$4,"")</f>
        <v/>
      </c>
      <c r="F994" s="27" t="str">
        <f>IFERROR(ABS(FV('Investment Calculator'!$C$7/'Investment Calculator'!$F$4,'SIP Schedule'!C994,'SIP Schedule'!D994,,1)),"")</f>
        <v/>
      </c>
    </row>
    <row r="995" spans="3:6" x14ac:dyDescent="0.3">
      <c r="C995" s="1" t="str">
        <f>IF(C994&lt;'Investment Calculator'!$C$8*'Investment Calculator'!$F$4,'SIP Schedule'!C994+1,"")</f>
        <v/>
      </c>
      <c r="D995" s="27" t="str">
        <f>IF(C995&lt;='Investment Calculator'!$C$8*'Investment Calculator'!$F$4,'Investment Calculator'!$C$6,"")</f>
        <v/>
      </c>
      <c r="E995" s="27" t="str">
        <f>IFERROR((F994+D995)*'Investment Calculator'!$C$7/'Investment Calculator'!$F$4,"")</f>
        <v/>
      </c>
      <c r="F995" s="27" t="str">
        <f>IFERROR(ABS(FV('Investment Calculator'!$C$7/'Investment Calculator'!$F$4,'SIP Schedule'!C995,'SIP Schedule'!D995,,1)),"")</f>
        <v/>
      </c>
    </row>
    <row r="996" spans="3:6" x14ac:dyDescent="0.3">
      <c r="C996" s="1" t="str">
        <f>IF(C995&lt;'Investment Calculator'!$C$8*'Investment Calculator'!$F$4,'SIP Schedule'!C995+1,"")</f>
        <v/>
      </c>
      <c r="D996" s="27" t="str">
        <f>IF(C996&lt;='Investment Calculator'!$C$8*'Investment Calculator'!$F$4,'Investment Calculator'!$C$6,"")</f>
        <v/>
      </c>
      <c r="E996" s="27" t="str">
        <f>IFERROR((F995+D996)*'Investment Calculator'!$C$7/'Investment Calculator'!$F$4,"")</f>
        <v/>
      </c>
      <c r="F996" s="27" t="str">
        <f>IFERROR(ABS(FV('Investment Calculator'!$C$7/'Investment Calculator'!$F$4,'SIP Schedule'!C996,'SIP Schedule'!D996,,1)),"")</f>
        <v/>
      </c>
    </row>
    <row r="997" spans="3:6" x14ac:dyDescent="0.3">
      <c r="C997" s="1" t="str">
        <f>IF(C996&lt;'Investment Calculator'!$C$8*'Investment Calculator'!$F$4,'SIP Schedule'!C996+1,"")</f>
        <v/>
      </c>
      <c r="D997" s="27" t="str">
        <f>IF(C997&lt;='Investment Calculator'!$C$8*'Investment Calculator'!$F$4,'Investment Calculator'!$C$6,"")</f>
        <v/>
      </c>
      <c r="E997" s="27" t="str">
        <f>IFERROR((F996+D997)*'Investment Calculator'!$C$7/'Investment Calculator'!$F$4,"")</f>
        <v/>
      </c>
      <c r="F997" s="27" t="str">
        <f>IFERROR(ABS(FV('Investment Calculator'!$C$7/'Investment Calculator'!$F$4,'SIP Schedule'!C997,'SIP Schedule'!D997,,1)),"")</f>
        <v/>
      </c>
    </row>
    <row r="998" spans="3:6" x14ac:dyDescent="0.3">
      <c r="C998" s="1" t="str">
        <f>IF(C997&lt;'Investment Calculator'!$C$8*'Investment Calculator'!$F$4,'SIP Schedule'!C997+1,"")</f>
        <v/>
      </c>
      <c r="D998" s="27" t="str">
        <f>IF(C998&lt;='Investment Calculator'!$C$8*'Investment Calculator'!$F$4,'Investment Calculator'!$C$6,"")</f>
        <v/>
      </c>
      <c r="E998" s="27" t="str">
        <f>IFERROR((F997+D998)*'Investment Calculator'!$C$7/'Investment Calculator'!$F$4,"")</f>
        <v/>
      </c>
      <c r="F998" s="27" t="str">
        <f>IFERROR(ABS(FV('Investment Calculator'!$C$7/'Investment Calculator'!$F$4,'SIP Schedule'!C998,'SIP Schedule'!D998,,1)),"")</f>
        <v/>
      </c>
    </row>
    <row r="999" spans="3:6" x14ac:dyDescent="0.3">
      <c r="C999" s="1" t="str">
        <f>IF(C998&lt;'Investment Calculator'!$C$8*'Investment Calculator'!$F$4,'SIP Schedule'!C998+1,"")</f>
        <v/>
      </c>
      <c r="D999" s="27" t="str">
        <f>IF(C999&lt;='Investment Calculator'!$C$8*'Investment Calculator'!$F$4,'Investment Calculator'!$C$6,"")</f>
        <v/>
      </c>
      <c r="E999" s="27" t="str">
        <f>IFERROR((F998+D999)*'Investment Calculator'!$C$7/'Investment Calculator'!$F$4,"")</f>
        <v/>
      </c>
      <c r="F999" s="27" t="str">
        <f>IFERROR(ABS(FV('Investment Calculator'!$C$7/'Investment Calculator'!$F$4,'SIP Schedule'!C999,'SIP Schedule'!D999,,1)),"")</f>
        <v/>
      </c>
    </row>
    <row r="1000" spans="3:6" x14ac:dyDescent="0.3">
      <c r="C1000" s="1" t="str">
        <f>IF(C999&lt;'Investment Calculator'!$C$8*'Investment Calculator'!$F$4,'SIP Schedule'!C999+1,"")</f>
        <v/>
      </c>
      <c r="D1000" s="27" t="str">
        <f>IF(C1000&lt;='Investment Calculator'!$C$8*'Investment Calculator'!$F$4,'Investment Calculator'!$C$6,"")</f>
        <v/>
      </c>
      <c r="E1000" s="27" t="str">
        <f>IFERROR((F999+D1000)*'Investment Calculator'!$C$7/'Investment Calculator'!$F$4,"")</f>
        <v/>
      </c>
      <c r="F1000" s="27" t="str">
        <f>IFERROR(ABS(FV('Investment Calculator'!$C$7/'Investment Calculator'!$F$4,'SIP Schedule'!C1000,'SIP Schedule'!D1000,,1)),"")</f>
        <v/>
      </c>
    </row>
    <row r="1001" spans="3:6" x14ac:dyDescent="0.3">
      <c r="C1001" s="1" t="str">
        <f>IF(C1000&lt;'Investment Calculator'!$C$8*'Investment Calculator'!$F$4,'SIP Schedule'!C1000+1,"")</f>
        <v/>
      </c>
      <c r="D1001" s="27" t="str">
        <f>IF(C1001&lt;='Investment Calculator'!$C$8*'Investment Calculator'!$F$4,'Investment Calculator'!$C$6,"")</f>
        <v/>
      </c>
      <c r="E1001" s="27" t="str">
        <f>IFERROR((F1000+D1001)*'Investment Calculator'!$C$7/'Investment Calculator'!$F$4,"")</f>
        <v/>
      </c>
      <c r="F1001" s="27" t="str">
        <f>IFERROR(ABS(FV('Investment Calculator'!$C$7/'Investment Calculator'!$F$4,'SIP Schedule'!C1001,'SIP Schedule'!D1001,,1)),"")</f>
        <v/>
      </c>
    </row>
    <row r="1002" spans="3:6" x14ac:dyDescent="0.3">
      <c r="C1002" s="1" t="str">
        <f>IF(C1001&lt;'Investment Calculator'!$C$8*'Investment Calculator'!$F$4,'SIP Schedule'!C1001+1,"")</f>
        <v/>
      </c>
      <c r="D1002" s="27" t="str">
        <f>IF(C1002&lt;='Investment Calculator'!$C$8*'Investment Calculator'!$F$4,'Investment Calculator'!$C$6,"")</f>
        <v/>
      </c>
      <c r="E1002" s="27" t="str">
        <f>IFERROR((F1001+D1002)*'Investment Calculator'!$C$7/'Investment Calculator'!$F$4,"")</f>
        <v/>
      </c>
      <c r="F1002" s="27" t="str">
        <f>IFERROR(ABS(FV('Investment Calculator'!$C$7/'Investment Calculator'!$F$4,'SIP Schedule'!C1002,'SIP Schedule'!D1002,,1)),"")</f>
        <v/>
      </c>
    </row>
    <row r="1003" spans="3:6" x14ac:dyDescent="0.3">
      <c r="C1003" s="1" t="str">
        <f>IF(C1002&lt;'Investment Calculator'!$C$8*'Investment Calculator'!$F$4,'SIP Schedule'!C1002+1,"")</f>
        <v/>
      </c>
      <c r="D1003" s="27" t="str">
        <f>IF(C1003&lt;='Investment Calculator'!$C$8*'Investment Calculator'!$F$4,'Investment Calculator'!$C$6,"")</f>
        <v/>
      </c>
      <c r="E1003" s="27" t="str">
        <f>IFERROR((F1002+D1003)*'Investment Calculator'!$C$7/'Investment Calculator'!$F$4,"")</f>
        <v/>
      </c>
      <c r="F1003" s="27" t="str">
        <f>IFERROR(ABS(FV('Investment Calculator'!$C$7/'Investment Calculator'!$F$4,'SIP Schedule'!C1003,'SIP Schedule'!D1003,,1)),"")</f>
        <v/>
      </c>
    </row>
    <row r="1004" spans="3:6" x14ac:dyDescent="0.3">
      <c r="C1004" s="1" t="str">
        <f>IF(C1003&lt;'Investment Calculator'!$C$8*'Investment Calculator'!$F$4,'SIP Schedule'!C1003+1,"")</f>
        <v/>
      </c>
      <c r="D1004" s="27" t="str">
        <f>IF(C1004&lt;='Investment Calculator'!$C$8*'Investment Calculator'!$F$4,'Investment Calculator'!$C$6,"")</f>
        <v/>
      </c>
      <c r="E1004" s="27" t="str">
        <f>IFERROR((F1003+D1004)*'Investment Calculator'!$C$7/'Investment Calculator'!$F$4,"")</f>
        <v/>
      </c>
      <c r="F1004" s="27" t="str">
        <f>IFERROR(ABS(FV('Investment Calculator'!$C$7/'Investment Calculator'!$F$4,'SIP Schedule'!C1004,'SIP Schedule'!D1004,,1)),"")</f>
        <v/>
      </c>
    </row>
    <row r="1005" spans="3:6" x14ac:dyDescent="0.3">
      <c r="C1005" s="1" t="str">
        <f>IF(C1004&lt;'Investment Calculator'!$C$8*'Investment Calculator'!$F$4,'SIP Schedule'!C1004+1,"")</f>
        <v/>
      </c>
      <c r="D1005" s="27" t="str">
        <f>IF(C1005&lt;='Investment Calculator'!$C$8*'Investment Calculator'!$F$4,'Investment Calculator'!$C$6,"")</f>
        <v/>
      </c>
      <c r="E1005" s="27" t="str">
        <f>IFERROR((F1004+D1005)*'Investment Calculator'!$C$7/'Investment Calculator'!$F$4,"")</f>
        <v/>
      </c>
      <c r="F1005" s="27" t="str">
        <f>IFERROR(ABS(FV('Investment Calculator'!$C$7/'Investment Calculator'!$F$4,'SIP Schedule'!C1005,'SIP Schedule'!D1005,,1)),"")</f>
        <v/>
      </c>
    </row>
    <row r="1006" spans="3:6" x14ac:dyDescent="0.3">
      <c r="C1006" s="1" t="str">
        <f>IF(C1005&lt;'Investment Calculator'!$C$8*'Investment Calculator'!$F$4,'SIP Schedule'!C1005+1,"")</f>
        <v/>
      </c>
      <c r="D1006" s="27" t="str">
        <f>IF(C1006&lt;='Investment Calculator'!$C$8*'Investment Calculator'!$F$4,'Investment Calculator'!$C$6,"")</f>
        <v/>
      </c>
      <c r="E1006" s="27" t="str">
        <f>IFERROR((F1005+D1006)*'Investment Calculator'!$C$7/'Investment Calculator'!$F$4,"")</f>
        <v/>
      </c>
      <c r="F1006" s="27" t="str">
        <f>IFERROR(ABS(FV('Investment Calculator'!$C$7/'Investment Calculator'!$F$4,'SIP Schedule'!C1006,'SIP Schedule'!D1006,,1)),"")</f>
        <v/>
      </c>
    </row>
    <row r="1007" spans="3:6" x14ac:dyDescent="0.3">
      <c r="C1007" s="1" t="str">
        <f>IF(C1006&lt;'Investment Calculator'!$C$8*'Investment Calculator'!$F$4,'SIP Schedule'!C1006+1,"")</f>
        <v/>
      </c>
      <c r="D1007" s="27" t="str">
        <f>IF(C1007&lt;='Investment Calculator'!$C$8*'Investment Calculator'!$F$4,'Investment Calculator'!$C$6,"")</f>
        <v/>
      </c>
      <c r="E1007" s="27" t="str">
        <f>IFERROR((F1006+D1007)*'Investment Calculator'!$C$7/'Investment Calculator'!$F$4,"")</f>
        <v/>
      </c>
      <c r="F1007" s="27" t="str">
        <f>IFERROR(ABS(FV('Investment Calculator'!$C$7/'Investment Calculator'!$F$4,'SIP Schedule'!C1007,'SIP Schedule'!D1007,,1)),"")</f>
        <v/>
      </c>
    </row>
    <row r="1008" spans="3:6" x14ac:dyDescent="0.3">
      <c r="C1008" s="1" t="str">
        <f>IF(C1007&lt;'Investment Calculator'!$C$8*'Investment Calculator'!$F$4,'SIP Schedule'!C1007+1,"")</f>
        <v/>
      </c>
      <c r="D1008" s="27" t="str">
        <f>IF(C1008&lt;='Investment Calculator'!$C$8*'Investment Calculator'!$F$4,'Investment Calculator'!$C$6,"")</f>
        <v/>
      </c>
      <c r="E1008" s="27" t="str">
        <f>IFERROR((F1007+D1008)*'Investment Calculator'!$C$7/'Investment Calculator'!$F$4,"")</f>
        <v/>
      </c>
      <c r="F1008" s="27" t="str">
        <f>IFERROR(ABS(FV('Investment Calculator'!$C$7/'Investment Calculator'!$F$4,'SIP Schedule'!C1008,'SIP Schedule'!D1008,,1)),"")</f>
        <v/>
      </c>
    </row>
    <row r="1009" spans="3:6" x14ac:dyDescent="0.3">
      <c r="C1009" s="1" t="str">
        <f>IF(C1008&lt;'Investment Calculator'!$C$8*'Investment Calculator'!$F$4,'SIP Schedule'!C1008+1,"")</f>
        <v/>
      </c>
      <c r="D1009" s="27" t="str">
        <f>IF(C1009&lt;='Investment Calculator'!$C$8*'Investment Calculator'!$F$4,'Investment Calculator'!$C$6,"")</f>
        <v/>
      </c>
      <c r="E1009" s="27" t="str">
        <f>IFERROR((F1008+D1009)*'Investment Calculator'!$C$7/'Investment Calculator'!$F$4,"")</f>
        <v/>
      </c>
      <c r="F1009" s="27" t="str">
        <f>IFERROR(ABS(FV('Investment Calculator'!$C$7/'Investment Calculator'!$F$4,'SIP Schedule'!C1009,'SIP Schedule'!D1009,,1)),"")</f>
        <v/>
      </c>
    </row>
    <row r="1010" spans="3:6" x14ac:dyDescent="0.3">
      <c r="C1010" s="1" t="str">
        <f>IF(C1009&lt;'Investment Calculator'!$C$8*'Investment Calculator'!$F$4,'SIP Schedule'!C1009+1,"")</f>
        <v/>
      </c>
      <c r="D1010" s="27" t="str">
        <f>IF(C1010&lt;='Investment Calculator'!$C$8*'Investment Calculator'!$F$4,'Investment Calculator'!$C$6,"")</f>
        <v/>
      </c>
      <c r="E1010" s="27" t="str">
        <f>IFERROR((F1009+D1010)*'Investment Calculator'!$C$7/'Investment Calculator'!$F$4,"")</f>
        <v/>
      </c>
      <c r="F1010" s="27" t="str">
        <f>IFERROR(ABS(FV('Investment Calculator'!$C$7/'Investment Calculator'!$F$4,'SIP Schedule'!C1010,'SIP Schedule'!D1010,,1)),"")</f>
        <v/>
      </c>
    </row>
    <row r="1011" spans="3:6" x14ac:dyDescent="0.3">
      <c r="C1011" s="1" t="str">
        <f>IF(C1010&lt;'Investment Calculator'!$C$8*'Investment Calculator'!$F$4,'SIP Schedule'!C1010+1,"")</f>
        <v/>
      </c>
      <c r="D1011" s="27" t="str">
        <f>IF(C1011&lt;='Investment Calculator'!$C$8*'Investment Calculator'!$F$4,'Investment Calculator'!$C$6,"")</f>
        <v/>
      </c>
      <c r="E1011" s="27" t="str">
        <f>IFERROR((F1010+D1011)*'Investment Calculator'!$C$7/'Investment Calculator'!$F$4,"")</f>
        <v/>
      </c>
      <c r="F1011" s="27" t="str">
        <f>IFERROR(ABS(FV('Investment Calculator'!$C$7/'Investment Calculator'!$F$4,'SIP Schedule'!C1011,'SIP Schedule'!D1011,,1)),"")</f>
        <v/>
      </c>
    </row>
    <row r="1012" spans="3:6" x14ac:dyDescent="0.3">
      <c r="C1012" s="1" t="str">
        <f>IF(C1011&lt;'Investment Calculator'!$C$8*'Investment Calculator'!$F$4,'SIP Schedule'!C1011+1,"")</f>
        <v/>
      </c>
      <c r="D1012" s="27" t="str">
        <f>IF(C1012&lt;='Investment Calculator'!$C$8*'Investment Calculator'!$F$4,'Investment Calculator'!$C$6,"")</f>
        <v/>
      </c>
      <c r="E1012" s="27" t="str">
        <f>IFERROR((F1011+D1012)*'Investment Calculator'!$C$7/'Investment Calculator'!$F$4,"")</f>
        <v/>
      </c>
      <c r="F1012" s="27" t="str">
        <f>IFERROR(ABS(FV('Investment Calculator'!$C$7/'Investment Calculator'!$F$4,'SIP Schedule'!C1012,'SIP Schedule'!D1012,,1)),"")</f>
        <v/>
      </c>
    </row>
    <row r="1013" spans="3:6" x14ac:dyDescent="0.3">
      <c r="C1013" s="1" t="str">
        <f>IF(C1012&lt;'Investment Calculator'!$C$8*'Investment Calculator'!$F$4,'SIP Schedule'!C1012+1,"")</f>
        <v/>
      </c>
      <c r="D1013" s="27" t="str">
        <f>IF(C1013&lt;='Investment Calculator'!$C$8*'Investment Calculator'!$F$4,'Investment Calculator'!$C$6,"")</f>
        <v/>
      </c>
      <c r="E1013" s="27" t="str">
        <f>IFERROR((F1012+D1013)*'Investment Calculator'!$C$7/'Investment Calculator'!$F$4,"")</f>
        <v/>
      </c>
      <c r="F1013" s="27" t="str">
        <f>IFERROR(ABS(FV('Investment Calculator'!$C$7/'Investment Calculator'!$F$4,'SIP Schedule'!C1013,'SIP Schedule'!D1013,,1)),"")</f>
        <v/>
      </c>
    </row>
    <row r="1014" spans="3:6" x14ac:dyDescent="0.3">
      <c r="C1014" s="1" t="str">
        <f>IF(C1013&lt;'Investment Calculator'!$C$8*'Investment Calculator'!$F$4,'SIP Schedule'!C1013+1,"")</f>
        <v/>
      </c>
      <c r="D1014" s="27" t="str">
        <f>IF(C1014&lt;='Investment Calculator'!$C$8*'Investment Calculator'!$F$4,'Investment Calculator'!$C$6,"")</f>
        <v/>
      </c>
      <c r="E1014" s="27" t="str">
        <f>IFERROR((F1013+D1014)*'Investment Calculator'!$C$7/'Investment Calculator'!$F$4,"")</f>
        <v/>
      </c>
      <c r="F1014" s="27" t="str">
        <f>IFERROR(ABS(FV('Investment Calculator'!$C$7/'Investment Calculator'!$F$4,'SIP Schedule'!C1014,'SIP Schedule'!D1014,,1)),"")</f>
        <v/>
      </c>
    </row>
    <row r="1015" spans="3:6" x14ac:dyDescent="0.3">
      <c r="C1015" s="1" t="str">
        <f>IF(C1014&lt;'Investment Calculator'!$C$8*'Investment Calculator'!$F$4,'SIP Schedule'!C1014+1,"")</f>
        <v/>
      </c>
      <c r="D1015" s="27" t="str">
        <f>IF(C1015&lt;='Investment Calculator'!$C$8*'Investment Calculator'!$F$4,'Investment Calculator'!$C$6,"")</f>
        <v/>
      </c>
      <c r="E1015" s="27" t="str">
        <f>IFERROR((F1014+D1015)*'Investment Calculator'!$C$7/'Investment Calculator'!$F$4,"")</f>
        <v/>
      </c>
      <c r="F1015" s="27" t="str">
        <f>IFERROR(ABS(FV('Investment Calculator'!$C$7/'Investment Calculator'!$F$4,'SIP Schedule'!C1015,'SIP Schedule'!D1015,,1)),"")</f>
        <v/>
      </c>
    </row>
    <row r="1016" spans="3:6" x14ac:dyDescent="0.3">
      <c r="C1016" s="1" t="str">
        <f>IF(C1015&lt;'Investment Calculator'!$C$8*'Investment Calculator'!$F$4,'SIP Schedule'!C1015+1,"")</f>
        <v/>
      </c>
      <c r="D1016" s="27" t="str">
        <f>IF(C1016&lt;='Investment Calculator'!$C$8*'Investment Calculator'!$F$4,'Investment Calculator'!$C$6,"")</f>
        <v/>
      </c>
      <c r="E1016" s="27" t="str">
        <f>IFERROR((F1015+D1016)*'Investment Calculator'!$C$7/'Investment Calculator'!$F$4,"")</f>
        <v/>
      </c>
      <c r="F1016" s="27" t="str">
        <f>IFERROR(ABS(FV('Investment Calculator'!$C$7/'Investment Calculator'!$F$4,'SIP Schedule'!C1016,'SIP Schedule'!D1016,,1)),"")</f>
        <v/>
      </c>
    </row>
    <row r="1017" spans="3:6" x14ac:dyDescent="0.3">
      <c r="C1017" s="1" t="str">
        <f>IF(C1016&lt;'Investment Calculator'!$C$8*'Investment Calculator'!$F$4,'SIP Schedule'!C1016+1,"")</f>
        <v/>
      </c>
      <c r="D1017" s="27" t="str">
        <f>IF(C1017&lt;='Investment Calculator'!$C$8*'Investment Calculator'!$F$4,'Investment Calculator'!$C$6,"")</f>
        <v/>
      </c>
      <c r="E1017" s="27" t="str">
        <f>IFERROR((F1016+D1017)*'Investment Calculator'!$C$7/'Investment Calculator'!$F$4,"")</f>
        <v/>
      </c>
      <c r="F1017" s="27" t="str">
        <f>IFERROR(ABS(FV('Investment Calculator'!$C$7/'Investment Calculator'!$F$4,'SIP Schedule'!C1017,'SIP Schedule'!D1017,,1)),"")</f>
        <v/>
      </c>
    </row>
    <row r="1018" spans="3:6" x14ac:dyDescent="0.3">
      <c r="C1018" s="1" t="str">
        <f>IF(C1017&lt;'Investment Calculator'!$C$8*'Investment Calculator'!$F$4,'SIP Schedule'!C1017+1,"")</f>
        <v/>
      </c>
      <c r="D1018" s="27" t="str">
        <f>IF(C1018&lt;='Investment Calculator'!$C$8*'Investment Calculator'!$F$4,'Investment Calculator'!$C$6,"")</f>
        <v/>
      </c>
      <c r="E1018" s="27" t="str">
        <f>IFERROR((F1017+D1018)*'Investment Calculator'!$C$7/'Investment Calculator'!$F$4,"")</f>
        <v/>
      </c>
      <c r="F1018" s="27" t="str">
        <f>IFERROR(ABS(FV('Investment Calculator'!$C$7/'Investment Calculator'!$F$4,'SIP Schedule'!C1018,'SIP Schedule'!D1018,,1)),"")</f>
        <v/>
      </c>
    </row>
    <row r="1019" spans="3:6" x14ac:dyDescent="0.3">
      <c r="C1019" s="1" t="str">
        <f>IF(C1018&lt;'Investment Calculator'!$C$8*'Investment Calculator'!$F$4,'SIP Schedule'!C1018+1,"")</f>
        <v/>
      </c>
      <c r="D1019" s="27" t="str">
        <f>IF(C1019&lt;='Investment Calculator'!$C$8*'Investment Calculator'!$F$4,'Investment Calculator'!$C$6,"")</f>
        <v/>
      </c>
      <c r="E1019" s="27" t="str">
        <f>IFERROR((F1018+D1019)*'Investment Calculator'!$C$7/'Investment Calculator'!$F$4,"")</f>
        <v/>
      </c>
      <c r="F1019" s="27" t="str">
        <f>IFERROR(ABS(FV('Investment Calculator'!$C$7/'Investment Calculator'!$F$4,'SIP Schedule'!C1019,'SIP Schedule'!D1019,,1)),"")</f>
        <v/>
      </c>
    </row>
    <row r="1020" spans="3:6" x14ac:dyDescent="0.3">
      <c r="C1020" s="1" t="str">
        <f>IF(C1019&lt;'Investment Calculator'!$C$8*'Investment Calculator'!$F$4,'SIP Schedule'!C1019+1,"")</f>
        <v/>
      </c>
      <c r="D1020" s="27" t="str">
        <f>IF(C1020&lt;='Investment Calculator'!$C$8*'Investment Calculator'!$F$4,'Investment Calculator'!$C$6,"")</f>
        <v/>
      </c>
      <c r="E1020" s="27" t="str">
        <f>IFERROR((F1019+D1020)*'Investment Calculator'!$C$7/'Investment Calculator'!$F$4,"")</f>
        <v/>
      </c>
      <c r="F1020" s="27" t="str">
        <f>IFERROR(ABS(FV('Investment Calculator'!$C$7/'Investment Calculator'!$F$4,'SIP Schedule'!C1020,'SIP Schedule'!D1020,,1)),"")</f>
        <v/>
      </c>
    </row>
    <row r="1021" spans="3:6" x14ac:dyDescent="0.3">
      <c r="C1021" s="1" t="str">
        <f>IF(C1020&lt;'Investment Calculator'!$C$8*'Investment Calculator'!$F$4,'SIP Schedule'!C1020+1,"")</f>
        <v/>
      </c>
      <c r="D1021" s="27" t="str">
        <f>IF(C1021&lt;='Investment Calculator'!$C$8*'Investment Calculator'!$F$4,'Investment Calculator'!$C$6,"")</f>
        <v/>
      </c>
      <c r="E1021" s="27" t="str">
        <f>IFERROR((F1020+D1021)*'Investment Calculator'!$C$7/'Investment Calculator'!$F$4,"")</f>
        <v/>
      </c>
      <c r="F1021" s="27" t="str">
        <f>IFERROR(ABS(FV('Investment Calculator'!$C$7/'Investment Calculator'!$F$4,'SIP Schedule'!C1021,'SIP Schedule'!D1021,,1)),"")</f>
        <v/>
      </c>
    </row>
    <row r="1022" spans="3:6" x14ac:dyDescent="0.3">
      <c r="C1022" s="1" t="str">
        <f>IF(C1021&lt;'Investment Calculator'!$C$8*'Investment Calculator'!$F$4,'SIP Schedule'!C1021+1,"")</f>
        <v/>
      </c>
      <c r="D1022" s="27" t="str">
        <f>IF(C1022&lt;='Investment Calculator'!$C$8*'Investment Calculator'!$F$4,'Investment Calculator'!$C$6,"")</f>
        <v/>
      </c>
      <c r="E1022" s="27" t="str">
        <f>IFERROR((F1021+D1022)*'Investment Calculator'!$C$7/'Investment Calculator'!$F$4,"")</f>
        <v/>
      </c>
      <c r="F1022" s="27" t="str">
        <f>IFERROR(ABS(FV('Investment Calculator'!$C$7/'Investment Calculator'!$F$4,'SIP Schedule'!C1022,'SIP Schedule'!D1022,,1)),"")</f>
        <v/>
      </c>
    </row>
    <row r="1023" spans="3:6" x14ac:dyDescent="0.3">
      <c r="C1023" s="1" t="str">
        <f>IF(C1022&lt;'Investment Calculator'!$C$8*'Investment Calculator'!$F$4,'SIP Schedule'!C1022+1,"")</f>
        <v/>
      </c>
      <c r="D1023" s="27" t="str">
        <f>IF(C1023&lt;='Investment Calculator'!$C$8*'Investment Calculator'!$F$4,'Investment Calculator'!$C$6,"")</f>
        <v/>
      </c>
      <c r="E1023" s="27" t="str">
        <f>IFERROR((F1022+D1023)*'Investment Calculator'!$C$7/'Investment Calculator'!$F$4,"")</f>
        <v/>
      </c>
      <c r="F1023" s="27" t="str">
        <f>IFERROR(ABS(FV('Investment Calculator'!$C$7/'Investment Calculator'!$F$4,'SIP Schedule'!C1023,'SIP Schedule'!D1023,,1)),"")</f>
        <v/>
      </c>
    </row>
    <row r="1024" spans="3:6" x14ac:dyDescent="0.3">
      <c r="C1024" s="1" t="str">
        <f>IF(C1023&lt;'Investment Calculator'!$C$8*'Investment Calculator'!$F$4,'SIP Schedule'!C1023+1,"")</f>
        <v/>
      </c>
      <c r="D1024" s="27" t="str">
        <f>IF(C1024&lt;='Investment Calculator'!$C$8*'Investment Calculator'!$F$4,'Investment Calculator'!$C$6,"")</f>
        <v/>
      </c>
      <c r="E1024" s="27" t="str">
        <f>IFERROR((F1023+D1024)*'Investment Calculator'!$C$7/'Investment Calculator'!$F$4,"")</f>
        <v/>
      </c>
      <c r="F1024" s="27" t="str">
        <f>IFERROR(ABS(FV('Investment Calculator'!$C$7/'Investment Calculator'!$F$4,'SIP Schedule'!C1024,'SIP Schedule'!D1024,,1)),"")</f>
        <v/>
      </c>
    </row>
    <row r="1025" spans="3:6" x14ac:dyDescent="0.3">
      <c r="C1025" s="1" t="str">
        <f>IF(C1024&lt;'Investment Calculator'!$C$8*'Investment Calculator'!$F$4,'SIP Schedule'!C1024+1,"")</f>
        <v/>
      </c>
      <c r="D1025" s="27" t="str">
        <f>IF(C1025&lt;='Investment Calculator'!$C$8*'Investment Calculator'!$F$4,'Investment Calculator'!$C$6,"")</f>
        <v/>
      </c>
      <c r="E1025" s="27" t="str">
        <f>IFERROR((F1024+D1025)*'Investment Calculator'!$C$7/'Investment Calculator'!$F$4,"")</f>
        <v/>
      </c>
      <c r="F1025" s="27" t="str">
        <f>IFERROR(ABS(FV('Investment Calculator'!$C$7/'Investment Calculator'!$F$4,'SIP Schedule'!C1025,'SIP Schedule'!D1025,,1)),"")</f>
        <v/>
      </c>
    </row>
    <row r="1026" spans="3:6" x14ac:dyDescent="0.3">
      <c r="C1026" s="1" t="str">
        <f>IF(C1025&lt;'Investment Calculator'!$C$8*'Investment Calculator'!$F$4,'SIP Schedule'!C1025+1,"")</f>
        <v/>
      </c>
      <c r="D1026" s="27" t="str">
        <f>IF(C1026&lt;='Investment Calculator'!$C$8*'Investment Calculator'!$F$4,'Investment Calculator'!$C$6,"")</f>
        <v/>
      </c>
      <c r="E1026" s="27" t="str">
        <f>IFERROR((F1025+D1026)*'Investment Calculator'!$C$7/'Investment Calculator'!$F$4,"")</f>
        <v/>
      </c>
      <c r="F1026" s="27" t="str">
        <f>IFERROR(ABS(FV('Investment Calculator'!$C$7/'Investment Calculator'!$F$4,'SIP Schedule'!C1026,'SIP Schedule'!D1026,,1)),"")</f>
        <v/>
      </c>
    </row>
    <row r="1027" spans="3:6" x14ac:dyDescent="0.3">
      <c r="C1027" s="1" t="str">
        <f>IF(C1026&lt;'Investment Calculator'!$C$8*'Investment Calculator'!$F$4,'SIP Schedule'!C1026+1,"")</f>
        <v/>
      </c>
      <c r="D1027" s="27" t="str">
        <f>IF(C1027&lt;='Investment Calculator'!$C$8*'Investment Calculator'!$F$4,'Investment Calculator'!$C$6,"")</f>
        <v/>
      </c>
      <c r="E1027" s="27" t="str">
        <f>IFERROR((F1026+D1027)*'Investment Calculator'!$C$7/'Investment Calculator'!$F$4,"")</f>
        <v/>
      </c>
      <c r="F1027" s="27" t="str">
        <f>IFERROR(ABS(FV('Investment Calculator'!$C$7/'Investment Calculator'!$F$4,'SIP Schedule'!C1027,'SIP Schedule'!D1027,,1)),"")</f>
        <v/>
      </c>
    </row>
    <row r="1028" spans="3:6" x14ac:dyDescent="0.3">
      <c r="C1028" s="1" t="str">
        <f>IF(C1027&lt;'Investment Calculator'!$C$8*'Investment Calculator'!$F$4,'SIP Schedule'!C1027+1,"")</f>
        <v/>
      </c>
      <c r="D1028" s="27" t="str">
        <f>IF(C1028&lt;='Investment Calculator'!$C$8*'Investment Calculator'!$F$4,'Investment Calculator'!$C$6,"")</f>
        <v/>
      </c>
      <c r="E1028" s="27" t="str">
        <f>IFERROR((F1027+D1028)*'Investment Calculator'!$C$7/'Investment Calculator'!$F$4,"")</f>
        <v/>
      </c>
      <c r="F1028" s="27" t="str">
        <f>IFERROR(ABS(FV('Investment Calculator'!$C$7/'Investment Calculator'!$F$4,'SIP Schedule'!C1028,'SIP Schedule'!D1028,,1)),"")</f>
        <v/>
      </c>
    </row>
    <row r="1029" spans="3:6" x14ac:dyDescent="0.3">
      <c r="C1029" s="1" t="str">
        <f>IF(C1028&lt;'Investment Calculator'!$C$8*'Investment Calculator'!$F$4,'SIP Schedule'!C1028+1,"")</f>
        <v/>
      </c>
      <c r="D1029" s="27" t="str">
        <f>IF(C1029&lt;='Investment Calculator'!$C$8*'Investment Calculator'!$F$4,'Investment Calculator'!$C$6,"")</f>
        <v/>
      </c>
      <c r="E1029" s="27" t="str">
        <f>IFERROR((F1028+D1029)*'Investment Calculator'!$C$7/'Investment Calculator'!$F$4,"")</f>
        <v/>
      </c>
      <c r="F1029" s="27" t="str">
        <f>IFERROR(ABS(FV('Investment Calculator'!$C$7/'Investment Calculator'!$F$4,'SIP Schedule'!C1029,'SIP Schedule'!D1029,,1)),"")</f>
        <v/>
      </c>
    </row>
    <row r="1030" spans="3:6" x14ac:dyDescent="0.3">
      <c r="C1030" s="1" t="str">
        <f>IF(C1029&lt;'Investment Calculator'!$C$8*'Investment Calculator'!$F$4,'SIP Schedule'!C1029+1,"")</f>
        <v/>
      </c>
      <c r="D1030" s="27" t="str">
        <f>IF(C1030&lt;='Investment Calculator'!$C$8*'Investment Calculator'!$F$4,'Investment Calculator'!$C$6,"")</f>
        <v/>
      </c>
      <c r="E1030" s="27" t="str">
        <f>IFERROR((F1029+D1030)*'Investment Calculator'!$C$7/'Investment Calculator'!$F$4,"")</f>
        <v/>
      </c>
      <c r="F1030" s="27" t="str">
        <f>IFERROR(ABS(FV('Investment Calculator'!$C$7/'Investment Calculator'!$F$4,'SIP Schedule'!C1030,'SIP Schedule'!D1030,,1)),"")</f>
        <v/>
      </c>
    </row>
    <row r="1031" spans="3:6" x14ac:dyDescent="0.3">
      <c r="C1031" s="1" t="str">
        <f>IF(C1030&lt;'Investment Calculator'!$C$8*'Investment Calculator'!$F$4,'SIP Schedule'!C1030+1,"")</f>
        <v/>
      </c>
      <c r="D1031" s="27" t="str">
        <f>IF(C1031&lt;='Investment Calculator'!$C$8*'Investment Calculator'!$F$4,'Investment Calculator'!$C$6,"")</f>
        <v/>
      </c>
      <c r="E1031" s="27" t="str">
        <f>IFERROR((F1030+D1031)*'Investment Calculator'!$C$7/'Investment Calculator'!$F$4,"")</f>
        <v/>
      </c>
      <c r="F1031" s="27" t="str">
        <f>IFERROR(ABS(FV('Investment Calculator'!$C$7/'Investment Calculator'!$F$4,'SIP Schedule'!C1031,'SIP Schedule'!D1031,,1)),"")</f>
        <v/>
      </c>
    </row>
    <row r="1032" spans="3:6" x14ac:dyDescent="0.3">
      <c r="C1032" s="1" t="str">
        <f>IF(C1031&lt;'Investment Calculator'!$C$8*'Investment Calculator'!$F$4,'SIP Schedule'!C1031+1,"")</f>
        <v/>
      </c>
      <c r="D1032" s="27" t="str">
        <f>IF(C1032&lt;='Investment Calculator'!$C$8*'Investment Calculator'!$F$4,'Investment Calculator'!$C$6,"")</f>
        <v/>
      </c>
      <c r="E1032" s="27" t="str">
        <f>IFERROR((F1031+D1032)*'Investment Calculator'!$C$7/'Investment Calculator'!$F$4,"")</f>
        <v/>
      </c>
      <c r="F1032" s="27" t="str">
        <f>IFERROR(ABS(FV('Investment Calculator'!$C$7/'Investment Calculator'!$F$4,'SIP Schedule'!C1032,'SIP Schedule'!D1032,,1)),"")</f>
        <v/>
      </c>
    </row>
    <row r="1033" spans="3:6" x14ac:dyDescent="0.3">
      <c r="C1033" s="1" t="str">
        <f>IF(C1032&lt;'Investment Calculator'!$C$8*'Investment Calculator'!$F$4,'SIP Schedule'!C1032+1,"")</f>
        <v/>
      </c>
      <c r="D1033" s="27" t="str">
        <f>IF(C1033&lt;='Investment Calculator'!$C$8*'Investment Calculator'!$F$4,'Investment Calculator'!$C$6,"")</f>
        <v/>
      </c>
      <c r="E1033" s="27" t="str">
        <f>IFERROR((F1032+D1033)*'Investment Calculator'!$C$7/'Investment Calculator'!$F$4,"")</f>
        <v/>
      </c>
      <c r="F1033" s="27" t="str">
        <f>IFERROR(ABS(FV('Investment Calculator'!$C$7/'Investment Calculator'!$F$4,'SIP Schedule'!C1033,'SIP Schedule'!D1033,,1)),"")</f>
        <v/>
      </c>
    </row>
    <row r="1034" spans="3:6" x14ac:dyDescent="0.3">
      <c r="C1034" s="1" t="str">
        <f>IF(C1033&lt;'Investment Calculator'!$C$8*'Investment Calculator'!$F$4,'SIP Schedule'!C1033+1,"")</f>
        <v/>
      </c>
      <c r="D1034" s="27" t="str">
        <f>IF(C1034&lt;='Investment Calculator'!$C$8*'Investment Calculator'!$F$4,'Investment Calculator'!$C$6,"")</f>
        <v/>
      </c>
      <c r="E1034" s="27" t="str">
        <f>IFERROR((F1033+D1034)*'Investment Calculator'!$C$7/'Investment Calculator'!$F$4,"")</f>
        <v/>
      </c>
      <c r="F1034" s="27" t="str">
        <f>IFERROR(ABS(FV('Investment Calculator'!$C$7/'Investment Calculator'!$F$4,'SIP Schedule'!C1034,'SIP Schedule'!D1034,,1)),"")</f>
        <v/>
      </c>
    </row>
    <row r="1035" spans="3:6" x14ac:dyDescent="0.3">
      <c r="C1035" s="1" t="str">
        <f>IF(C1034&lt;'Investment Calculator'!$C$8*'Investment Calculator'!$F$4,'SIP Schedule'!C1034+1,"")</f>
        <v/>
      </c>
      <c r="D1035" s="27" t="str">
        <f>IF(C1035&lt;='Investment Calculator'!$C$8*'Investment Calculator'!$F$4,'Investment Calculator'!$C$6,"")</f>
        <v/>
      </c>
      <c r="E1035" s="27" t="str">
        <f>IFERROR((F1034+D1035)*'Investment Calculator'!$C$7/'Investment Calculator'!$F$4,"")</f>
        <v/>
      </c>
      <c r="F1035" s="27" t="str">
        <f>IFERROR(ABS(FV('Investment Calculator'!$C$7/'Investment Calculator'!$F$4,'SIP Schedule'!C1035,'SIP Schedule'!D1035,,1)),"")</f>
        <v/>
      </c>
    </row>
    <row r="1036" spans="3:6" x14ac:dyDescent="0.3">
      <c r="C1036" s="1" t="str">
        <f>IF(C1035&lt;'Investment Calculator'!$C$8*'Investment Calculator'!$F$4,'SIP Schedule'!C1035+1,"")</f>
        <v/>
      </c>
      <c r="D1036" s="27" t="str">
        <f>IF(C1036&lt;='Investment Calculator'!$C$8*'Investment Calculator'!$F$4,'Investment Calculator'!$C$6,"")</f>
        <v/>
      </c>
      <c r="E1036" s="27" t="str">
        <f>IFERROR((F1035+D1036)*'Investment Calculator'!$C$7/'Investment Calculator'!$F$4,"")</f>
        <v/>
      </c>
      <c r="F1036" s="27" t="str">
        <f>IFERROR(ABS(FV('Investment Calculator'!$C$7/'Investment Calculator'!$F$4,'SIP Schedule'!C1036,'SIP Schedule'!D1036,,1)),"")</f>
        <v/>
      </c>
    </row>
    <row r="1037" spans="3:6" x14ac:dyDescent="0.3">
      <c r="C1037" s="1" t="str">
        <f>IF(C1036&lt;'Investment Calculator'!$C$8*'Investment Calculator'!$F$4,'SIP Schedule'!C1036+1,"")</f>
        <v/>
      </c>
      <c r="D1037" s="27" t="str">
        <f>IF(C1037&lt;='Investment Calculator'!$C$8*'Investment Calculator'!$F$4,'Investment Calculator'!$C$6,"")</f>
        <v/>
      </c>
      <c r="E1037" s="27" t="str">
        <f>IFERROR((F1036+D1037)*'Investment Calculator'!$C$7/'Investment Calculator'!$F$4,"")</f>
        <v/>
      </c>
      <c r="F1037" s="27" t="str">
        <f>IFERROR(ABS(FV('Investment Calculator'!$C$7/'Investment Calculator'!$F$4,'SIP Schedule'!C1037,'SIP Schedule'!D1037,,1)),"")</f>
        <v/>
      </c>
    </row>
    <row r="1038" spans="3:6" x14ac:dyDescent="0.3">
      <c r="C1038" s="1" t="str">
        <f>IF(C1037&lt;'Investment Calculator'!$C$8*'Investment Calculator'!$F$4,'SIP Schedule'!C1037+1,"")</f>
        <v/>
      </c>
      <c r="D1038" s="27" t="str">
        <f>IF(C1038&lt;='Investment Calculator'!$C$8*'Investment Calculator'!$F$4,'Investment Calculator'!$C$6,"")</f>
        <v/>
      </c>
      <c r="E1038" s="27" t="str">
        <f>IFERROR((F1037+D1038)*'Investment Calculator'!$C$7/'Investment Calculator'!$F$4,"")</f>
        <v/>
      </c>
      <c r="F1038" s="27" t="str">
        <f>IFERROR(ABS(FV('Investment Calculator'!$C$7/'Investment Calculator'!$F$4,'SIP Schedule'!C1038,'SIP Schedule'!D1038,,1)),"")</f>
        <v/>
      </c>
    </row>
    <row r="1039" spans="3:6" x14ac:dyDescent="0.3">
      <c r="C1039" s="1" t="str">
        <f>IF(C1038&lt;'Investment Calculator'!$C$8*'Investment Calculator'!$F$4,'SIP Schedule'!C1038+1,"")</f>
        <v/>
      </c>
      <c r="D1039" s="27" t="str">
        <f>IF(C1039&lt;='Investment Calculator'!$C$8*'Investment Calculator'!$F$4,'Investment Calculator'!$C$6,"")</f>
        <v/>
      </c>
      <c r="E1039" s="27" t="str">
        <f>IFERROR((F1038+D1039)*'Investment Calculator'!$C$7/'Investment Calculator'!$F$4,"")</f>
        <v/>
      </c>
      <c r="F1039" s="27" t="str">
        <f>IFERROR(ABS(FV('Investment Calculator'!$C$7/'Investment Calculator'!$F$4,'SIP Schedule'!C1039,'SIP Schedule'!D1039,,1)),"")</f>
        <v/>
      </c>
    </row>
    <row r="1040" spans="3:6" x14ac:dyDescent="0.3">
      <c r="C1040" s="1" t="str">
        <f>IF(C1039&lt;'Investment Calculator'!$C$8*'Investment Calculator'!$F$4,'SIP Schedule'!C1039+1,"")</f>
        <v/>
      </c>
      <c r="D1040" s="27" t="str">
        <f>IF(C1040&lt;='Investment Calculator'!$C$8*'Investment Calculator'!$F$4,'Investment Calculator'!$C$6,"")</f>
        <v/>
      </c>
      <c r="E1040" s="27" t="str">
        <f>IFERROR((F1039+D1040)*'Investment Calculator'!$C$7/'Investment Calculator'!$F$4,"")</f>
        <v/>
      </c>
      <c r="F1040" s="27" t="str">
        <f>IFERROR(ABS(FV('Investment Calculator'!$C$7/'Investment Calculator'!$F$4,'SIP Schedule'!C1040,'SIP Schedule'!D1040,,1)),"")</f>
        <v/>
      </c>
    </row>
    <row r="1041" spans="3:6" x14ac:dyDescent="0.3">
      <c r="C1041" s="1" t="str">
        <f>IF(C1040&lt;'Investment Calculator'!$C$8*'Investment Calculator'!$F$4,'SIP Schedule'!C1040+1,"")</f>
        <v/>
      </c>
      <c r="D1041" s="27" t="str">
        <f>IF(C1041&lt;='Investment Calculator'!$C$8*'Investment Calculator'!$F$4,'Investment Calculator'!$C$6,"")</f>
        <v/>
      </c>
      <c r="E1041" s="27" t="str">
        <f>IFERROR((F1040+D1041)*'Investment Calculator'!$C$7/'Investment Calculator'!$F$4,"")</f>
        <v/>
      </c>
      <c r="F1041" s="27" t="str">
        <f>IFERROR(ABS(FV('Investment Calculator'!$C$7/'Investment Calculator'!$F$4,'SIP Schedule'!C1041,'SIP Schedule'!D1041,,1)),"")</f>
        <v/>
      </c>
    </row>
    <row r="1042" spans="3:6" x14ac:dyDescent="0.3">
      <c r="C1042" s="1" t="str">
        <f>IF(C1041&lt;'Investment Calculator'!$C$8*'Investment Calculator'!$F$4,'SIP Schedule'!C1041+1,"")</f>
        <v/>
      </c>
      <c r="D1042" s="27" t="str">
        <f>IF(C1042&lt;='Investment Calculator'!$C$8*'Investment Calculator'!$F$4,'Investment Calculator'!$C$6,"")</f>
        <v/>
      </c>
      <c r="E1042" s="27" t="str">
        <f>IFERROR((F1041+D1042)*'Investment Calculator'!$C$7/'Investment Calculator'!$F$4,"")</f>
        <v/>
      </c>
      <c r="F1042" s="27" t="str">
        <f>IFERROR(ABS(FV('Investment Calculator'!$C$7/'Investment Calculator'!$F$4,'SIP Schedule'!C1042,'SIP Schedule'!D1042,,1)),"")</f>
        <v/>
      </c>
    </row>
    <row r="1043" spans="3:6" x14ac:dyDescent="0.3">
      <c r="C1043" s="1" t="str">
        <f>IF(C1042&lt;'Investment Calculator'!$C$8*'Investment Calculator'!$F$4,'SIP Schedule'!C1042+1,"")</f>
        <v/>
      </c>
      <c r="D1043" s="27" t="str">
        <f>IF(C1043&lt;='Investment Calculator'!$C$8*'Investment Calculator'!$F$4,'Investment Calculator'!$C$6,"")</f>
        <v/>
      </c>
      <c r="E1043" s="27" t="str">
        <f>IFERROR((F1042+D1043)*'Investment Calculator'!$C$7/'Investment Calculator'!$F$4,"")</f>
        <v/>
      </c>
      <c r="F1043" s="27" t="str">
        <f>IFERROR(ABS(FV('Investment Calculator'!$C$7/'Investment Calculator'!$F$4,'SIP Schedule'!C1043,'SIP Schedule'!D1043,,1)),"")</f>
        <v/>
      </c>
    </row>
    <row r="1044" spans="3:6" x14ac:dyDescent="0.3">
      <c r="C1044" s="1" t="str">
        <f>IF(C1043&lt;'Investment Calculator'!$C$8*'Investment Calculator'!$F$4,'SIP Schedule'!C1043+1,"")</f>
        <v/>
      </c>
      <c r="D1044" s="27" t="str">
        <f>IF(C1044&lt;='Investment Calculator'!$C$8*'Investment Calculator'!$F$4,'Investment Calculator'!$C$6,"")</f>
        <v/>
      </c>
      <c r="E1044" s="27" t="str">
        <f>IFERROR((F1043+D1044)*'Investment Calculator'!$C$7/'Investment Calculator'!$F$4,"")</f>
        <v/>
      </c>
      <c r="F1044" s="27" t="str">
        <f>IFERROR(ABS(FV('Investment Calculator'!$C$7/'Investment Calculator'!$F$4,'SIP Schedule'!C1044,'SIP Schedule'!D1044,,1)),"")</f>
        <v/>
      </c>
    </row>
    <row r="1045" spans="3:6" x14ac:dyDescent="0.3">
      <c r="C1045" s="1" t="str">
        <f>IF(C1044&lt;'Investment Calculator'!$C$8*'Investment Calculator'!$F$4,'SIP Schedule'!C1044+1,"")</f>
        <v/>
      </c>
      <c r="D1045" s="27" t="str">
        <f>IF(C1045&lt;='Investment Calculator'!$C$8*'Investment Calculator'!$F$4,'Investment Calculator'!$C$6,"")</f>
        <v/>
      </c>
      <c r="E1045" s="27" t="str">
        <f>IFERROR((F1044+D1045)*'Investment Calculator'!$C$7/'Investment Calculator'!$F$4,"")</f>
        <v/>
      </c>
      <c r="F1045" s="27" t="str">
        <f>IFERROR(ABS(FV('Investment Calculator'!$C$7/'Investment Calculator'!$F$4,'SIP Schedule'!C1045,'SIP Schedule'!D1045,,1)),"")</f>
        <v/>
      </c>
    </row>
    <row r="1046" spans="3:6" x14ac:dyDescent="0.3">
      <c r="C1046" s="1" t="str">
        <f>IF(C1045&lt;'Investment Calculator'!$C$8*'Investment Calculator'!$F$4,'SIP Schedule'!C1045+1,"")</f>
        <v/>
      </c>
      <c r="D1046" s="27" t="str">
        <f>IF(C1046&lt;='Investment Calculator'!$C$8*'Investment Calculator'!$F$4,'Investment Calculator'!$C$6,"")</f>
        <v/>
      </c>
      <c r="E1046" s="27" t="str">
        <f>IFERROR((F1045+D1046)*'Investment Calculator'!$C$7/'Investment Calculator'!$F$4,"")</f>
        <v/>
      </c>
      <c r="F1046" s="27" t="str">
        <f>IFERROR(ABS(FV('Investment Calculator'!$C$7/'Investment Calculator'!$F$4,'SIP Schedule'!C1046,'SIP Schedule'!D1046,,1)),"")</f>
        <v/>
      </c>
    </row>
    <row r="1047" spans="3:6" x14ac:dyDescent="0.3">
      <c r="C1047" s="1" t="str">
        <f>IF(C1046&lt;'Investment Calculator'!$C$8*'Investment Calculator'!$F$4,'SIP Schedule'!C1046+1,"")</f>
        <v/>
      </c>
      <c r="D1047" s="27" t="str">
        <f>IF(C1047&lt;='Investment Calculator'!$C$8*'Investment Calculator'!$F$4,'Investment Calculator'!$C$6,"")</f>
        <v/>
      </c>
      <c r="E1047" s="27" t="str">
        <f>IFERROR((F1046+D1047)*'Investment Calculator'!$C$7/'Investment Calculator'!$F$4,"")</f>
        <v/>
      </c>
      <c r="F1047" s="27" t="str">
        <f>IFERROR(ABS(FV('Investment Calculator'!$C$7/'Investment Calculator'!$F$4,'SIP Schedule'!C1047,'SIP Schedule'!D1047,,1)),"")</f>
        <v/>
      </c>
    </row>
    <row r="1048" spans="3:6" x14ac:dyDescent="0.3">
      <c r="C1048" s="1" t="str">
        <f>IF(C1047&lt;'Investment Calculator'!$C$8*'Investment Calculator'!$F$4,'SIP Schedule'!C1047+1,"")</f>
        <v/>
      </c>
      <c r="D1048" s="27" t="str">
        <f>IF(C1048&lt;='Investment Calculator'!$C$8*'Investment Calculator'!$F$4,'Investment Calculator'!$C$6,"")</f>
        <v/>
      </c>
      <c r="E1048" s="27" t="str">
        <f>IFERROR((F1047+D1048)*'Investment Calculator'!$C$7/'Investment Calculator'!$F$4,"")</f>
        <v/>
      </c>
      <c r="F1048" s="27" t="str">
        <f>IFERROR(ABS(FV('Investment Calculator'!$C$7/'Investment Calculator'!$F$4,'SIP Schedule'!C1048,'SIP Schedule'!D1048,,1)),"")</f>
        <v/>
      </c>
    </row>
    <row r="1049" spans="3:6" x14ac:dyDescent="0.3">
      <c r="C1049" s="1" t="str">
        <f>IF(C1048&lt;'Investment Calculator'!$C$8*'Investment Calculator'!$F$4,'SIP Schedule'!C1048+1,"")</f>
        <v/>
      </c>
      <c r="D1049" s="27" t="str">
        <f>IF(C1049&lt;='Investment Calculator'!$C$8*'Investment Calculator'!$F$4,'Investment Calculator'!$C$6,"")</f>
        <v/>
      </c>
      <c r="E1049" s="27" t="str">
        <f>IFERROR((F1048+D1049)*'Investment Calculator'!$C$7/'Investment Calculator'!$F$4,"")</f>
        <v/>
      </c>
      <c r="F1049" s="27" t="str">
        <f>IFERROR(ABS(FV('Investment Calculator'!$C$7/'Investment Calculator'!$F$4,'SIP Schedule'!C1049,'SIP Schedule'!D1049,,1)),"")</f>
        <v/>
      </c>
    </row>
    <row r="1050" spans="3:6" x14ac:dyDescent="0.3">
      <c r="C1050" s="1" t="str">
        <f>IF(C1049&lt;'Investment Calculator'!$C$8*'Investment Calculator'!$F$4,'SIP Schedule'!C1049+1,"")</f>
        <v/>
      </c>
      <c r="D1050" s="27" t="str">
        <f>IF(C1050&lt;='Investment Calculator'!$C$8*'Investment Calculator'!$F$4,'Investment Calculator'!$C$6,"")</f>
        <v/>
      </c>
      <c r="E1050" s="27" t="str">
        <f>IFERROR((F1049+D1050)*'Investment Calculator'!$C$7/'Investment Calculator'!$F$4,"")</f>
        <v/>
      </c>
      <c r="F1050" s="27" t="str">
        <f>IFERROR(ABS(FV('Investment Calculator'!$C$7/'Investment Calculator'!$F$4,'SIP Schedule'!C1050,'SIP Schedule'!D1050,,1)),"")</f>
        <v/>
      </c>
    </row>
    <row r="1051" spans="3:6" x14ac:dyDescent="0.3">
      <c r="C1051" s="1" t="str">
        <f>IF(C1050&lt;'Investment Calculator'!$C$8*'Investment Calculator'!$F$4,'SIP Schedule'!C1050+1,"")</f>
        <v/>
      </c>
      <c r="D1051" s="27" t="str">
        <f>IF(C1051&lt;='Investment Calculator'!$C$8*'Investment Calculator'!$F$4,'Investment Calculator'!$C$6,"")</f>
        <v/>
      </c>
      <c r="E1051" s="27" t="str">
        <f>IFERROR((F1050+D1051)*'Investment Calculator'!$C$7/'Investment Calculator'!$F$4,"")</f>
        <v/>
      </c>
      <c r="F1051" s="27" t="str">
        <f>IFERROR(ABS(FV('Investment Calculator'!$C$7/'Investment Calculator'!$F$4,'SIP Schedule'!C1051,'SIP Schedule'!D1051,,1)),"")</f>
        <v/>
      </c>
    </row>
    <row r="1052" spans="3:6" x14ac:dyDescent="0.3">
      <c r="C1052" s="1" t="str">
        <f>IF(C1051&lt;'Investment Calculator'!$C$8*'Investment Calculator'!$F$4,'SIP Schedule'!C1051+1,"")</f>
        <v/>
      </c>
      <c r="D1052" s="27" t="str">
        <f>IF(C1052&lt;='Investment Calculator'!$C$8*'Investment Calculator'!$F$4,'Investment Calculator'!$C$6,"")</f>
        <v/>
      </c>
      <c r="E1052" s="27" t="str">
        <f>IFERROR((F1051+D1052)*'Investment Calculator'!$C$7/'Investment Calculator'!$F$4,"")</f>
        <v/>
      </c>
      <c r="F1052" s="27" t="str">
        <f>IFERROR(ABS(FV('Investment Calculator'!$C$7/'Investment Calculator'!$F$4,'SIP Schedule'!C1052,'SIP Schedule'!D1052,,1)),"")</f>
        <v/>
      </c>
    </row>
    <row r="1053" spans="3:6" x14ac:dyDescent="0.3">
      <c r="C1053" s="1" t="str">
        <f>IF(C1052&lt;'Investment Calculator'!$C$8*'Investment Calculator'!$F$4,'SIP Schedule'!C1052+1,"")</f>
        <v/>
      </c>
      <c r="D1053" s="27" t="str">
        <f>IF(C1053&lt;='Investment Calculator'!$C$8*'Investment Calculator'!$F$4,'Investment Calculator'!$C$6,"")</f>
        <v/>
      </c>
      <c r="E1053" s="27" t="str">
        <f>IFERROR((F1052+D1053)*'Investment Calculator'!$C$7/'Investment Calculator'!$F$4,"")</f>
        <v/>
      </c>
      <c r="F1053" s="27" t="str">
        <f>IFERROR(ABS(FV('Investment Calculator'!$C$7/'Investment Calculator'!$F$4,'SIP Schedule'!C1053,'SIP Schedule'!D1053,,1)),"")</f>
        <v/>
      </c>
    </row>
    <row r="1054" spans="3:6" x14ac:dyDescent="0.3">
      <c r="C1054" s="1" t="str">
        <f>IF(C1053&lt;'Investment Calculator'!$C$8*'Investment Calculator'!$F$4,'SIP Schedule'!C1053+1,"")</f>
        <v/>
      </c>
      <c r="D1054" s="27" t="str">
        <f>IF(C1054&lt;='Investment Calculator'!$C$8*'Investment Calculator'!$F$4,'Investment Calculator'!$C$6,"")</f>
        <v/>
      </c>
      <c r="E1054" s="27" t="str">
        <f>IFERROR((F1053+D1054)*'Investment Calculator'!$C$7/'Investment Calculator'!$F$4,"")</f>
        <v/>
      </c>
      <c r="F1054" s="27" t="str">
        <f>IFERROR(ABS(FV('Investment Calculator'!$C$7/'Investment Calculator'!$F$4,'SIP Schedule'!C1054,'SIP Schedule'!D1054,,1)),"")</f>
        <v/>
      </c>
    </row>
    <row r="1055" spans="3:6" x14ac:dyDescent="0.3">
      <c r="C1055" s="1" t="str">
        <f>IF(C1054&lt;'Investment Calculator'!$C$8*'Investment Calculator'!$F$4,'SIP Schedule'!C1054+1,"")</f>
        <v/>
      </c>
      <c r="D1055" s="27" t="str">
        <f>IF(C1055&lt;='Investment Calculator'!$C$8*'Investment Calculator'!$F$4,'Investment Calculator'!$C$6,"")</f>
        <v/>
      </c>
      <c r="E1055" s="27" t="str">
        <f>IFERROR((F1054+D1055)*'Investment Calculator'!$C$7/'Investment Calculator'!$F$4,"")</f>
        <v/>
      </c>
      <c r="F1055" s="27" t="str">
        <f>IFERROR(ABS(FV('Investment Calculator'!$C$7/'Investment Calculator'!$F$4,'SIP Schedule'!C1055,'SIP Schedule'!D1055,,1)),"")</f>
        <v/>
      </c>
    </row>
    <row r="1056" spans="3:6" x14ac:dyDescent="0.3">
      <c r="C1056" s="1" t="str">
        <f>IF(C1055&lt;'Investment Calculator'!$C$8*'Investment Calculator'!$F$4,'SIP Schedule'!C1055+1,"")</f>
        <v/>
      </c>
      <c r="D1056" s="27" t="str">
        <f>IF(C1056&lt;='Investment Calculator'!$C$8*'Investment Calculator'!$F$4,'Investment Calculator'!$C$6,"")</f>
        <v/>
      </c>
      <c r="E1056" s="27" t="str">
        <f>IFERROR((F1055+D1056)*'Investment Calculator'!$C$7/'Investment Calculator'!$F$4,"")</f>
        <v/>
      </c>
      <c r="F1056" s="27" t="str">
        <f>IFERROR(ABS(FV('Investment Calculator'!$C$7/'Investment Calculator'!$F$4,'SIP Schedule'!C1056,'SIP Schedule'!D1056,,1)),"")</f>
        <v/>
      </c>
    </row>
    <row r="1057" spans="3:6" x14ac:dyDescent="0.3">
      <c r="C1057" s="1" t="str">
        <f>IF(C1056&lt;'Investment Calculator'!$C$8*'Investment Calculator'!$F$4,'SIP Schedule'!C1056+1,"")</f>
        <v/>
      </c>
      <c r="D1057" s="27" t="str">
        <f>IF(C1057&lt;='Investment Calculator'!$C$8*'Investment Calculator'!$F$4,'Investment Calculator'!$C$6,"")</f>
        <v/>
      </c>
      <c r="E1057" s="27" t="str">
        <f>IFERROR((F1056+D1057)*'Investment Calculator'!$C$7/'Investment Calculator'!$F$4,"")</f>
        <v/>
      </c>
      <c r="F1057" s="27" t="str">
        <f>IFERROR(ABS(FV('Investment Calculator'!$C$7/'Investment Calculator'!$F$4,'SIP Schedule'!C1057,'SIP Schedule'!D1057,,1)),"")</f>
        <v/>
      </c>
    </row>
    <row r="1058" spans="3:6" x14ac:dyDescent="0.3">
      <c r="C1058" s="1" t="str">
        <f>IF(C1057&lt;'Investment Calculator'!$C$8*'Investment Calculator'!$F$4,'SIP Schedule'!C1057+1,"")</f>
        <v/>
      </c>
      <c r="D1058" s="27" t="str">
        <f>IF(C1058&lt;='Investment Calculator'!$C$8*'Investment Calculator'!$F$4,'Investment Calculator'!$C$6,"")</f>
        <v/>
      </c>
      <c r="E1058" s="27" t="str">
        <f>IFERROR((F1057+D1058)*'Investment Calculator'!$C$7/'Investment Calculator'!$F$4,"")</f>
        <v/>
      </c>
      <c r="F1058" s="27" t="str">
        <f>IFERROR(ABS(FV('Investment Calculator'!$C$7/'Investment Calculator'!$F$4,'SIP Schedule'!C1058,'SIP Schedule'!D1058,,1)),"")</f>
        <v/>
      </c>
    </row>
    <row r="1059" spans="3:6" x14ac:dyDescent="0.3">
      <c r="C1059" s="1" t="str">
        <f>IF(C1058&lt;'Investment Calculator'!$C$8*'Investment Calculator'!$F$4,'SIP Schedule'!C1058+1,"")</f>
        <v/>
      </c>
      <c r="D1059" s="27" t="str">
        <f>IF(C1059&lt;='Investment Calculator'!$C$8*'Investment Calculator'!$F$4,'Investment Calculator'!$C$6,"")</f>
        <v/>
      </c>
      <c r="E1059" s="27" t="str">
        <f>IFERROR((F1058+D1059)*'Investment Calculator'!$C$7/'Investment Calculator'!$F$4,"")</f>
        <v/>
      </c>
      <c r="F1059" s="27" t="str">
        <f>IFERROR(ABS(FV('Investment Calculator'!$C$7/'Investment Calculator'!$F$4,'SIP Schedule'!C1059,'SIP Schedule'!D1059,,1)),"")</f>
        <v/>
      </c>
    </row>
    <row r="1060" spans="3:6" x14ac:dyDescent="0.3">
      <c r="C1060" s="1" t="str">
        <f>IF(C1059&lt;'Investment Calculator'!$C$8*'Investment Calculator'!$F$4,'SIP Schedule'!C1059+1,"")</f>
        <v/>
      </c>
      <c r="D1060" s="27" t="str">
        <f>IF(C1060&lt;='Investment Calculator'!$C$8*'Investment Calculator'!$F$4,'Investment Calculator'!$C$6,"")</f>
        <v/>
      </c>
      <c r="E1060" s="27" t="str">
        <f>IFERROR((F1059+D1060)*'Investment Calculator'!$C$7/'Investment Calculator'!$F$4,"")</f>
        <v/>
      </c>
      <c r="F1060" s="27" t="str">
        <f>IFERROR(ABS(FV('Investment Calculator'!$C$7/'Investment Calculator'!$F$4,'SIP Schedule'!C1060,'SIP Schedule'!D1060,,1)),"")</f>
        <v/>
      </c>
    </row>
    <row r="1061" spans="3:6" x14ac:dyDescent="0.3">
      <c r="C1061" s="1" t="str">
        <f>IF(C1060&lt;'Investment Calculator'!$C$8*'Investment Calculator'!$F$4,'SIP Schedule'!C1060+1,"")</f>
        <v/>
      </c>
      <c r="D1061" s="27" t="str">
        <f>IF(C1061&lt;='Investment Calculator'!$C$8*'Investment Calculator'!$F$4,'Investment Calculator'!$C$6,"")</f>
        <v/>
      </c>
      <c r="E1061" s="27" t="str">
        <f>IFERROR((F1060+D1061)*'Investment Calculator'!$C$7/'Investment Calculator'!$F$4,"")</f>
        <v/>
      </c>
      <c r="F1061" s="27" t="str">
        <f>IFERROR(ABS(FV('Investment Calculator'!$C$7/'Investment Calculator'!$F$4,'SIP Schedule'!C1061,'SIP Schedule'!D1061,,1)),"")</f>
        <v/>
      </c>
    </row>
    <row r="1062" spans="3:6" x14ac:dyDescent="0.3">
      <c r="C1062" s="1" t="str">
        <f>IF(C1061&lt;'Investment Calculator'!$C$8*'Investment Calculator'!$F$4,'SIP Schedule'!C1061+1,"")</f>
        <v/>
      </c>
      <c r="D1062" s="27" t="str">
        <f>IF(C1062&lt;='Investment Calculator'!$C$8*'Investment Calculator'!$F$4,'Investment Calculator'!$C$6,"")</f>
        <v/>
      </c>
      <c r="E1062" s="27" t="str">
        <f>IFERROR((F1061+D1062)*'Investment Calculator'!$C$7/'Investment Calculator'!$F$4,"")</f>
        <v/>
      </c>
      <c r="F1062" s="27" t="str">
        <f>IFERROR(ABS(FV('Investment Calculator'!$C$7/'Investment Calculator'!$F$4,'SIP Schedule'!C1062,'SIP Schedule'!D1062,,1)),"")</f>
        <v/>
      </c>
    </row>
    <row r="1063" spans="3:6" x14ac:dyDescent="0.3">
      <c r="C1063" s="1" t="str">
        <f>IF(C1062&lt;'Investment Calculator'!$C$8*'Investment Calculator'!$F$4,'SIP Schedule'!C1062+1,"")</f>
        <v/>
      </c>
      <c r="D1063" s="27" t="str">
        <f>IF(C1063&lt;='Investment Calculator'!$C$8*'Investment Calculator'!$F$4,'Investment Calculator'!$C$6,"")</f>
        <v/>
      </c>
      <c r="E1063" s="27" t="str">
        <f>IFERROR((F1062+D1063)*'Investment Calculator'!$C$7/'Investment Calculator'!$F$4,"")</f>
        <v/>
      </c>
      <c r="F1063" s="27" t="str">
        <f>IFERROR(ABS(FV('Investment Calculator'!$C$7/'Investment Calculator'!$F$4,'SIP Schedule'!C1063,'SIP Schedule'!D1063,,1)),"")</f>
        <v/>
      </c>
    </row>
    <row r="1064" spans="3:6" x14ac:dyDescent="0.3">
      <c r="C1064" s="1" t="str">
        <f>IF(C1063&lt;'Investment Calculator'!$C$8*'Investment Calculator'!$F$4,'SIP Schedule'!C1063+1,"")</f>
        <v/>
      </c>
      <c r="D1064" s="27" t="str">
        <f>IF(C1064&lt;='Investment Calculator'!$C$8*'Investment Calculator'!$F$4,'Investment Calculator'!$C$6,"")</f>
        <v/>
      </c>
      <c r="E1064" s="27" t="str">
        <f>IFERROR((F1063+D1064)*'Investment Calculator'!$C$7/'Investment Calculator'!$F$4,"")</f>
        <v/>
      </c>
      <c r="F1064" s="27" t="str">
        <f>IFERROR(ABS(FV('Investment Calculator'!$C$7/'Investment Calculator'!$F$4,'SIP Schedule'!C1064,'SIP Schedule'!D1064,,1)),"")</f>
        <v/>
      </c>
    </row>
    <row r="1065" spans="3:6" x14ac:dyDescent="0.3">
      <c r="C1065" s="1" t="str">
        <f>IF(C1064&lt;'Investment Calculator'!$C$8*'Investment Calculator'!$F$4,'SIP Schedule'!C1064+1,"")</f>
        <v/>
      </c>
      <c r="D1065" s="27" t="str">
        <f>IF(C1065&lt;='Investment Calculator'!$C$8*'Investment Calculator'!$F$4,'Investment Calculator'!$C$6,"")</f>
        <v/>
      </c>
      <c r="E1065" s="27" t="str">
        <f>IFERROR((F1064+D1065)*'Investment Calculator'!$C$7/'Investment Calculator'!$F$4,"")</f>
        <v/>
      </c>
      <c r="F1065" s="27" t="str">
        <f>IFERROR(ABS(FV('Investment Calculator'!$C$7/'Investment Calculator'!$F$4,'SIP Schedule'!C1065,'SIP Schedule'!D1065,,1)),"")</f>
        <v/>
      </c>
    </row>
    <row r="1066" spans="3:6" x14ac:dyDescent="0.3">
      <c r="C1066" s="1" t="str">
        <f>IF(C1065&lt;'Investment Calculator'!$C$8*'Investment Calculator'!$F$4,'SIP Schedule'!C1065+1,"")</f>
        <v/>
      </c>
      <c r="D1066" s="27" t="str">
        <f>IF(C1066&lt;='Investment Calculator'!$C$8*'Investment Calculator'!$F$4,'Investment Calculator'!$C$6,"")</f>
        <v/>
      </c>
      <c r="E1066" s="27" t="str">
        <f>IFERROR((F1065+D1066)*'Investment Calculator'!$C$7/'Investment Calculator'!$F$4,"")</f>
        <v/>
      </c>
      <c r="F1066" s="27" t="str">
        <f>IFERROR(ABS(FV('Investment Calculator'!$C$7/'Investment Calculator'!$F$4,'SIP Schedule'!C1066,'SIP Schedule'!D1066,,1)),"")</f>
        <v/>
      </c>
    </row>
    <row r="1067" spans="3:6" x14ac:dyDescent="0.3">
      <c r="C1067" s="1" t="str">
        <f>IF(C1066&lt;'Investment Calculator'!$C$8*'Investment Calculator'!$F$4,'SIP Schedule'!C1066+1,"")</f>
        <v/>
      </c>
      <c r="D1067" s="27" t="str">
        <f>IF(C1067&lt;='Investment Calculator'!$C$8*'Investment Calculator'!$F$4,'Investment Calculator'!$C$6,"")</f>
        <v/>
      </c>
      <c r="E1067" s="27" t="str">
        <f>IFERROR((F1066+D1067)*'Investment Calculator'!$C$7/'Investment Calculator'!$F$4,"")</f>
        <v/>
      </c>
      <c r="F1067" s="27" t="str">
        <f>IFERROR(ABS(FV('Investment Calculator'!$C$7/'Investment Calculator'!$F$4,'SIP Schedule'!C1067,'SIP Schedule'!D1067,,1)),"")</f>
        <v/>
      </c>
    </row>
    <row r="1068" spans="3:6" x14ac:dyDescent="0.3">
      <c r="C1068" s="1" t="str">
        <f>IF(C1067&lt;'Investment Calculator'!$C$8*'Investment Calculator'!$F$4,'SIP Schedule'!C1067+1,"")</f>
        <v/>
      </c>
      <c r="D1068" s="27" t="str">
        <f>IF(C1068&lt;='Investment Calculator'!$C$8*'Investment Calculator'!$F$4,'Investment Calculator'!$C$6,"")</f>
        <v/>
      </c>
      <c r="E1068" s="27" t="str">
        <f>IFERROR((F1067+D1068)*'Investment Calculator'!$C$7/'Investment Calculator'!$F$4,"")</f>
        <v/>
      </c>
      <c r="F1068" s="27" t="str">
        <f>IFERROR(ABS(FV('Investment Calculator'!$C$7/'Investment Calculator'!$F$4,'SIP Schedule'!C1068,'SIP Schedule'!D1068,,1)),"")</f>
        <v/>
      </c>
    </row>
    <row r="1069" spans="3:6" x14ac:dyDescent="0.3">
      <c r="C1069" s="1" t="str">
        <f>IF(C1068&lt;'Investment Calculator'!$C$8*'Investment Calculator'!$F$4,'SIP Schedule'!C1068+1,"")</f>
        <v/>
      </c>
      <c r="D1069" s="27" t="str">
        <f>IF(C1069&lt;='Investment Calculator'!$C$8*'Investment Calculator'!$F$4,'Investment Calculator'!$C$6,"")</f>
        <v/>
      </c>
      <c r="E1069" s="27" t="str">
        <f>IFERROR((F1068+D1069)*'Investment Calculator'!$C$7/'Investment Calculator'!$F$4,"")</f>
        <v/>
      </c>
      <c r="F1069" s="27" t="str">
        <f>IFERROR(ABS(FV('Investment Calculator'!$C$7/'Investment Calculator'!$F$4,'SIP Schedule'!C1069,'SIP Schedule'!D1069,,1)),"")</f>
        <v/>
      </c>
    </row>
    <row r="1070" spans="3:6" x14ac:dyDescent="0.3">
      <c r="C1070" s="1" t="str">
        <f>IF(C1069&lt;'Investment Calculator'!$C$8*'Investment Calculator'!$F$4,'SIP Schedule'!C1069+1,"")</f>
        <v/>
      </c>
      <c r="D1070" s="27" t="str">
        <f>IF(C1070&lt;='Investment Calculator'!$C$8*'Investment Calculator'!$F$4,'Investment Calculator'!$C$6,"")</f>
        <v/>
      </c>
      <c r="E1070" s="27" t="str">
        <f>IFERROR((F1069+D1070)*'Investment Calculator'!$C$7/'Investment Calculator'!$F$4,"")</f>
        <v/>
      </c>
      <c r="F1070" s="27" t="str">
        <f>IFERROR(ABS(FV('Investment Calculator'!$C$7/'Investment Calculator'!$F$4,'SIP Schedule'!C1070,'SIP Schedule'!D1070,,1)),"")</f>
        <v/>
      </c>
    </row>
    <row r="1071" spans="3:6" x14ac:dyDescent="0.3">
      <c r="C1071" s="1" t="str">
        <f>IF(C1070&lt;'Investment Calculator'!$C$8*'Investment Calculator'!$F$4,'SIP Schedule'!C1070+1,"")</f>
        <v/>
      </c>
      <c r="D1071" s="27" t="str">
        <f>IF(C1071&lt;='Investment Calculator'!$C$8*'Investment Calculator'!$F$4,'Investment Calculator'!$C$6,"")</f>
        <v/>
      </c>
      <c r="E1071" s="27" t="str">
        <f>IFERROR((F1070+D1071)*'Investment Calculator'!$C$7/'Investment Calculator'!$F$4,"")</f>
        <v/>
      </c>
      <c r="F1071" s="27" t="str">
        <f>IFERROR(ABS(FV('Investment Calculator'!$C$7/'Investment Calculator'!$F$4,'SIP Schedule'!C1071,'SIP Schedule'!D1071,,1)),"")</f>
        <v/>
      </c>
    </row>
    <row r="1072" spans="3:6" x14ac:dyDescent="0.3">
      <c r="C1072" s="1" t="str">
        <f>IF(C1071&lt;'Investment Calculator'!$C$8*'Investment Calculator'!$F$4,'SIP Schedule'!C1071+1,"")</f>
        <v/>
      </c>
      <c r="D1072" s="27" t="str">
        <f>IF(C1072&lt;='Investment Calculator'!$C$8*'Investment Calculator'!$F$4,'Investment Calculator'!$C$6,"")</f>
        <v/>
      </c>
      <c r="E1072" s="27" t="str">
        <f>IFERROR((F1071+D1072)*'Investment Calculator'!$C$7/'Investment Calculator'!$F$4,"")</f>
        <v/>
      </c>
      <c r="F1072" s="27" t="str">
        <f>IFERROR(ABS(FV('Investment Calculator'!$C$7/'Investment Calculator'!$F$4,'SIP Schedule'!C1072,'SIP Schedule'!D1072,,1)),"")</f>
        <v/>
      </c>
    </row>
    <row r="1073" spans="3:6" x14ac:dyDescent="0.3">
      <c r="C1073" s="1" t="str">
        <f>IF(C1072&lt;'Investment Calculator'!$C$8*'Investment Calculator'!$F$4,'SIP Schedule'!C1072+1,"")</f>
        <v/>
      </c>
      <c r="D1073" s="27" t="str">
        <f>IF(C1073&lt;='Investment Calculator'!$C$8*'Investment Calculator'!$F$4,'Investment Calculator'!$C$6,"")</f>
        <v/>
      </c>
      <c r="E1073" s="27" t="str">
        <f>IFERROR((F1072+D1073)*'Investment Calculator'!$C$7/'Investment Calculator'!$F$4,"")</f>
        <v/>
      </c>
      <c r="F1073" s="27" t="str">
        <f>IFERROR(ABS(FV('Investment Calculator'!$C$7/'Investment Calculator'!$F$4,'SIP Schedule'!C1073,'SIP Schedule'!D1073,,1)),"")</f>
        <v/>
      </c>
    </row>
    <row r="1074" spans="3:6" x14ac:dyDescent="0.3">
      <c r="C1074" s="1" t="str">
        <f>IF(C1073&lt;'Investment Calculator'!$C$8*'Investment Calculator'!$F$4,'SIP Schedule'!C1073+1,"")</f>
        <v/>
      </c>
      <c r="D1074" s="27" t="str">
        <f>IF(C1074&lt;='Investment Calculator'!$C$8*'Investment Calculator'!$F$4,'Investment Calculator'!$C$6,"")</f>
        <v/>
      </c>
      <c r="E1074" s="27" t="str">
        <f>IFERROR((F1073+D1074)*'Investment Calculator'!$C$7/'Investment Calculator'!$F$4,"")</f>
        <v/>
      </c>
      <c r="F1074" s="27" t="str">
        <f>IFERROR(ABS(FV('Investment Calculator'!$C$7/'Investment Calculator'!$F$4,'SIP Schedule'!C1074,'SIP Schedule'!D1074,,1)),"")</f>
        <v/>
      </c>
    </row>
    <row r="1075" spans="3:6" x14ac:dyDescent="0.3">
      <c r="C1075" s="1" t="str">
        <f>IF(C1074&lt;'Investment Calculator'!$C$8*'Investment Calculator'!$F$4,'SIP Schedule'!C1074+1,"")</f>
        <v/>
      </c>
      <c r="D1075" s="27" t="str">
        <f>IF(C1075&lt;='Investment Calculator'!$C$8*'Investment Calculator'!$F$4,'Investment Calculator'!$C$6,"")</f>
        <v/>
      </c>
      <c r="E1075" s="27" t="str">
        <f>IFERROR((F1074+D1075)*'Investment Calculator'!$C$7/'Investment Calculator'!$F$4,"")</f>
        <v/>
      </c>
      <c r="F1075" s="27" t="str">
        <f>IFERROR(ABS(FV('Investment Calculator'!$C$7/'Investment Calculator'!$F$4,'SIP Schedule'!C1075,'SIP Schedule'!D1075,,1)),"")</f>
        <v/>
      </c>
    </row>
    <row r="1076" spans="3:6" x14ac:dyDescent="0.3">
      <c r="C1076" s="1" t="str">
        <f>IF(C1075&lt;'Investment Calculator'!$C$8*'Investment Calculator'!$F$4,'SIP Schedule'!C1075+1,"")</f>
        <v/>
      </c>
      <c r="D1076" s="27" t="str">
        <f>IF(C1076&lt;='Investment Calculator'!$C$8*'Investment Calculator'!$F$4,'Investment Calculator'!$C$6,"")</f>
        <v/>
      </c>
      <c r="E1076" s="27" t="str">
        <f>IFERROR((F1075+D1076)*'Investment Calculator'!$C$7/'Investment Calculator'!$F$4,"")</f>
        <v/>
      </c>
      <c r="F1076" s="27" t="str">
        <f>IFERROR(ABS(FV('Investment Calculator'!$C$7/'Investment Calculator'!$F$4,'SIP Schedule'!C1076,'SIP Schedule'!D1076,,1)),"")</f>
        <v/>
      </c>
    </row>
    <row r="1077" spans="3:6" x14ac:dyDescent="0.3">
      <c r="C1077" s="1" t="str">
        <f>IF(C1076&lt;'Investment Calculator'!$C$8*'Investment Calculator'!$F$4,'SIP Schedule'!C1076+1,"")</f>
        <v/>
      </c>
      <c r="D1077" s="27" t="str">
        <f>IF(C1077&lt;='Investment Calculator'!$C$8*'Investment Calculator'!$F$4,'Investment Calculator'!$C$6,"")</f>
        <v/>
      </c>
      <c r="E1077" s="27" t="str">
        <f>IFERROR((F1076+D1077)*'Investment Calculator'!$C$7/'Investment Calculator'!$F$4,"")</f>
        <v/>
      </c>
      <c r="F1077" s="27" t="str">
        <f>IFERROR(ABS(FV('Investment Calculator'!$C$7/'Investment Calculator'!$F$4,'SIP Schedule'!C1077,'SIP Schedule'!D1077,,1)),"")</f>
        <v/>
      </c>
    </row>
    <row r="1078" spans="3:6" x14ac:dyDescent="0.3">
      <c r="C1078" s="1" t="str">
        <f>IF(C1077&lt;'Investment Calculator'!$C$8*'Investment Calculator'!$F$4,'SIP Schedule'!C1077+1,"")</f>
        <v/>
      </c>
      <c r="D1078" s="27" t="str">
        <f>IF(C1078&lt;='Investment Calculator'!$C$8*'Investment Calculator'!$F$4,'Investment Calculator'!$C$6,"")</f>
        <v/>
      </c>
      <c r="E1078" s="27" t="str">
        <f>IFERROR((F1077+D1078)*'Investment Calculator'!$C$7/'Investment Calculator'!$F$4,"")</f>
        <v/>
      </c>
      <c r="F1078" s="27" t="str">
        <f>IFERROR(ABS(FV('Investment Calculator'!$C$7/'Investment Calculator'!$F$4,'SIP Schedule'!C1078,'SIP Schedule'!D1078,,1)),"")</f>
        <v/>
      </c>
    </row>
    <row r="1079" spans="3:6" x14ac:dyDescent="0.3">
      <c r="C1079" s="1" t="str">
        <f>IF(C1078&lt;'Investment Calculator'!$C$8*'Investment Calculator'!$F$4,'SIP Schedule'!C1078+1,"")</f>
        <v/>
      </c>
      <c r="D1079" s="27" t="str">
        <f>IF(C1079&lt;='Investment Calculator'!$C$8*'Investment Calculator'!$F$4,'Investment Calculator'!$C$6,"")</f>
        <v/>
      </c>
      <c r="E1079" s="27" t="str">
        <f>IFERROR((F1078+D1079)*'Investment Calculator'!$C$7/'Investment Calculator'!$F$4,"")</f>
        <v/>
      </c>
      <c r="F1079" s="27" t="str">
        <f>IFERROR(ABS(FV('Investment Calculator'!$C$7/'Investment Calculator'!$F$4,'SIP Schedule'!C1079,'SIP Schedule'!D1079,,1)),"")</f>
        <v/>
      </c>
    </row>
    <row r="1080" spans="3:6" x14ac:dyDescent="0.3">
      <c r="C1080" s="1" t="str">
        <f>IF(C1079&lt;'Investment Calculator'!$C$8*'Investment Calculator'!$F$4,'SIP Schedule'!C1079+1,"")</f>
        <v/>
      </c>
      <c r="D1080" s="27" t="str">
        <f>IF(C1080&lt;='Investment Calculator'!$C$8*'Investment Calculator'!$F$4,'Investment Calculator'!$C$6,"")</f>
        <v/>
      </c>
      <c r="E1080" s="27" t="str">
        <f>IFERROR((F1079+D1080)*'Investment Calculator'!$C$7/'Investment Calculator'!$F$4,"")</f>
        <v/>
      </c>
      <c r="F1080" s="27" t="str">
        <f>IFERROR(ABS(FV('Investment Calculator'!$C$7/'Investment Calculator'!$F$4,'SIP Schedule'!C1080,'SIP Schedule'!D1080,,1)),"")</f>
        <v/>
      </c>
    </row>
    <row r="1081" spans="3:6" x14ac:dyDescent="0.3">
      <c r="C1081" s="1" t="str">
        <f>IF(C1080&lt;'Investment Calculator'!$C$8*'Investment Calculator'!$F$4,'SIP Schedule'!C1080+1,"")</f>
        <v/>
      </c>
      <c r="D1081" s="27" t="str">
        <f>IF(C1081&lt;='Investment Calculator'!$C$8*'Investment Calculator'!$F$4,'Investment Calculator'!$C$6,"")</f>
        <v/>
      </c>
      <c r="E1081" s="27" t="str">
        <f>IFERROR((F1080+D1081)*'Investment Calculator'!$C$7/'Investment Calculator'!$F$4,"")</f>
        <v/>
      </c>
      <c r="F1081" s="27" t="str">
        <f>IFERROR(ABS(FV('Investment Calculator'!$C$7/'Investment Calculator'!$F$4,'SIP Schedule'!C1081,'SIP Schedule'!D1081,,1)),"")</f>
        <v/>
      </c>
    </row>
    <row r="1082" spans="3:6" x14ac:dyDescent="0.3">
      <c r="C1082" s="1" t="str">
        <f>IF(C1081&lt;'Investment Calculator'!$C$8*'Investment Calculator'!$F$4,'SIP Schedule'!C1081+1,"")</f>
        <v/>
      </c>
      <c r="D1082" s="27" t="str">
        <f>IF(C1082&lt;='Investment Calculator'!$C$8*'Investment Calculator'!$F$4,'Investment Calculator'!$C$6,"")</f>
        <v/>
      </c>
      <c r="E1082" s="27" t="str">
        <f>IFERROR((F1081+D1082)*'Investment Calculator'!$C$7/'Investment Calculator'!$F$4,"")</f>
        <v/>
      </c>
      <c r="F1082" s="27" t="str">
        <f>IFERROR(ABS(FV('Investment Calculator'!$C$7/'Investment Calculator'!$F$4,'SIP Schedule'!C1082,'SIP Schedule'!D1082,,1)),"")</f>
        <v/>
      </c>
    </row>
    <row r="1083" spans="3:6" x14ac:dyDescent="0.3">
      <c r="C1083" s="1" t="str">
        <f>IF(C1082&lt;'Investment Calculator'!$C$8*'Investment Calculator'!$F$4,'SIP Schedule'!C1082+1,"")</f>
        <v/>
      </c>
      <c r="D1083" s="27" t="str">
        <f>IF(C1083&lt;='Investment Calculator'!$C$8*'Investment Calculator'!$F$4,'Investment Calculator'!$C$6,"")</f>
        <v/>
      </c>
      <c r="E1083" s="27" t="str">
        <f>IFERROR((F1082+D1083)*'Investment Calculator'!$C$7/'Investment Calculator'!$F$4,"")</f>
        <v/>
      </c>
      <c r="F1083" s="27" t="str">
        <f>IFERROR(ABS(FV('Investment Calculator'!$C$7/'Investment Calculator'!$F$4,'SIP Schedule'!C1083,'SIP Schedule'!D1083,,1)),"")</f>
        <v/>
      </c>
    </row>
    <row r="1084" spans="3:6" x14ac:dyDescent="0.3">
      <c r="C1084" s="1" t="str">
        <f>IF(C1083&lt;'Investment Calculator'!$C$8*'Investment Calculator'!$F$4,'SIP Schedule'!C1083+1,"")</f>
        <v/>
      </c>
      <c r="D1084" s="27" t="str">
        <f>IF(C1084&lt;='Investment Calculator'!$C$8*'Investment Calculator'!$F$4,'Investment Calculator'!$C$6,"")</f>
        <v/>
      </c>
      <c r="E1084" s="27" t="str">
        <f>IFERROR((F1083+D1084)*'Investment Calculator'!$C$7/'Investment Calculator'!$F$4,"")</f>
        <v/>
      </c>
      <c r="F1084" s="27" t="str">
        <f>IFERROR(ABS(FV('Investment Calculator'!$C$7/'Investment Calculator'!$F$4,'SIP Schedule'!C1084,'SIP Schedule'!D1084,,1)),"")</f>
        <v/>
      </c>
    </row>
    <row r="1085" spans="3:6" x14ac:dyDescent="0.3">
      <c r="C1085" s="1" t="str">
        <f>IF(C1084&lt;'Investment Calculator'!$C$8*'Investment Calculator'!$F$4,'SIP Schedule'!C1084+1,"")</f>
        <v/>
      </c>
      <c r="D1085" s="27" t="str">
        <f>IF(C1085&lt;='Investment Calculator'!$C$8*'Investment Calculator'!$F$4,'Investment Calculator'!$C$6,"")</f>
        <v/>
      </c>
      <c r="E1085" s="27" t="str">
        <f>IFERROR((F1084+D1085)*'Investment Calculator'!$C$7/'Investment Calculator'!$F$4,"")</f>
        <v/>
      </c>
      <c r="F1085" s="27" t="str">
        <f>IFERROR(ABS(FV('Investment Calculator'!$C$7/'Investment Calculator'!$F$4,'SIP Schedule'!C1085,'SIP Schedule'!D1085,,1)),"")</f>
        <v/>
      </c>
    </row>
    <row r="1086" spans="3:6" x14ac:dyDescent="0.3">
      <c r="C1086" s="1" t="str">
        <f>IF(C1085&lt;'Investment Calculator'!$C$8*'Investment Calculator'!$F$4,'SIP Schedule'!C1085+1,"")</f>
        <v/>
      </c>
      <c r="D1086" s="27" t="str">
        <f>IF(C1086&lt;='Investment Calculator'!$C$8*'Investment Calculator'!$F$4,'Investment Calculator'!$C$6,"")</f>
        <v/>
      </c>
      <c r="E1086" s="27" t="str">
        <f>IFERROR((F1085+D1086)*'Investment Calculator'!$C$7/'Investment Calculator'!$F$4,"")</f>
        <v/>
      </c>
      <c r="F1086" s="27" t="str">
        <f>IFERROR(ABS(FV('Investment Calculator'!$C$7/'Investment Calculator'!$F$4,'SIP Schedule'!C1086,'SIP Schedule'!D1086,,1)),"")</f>
        <v/>
      </c>
    </row>
    <row r="1087" spans="3:6" x14ac:dyDescent="0.3">
      <c r="C1087" s="1" t="str">
        <f>IF(C1086&lt;'Investment Calculator'!$C$8*'Investment Calculator'!$F$4,'SIP Schedule'!C1086+1,"")</f>
        <v/>
      </c>
      <c r="D1087" s="27" t="str">
        <f>IF(C1087&lt;='Investment Calculator'!$C$8*'Investment Calculator'!$F$4,'Investment Calculator'!$C$6,"")</f>
        <v/>
      </c>
      <c r="E1087" s="27" t="str">
        <f>IFERROR((F1086+D1087)*'Investment Calculator'!$C$7/'Investment Calculator'!$F$4,"")</f>
        <v/>
      </c>
      <c r="F1087" s="27" t="str">
        <f>IFERROR(ABS(FV('Investment Calculator'!$C$7/'Investment Calculator'!$F$4,'SIP Schedule'!C1087,'SIP Schedule'!D1087,,1)),"")</f>
        <v/>
      </c>
    </row>
    <row r="1088" spans="3:6" x14ac:dyDescent="0.3">
      <c r="C1088" s="1" t="str">
        <f>IF(C1087&lt;'Investment Calculator'!$C$8*'Investment Calculator'!$F$4,'SIP Schedule'!C1087+1,"")</f>
        <v/>
      </c>
      <c r="D1088" s="27" t="str">
        <f>IF(C1088&lt;='Investment Calculator'!$C$8*'Investment Calculator'!$F$4,'Investment Calculator'!$C$6,"")</f>
        <v/>
      </c>
      <c r="E1088" s="27" t="str">
        <f>IFERROR((F1087+D1088)*'Investment Calculator'!$C$7/'Investment Calculator'!$F$4,"")</f>
        <v/>
      </c>
      <c r="F1088" s="27" t="str">
        <f>IFERROR(ABS(FV('Investment Calculator'!$C$7/'Investment Calculator'!$F$4,'SIP Schedule'!C1088,'SIP Schedule'!D1088,,1)),"")</f>
        <v/>
      </c>
    </row>
    <row r="1089" spans="3:6" x14ac:dyDescent="0.3">
      <c r="C1089" s="1" t="str">
        <f>IF(C1088&lt;'Investment Calculator'!$C$8*'Investment Calculator'!$F$4,'SIP Schedule'!C1088+1,"")</f>
        <v/>
      </c>
      <c r="D1089" s="27" t="str">
        <f>IF(C1089&lt;='Investment Calculator'!$C$8*'Investment Calculator'!$F$4,'Investment Calculator'!$C$6,"")</f>
        <v/>
      </c>
      <c r="E1089" s="27" t="str">
        <f>IFERROR((F1088+D1089)*'Investment Calculator'!$C$7/'Investment Calculator'!$F$4,"")</f>
        <v/>
      </c>
      <c r="F1089" s="27" t="str">
        <f>IFERROR(ABS(FV('Investment Calculator'!$C$7/'Investment Calculator'!$F$4,'SIP Schedule'!C1089,'SIP Schedule'!D1089,,1)),"")</f>
        <v/>
      </c>
    </row>
    <row r="1090" spans="3:6" x14ac:dyDescent="0.3">
      <c r="C1090" s="1" t="str">
        <f>IF(C1089&lt;'Investment Calculator'!$C$8*'Investment Calculator'!$F$4,'SIP Schedule'!C1089+1,"")</f>
        <v/>
      </c>
      <c r="D1090" s="27" t="str">
        <f>IF(C1090&lt;='Investment Calculator'!$C$8*'Investment Calculator'!$F$4,'Investment Calculator'!$C$6,"")</f>
        <v/>
      </c>
      <c r="E1090" s="27" t="str">
        <f>IFERROR((F1089+D1090)*'Investment Calculator'!$C$7/'Investment Calculator'!$F$4,"")</f>
        <v/>
      </c>
      <c r="F1090" s="27" t="str">
        <f>IFERROR(ABS(FV('Investment Calculator'!$C$7/'Investment Calculator'!$F$4,'SIP Schedule'!C1090,'SIP Schedule'!D1090,,1)),"")</f>
        <v/>
      </c>
    </row>
    <row r="1091" spans="3:6" x14ac:dyDescent="0.3">
      <c r="C1091" s="1" t="str">
        <f>IF(C1090&lt;'Investment Calculator'!$C$8*'Investment Calculator'!$F$4,'SIP Schedule'!C1090+1,"")</f>
        <v/>
      </c>
      <c r="D1091" s="27" t="str">
        <f>IF(C1091&lt;='Investment Calculator'!$C$8*'Investment Calculator'!$F$4,'Investment Calculator'!$C$6,"")</f>
        <v/>
      </c>
      <c r="E1091" s="27" t="str">
        <f>IFERROR((F1090+D1091)*'Investment Calculator'!$C$7/'Investment Calculator'!$F$4,"")</f>
        <v/>
      </c>
      <c r="F1091" s="27" t="str">
        <f>IFERROR(ABS(FV('Investment Calculator'!$C$7/'Investment Calculator'!$F$4,'SIP Schedule'!C1091,'SIP Schedule'!D1091,,1)),"")</f>
        <v/>
      </c>
    </row>
    <row r="1092" spans="3:6" x14ac:dyDescent="0.3">
      <c r="C1092" s="1" t="str">
        <f>IF(C1091&lt;'Investment Calculator'!$C$8*'Investment Calculator'!$F$4,'SIP Schedule'!C1091+1,"")</f>
        <v/>
      </c>
      <c r="D1092" s="27" t="str">
        <f>IF(C1092&lt;='Investment Calculator'!$C$8*'Investment Calculator'!$F$4,'Investment Calculator'!$C$6,"")</f>
        <v/>
      </c>
      <c r="E1092" s="27" t="str">
        <f>IFERROR((F1091+D1092)*'Investment Calculator'!$C$7/'Investment Calculator'!$F$4,"")</f>
        <v/>
      </c>
      <c r="F1092" s="27" t="str">
        <f>IFERROR(ABS(FV('Investment Calculator'!$C$7/'Investment Calculator'!$F$4,'SIP Schedule'!C1092,'SIP Schedule'!D1092,,1)),"")</f>
        <v/>
      </c>
    </row>
    <row r="1093" spans="3:6" x14ac:dyDescent="0.3">
      <c r="C1093" s="1" t="str">
        <f>IF(C1092&lt;'Investment Calculator'!$C$8*'Investment Calculator'!$F$4,'SIP Schedule'!C1092+1,"")</f>
        <v/>
      </c>
      <c r="D1093" s="27" t="str">
        <f>IF(C1093&lt;='Investment Calculator'!$C$8*'Investment Calculator'!$F$4,'Investment Calculator'!$C$6,"")</f>
        <v/>
      </c>
      <c r="E1093" s="27" t="str">
        <f>IFERROR((F1092+D1093)*'Investment Calculator'!$C$7/'Investment Calculator'!$F$4,"")</f>
        <v/>
      </c>
      <c r="F1093" s="27" t="str">
        <f>IFERROR(ABS(FV('Investment Calculator'!$C$7/'Investment Calculator'!$F$4,'SIP Schedule'!C1093,'SIP Schedule'!D1093,,1)),"")</f>
        <v/>
      </c>
    </row>
    <row r="1094" spans="3:6" x14ac:dyDescent="0.3">
      <c r="C1094" s="1" t="str">
        <f>IF(C1093&lt;'Investment Calculator'!$C$8*'Investment Calculator'!$F$4,'SIP Schedule'!C1093+1,"")</f>
        <v/>
      </c>
      <c r="D1094" s="27" t="str">
        <f>IF(C1094&lt;='Investment Calculator'!$C$8*'Investment Calculator'!$F$4,'Investment Calculator'!$C$6,"")</f>
        <v/>
      </c>
      <c r="E1094" s="27" t="str">
        <f>IFERROR((F1093+D1094)*'Investment Calculator'!$C$7/'Investment Calculator'!$F$4,"")</f>
        <v/>
      </c>
      <c r="F1094" s="27" t="str">
        <f>IFERROR(ABS(FV('Investment Calculator'!$C$7/'Investment Calculator'!$F$4,'SIP Schedule'!C1094,'SIP Schedule'!D1094,,1)),"")</f>
        <v/>
      </c>
    </row>
    <row r="1095" spans="3:6" x14ac:dyDescent="0.3">
      <c r="C1095" s="1" t="str">
        <f>IF(C1094&lt;'Investment Calculator'!$C$8*'Investment Calculator'!$F$4,'SIP Schedule'!C1094+1,"")</f>
        <v/>
      </c>
      <c r="D1095" s="27" t="str">
        <f>IF(C1095&lt;='Investment Calculator'!$C$8*'Investment Calculator'!$F$4,'Investment Calculator'!$C$6,"")</f>
        <v/>
      </c>
      <c r="E1095" s="27" t="str">
        <f>IFERROR((F1094+D1095)*'Investment Calculator'!$C$7/'Investment Calculator'!$F$4,"")</f>
        <v/>
      </c>
      <c r="F1095" s="27" t="str">
        <f>IFERROR(ABS(FV('Investment Calculator'!$C$7/'Investment Calculator'!$F$4,'SIP Schedule'!C1095,'SIP Schedule'!D1095,,1)),"")</f>
        <v/>
      </c>
    </row>
    <row r="1096" spans="3:6" x14ac:dyDescent="0.3">
      <c r="C1096" s="1" t="str">
        <f>IF(C1095&lt;'Investment Calculator'!$C$8*'Investment Calculator'!$F$4,'SIP Schedule'!C1095+1,"")</f>
        <v/>
      </c>
      <c r="D1096" s="27" t="str">
        <f>IF(C1096&lt;='Investment Calculator'!$C$8*'Investment Calculator'!$F$4,'Investment Calculator'!$C$6,"")</f>
        <v/>
      </c>
      <c r="E1096" s="27" t="str">
        <f>IFERROR((F1095+D1096)*'Investment Calculator'!$C$7/'Investment Calculator'!$F$4,"")</f>
        <v/>
      </c>
      <c r="F1096" s="27" t="str">
        <f>IFERROR(ABS(FV('Investment Calculator'!$C$7/'Investment Calculator'!$F$4,'SIP Schedule'!C1096,'SIP Schedule'!D1096,,1)),"")</f>
        <v/>
      </c>
    </row>
    <row r="1097" spans="3:6" x14ac:dyDescent="0.3">
      <c r="C1097" s="1" t="str">
        <f>IF(C1096&lt;'Investment Calculator'!$C$8*'Investment Calculator'!$F$4,'SIP Schedule'!C1096+1,"")</f>
        <v/>
      </c>
      <c r="D1097" s="27" t="str">
        <f>IF(C1097&lt;='Investment Calculator'!$C$8*'Investment Calculator'!$F$4,'Investment Calculator'!$C$6,"")</f>
        <v/>
      </c>
      <c r="E1097" s="27" t="str">
        <f>IFERROR((F1096+D1097)*'Investment Calculator'!$C$7/'Investment Calculator'!$F$4,"")</f>
        <v/>
      </c>
      <c r="F1097" s="27" t="str">
        <f>IFERROR(ABS(FV('Investment Calculator'!$C$7/'Investment Calculator'!$F$4,'SIP Schedule'!C1097,'SIP Schedule'!D1097,,1)),"")</f>
        <v/>
      </c>
    </row>
    <row r="1098" spans="3:6" x14ac:dyDescent="0.3">
      <c r="C1098" s="1" t="str">
        <f>IF(C1097&lt;'Investment Calculator'!$C$8*'Investment Calculator'!$F$4,'SIP Schedule'!C1097+1,"")</f>
        <v/>
      </c>
      <c r="D1098" s="27" t="str">
        <f>IF(C1098&lt;='Investment Calculator'!$C$8*'Investment Calculator'!$F$4,'Investment Calculator'!$C$6,"")</f>
        <v/>
      </c>
      <c r="E1098" s="27" t="str">
        <f>IFERROR((F1097+D1098)*'Investment Calculator'!$C$7/'Investment Calculator'!$F$4,"")</f>
        <v/>
      </c>
      <c r="F1098" s="27" t="str">
        <f>IFERROR(ABS(FV('Investment Calculator'!$C$7/'Investment Calculator'!$F$4,'SIP Schedule'!C1098,'SIP Schedule'!D1098,,1)),"")</f>
        <v/>
      </c>
    </row>
    <row r="1099" spans="3:6" x14ac:dyDescent="0.3">
      <c r="C1099" s="1" t="str">
        <f>IF(C1098&lt;'Investment Calculator'!$C$8*'Investment Calculator'!$F$4,'SIP Schedule'!C1098+1,"")</f>
        <v/>
      </c>
      <c r="D1099" s="27" t="str">
        <f>IF(C1099&lt;='Investment Calculator'!$C$8*'Investment Calculator'!$F$4,'Investment Calculator'!$C$6,"")</f>
        <v/>
      </c>
      <c r="E1099" s="27" t="str">
        <f>IFERROR((F1098+D1099)*'Investment Calculator'!$C$7/'Investment Calculator'!$F$4,"")</f>
        <v/>
      </c>
      <c r="F1099" s="27" t="str">
        <f>IFERROR(ABS(FV('Investment Calculator'!$C$7/'Investment Calculator'!$F$4,'SIP Schedule'!C1099,'SIP Schedule'!D1099,,1)),"")</f>
        <v/>
      </c>
    </row>
    <row r="1100" spans="3:6" x14ac:dyDescent="0.3">
      <c r="C1100" s="1" t="str">
        <f>IF(C1099&lt;'Investment Calculator'!$C$8*'Investment Calculator'!$F$4,'SIP Schedule'!C1099+1,"")</f>
        <v/>
      </c>
      <c r="D1100" s="27" t="str">
        <f>IF(C1100&lt;='Investment Calculator'!$C$8*'Investment Calculator'!$F$4,'Investment Calculator'!$C$6,"")</f>
        <v/>
      </c>
      <c r="E1100" s="27" t="str">
        <f>IFERROR((F1099+D1100)*'Investment Calculator'!$C$7/'Investment Calculator'!$F$4,"")</f>
        <v/>
      </c>
      <c r="F1100" s="27" t="str">
        <f>IFERROR(ABS(FV('Investment Calculator'!$C$7/'Investment Calculator'!$F$4,'SIP Schedule'!C1100,'SIP Schedule'!D1100,,1)),"")</f>
        <v/>
      </c>
    </row>
    <row r="1101" spans="3:6" x14ac:dyDescent="0.3">
      <c r="C1101" s="1" t="str">
        <f>IF(C1100&lt;'Investment Calculator'!$C$8*'Investment Calculator'!$F$4,'SIP Schedule'!C1100+1,"")</f>
        <v/>
      </c>
      <c r="D1101" s="27" t="str">
        <f>IF(C1101&lt;='Investment Calculator'!$C$8*'Investment Calculator'!$F$4,'Investment Calculator'!$C$6,"")</f>
        <v/>
      </c>
      <c r="E1101" s="27" t="str">
        <f>IFERROR((F1100+D1101)*'Investment Calculator'!$C$7/'Investment Calculator'!$F$4,"")</f>
        <v/>
      </c>
      <c r="F1101" s="27" t="str">
        <f>IFERROR(ABS(FV('Investment Calculator'!$C$7/'Investment Calculator'!$F$4,'SIP Schedule'!C1101,'SIP Schedule'!D1101,,1)),"")</f>
        <v/>
      </c>
    </row>
    <row r="1102" spans="3:6" x14ac:dyDescent="0.3">
      <c r="C1102" s="1" t="str">
        <f>IF(C1101&lt;'Investment Calculator'!$C$8*'Investment Calculator'!$F$4,'SIP Schedule'!C1101+1,"")</f>
        <v/>
      </c>
      <c r="D1102" s="27" t="str">
        <f>IF(C1102&lt;='Investment Calculator'!$C$8*'Investment Calculator'!$F$4,'Investment Calculator'!$C$6,"")</f>
        <v/>
      </c>
      <c r="E1102" s="27" t="str">
        <f>IFERROR((F1101+D1102)*'Investment Calculator'!$C$7/'Investment Calculator'!$F$4,"")</f>
        <v/>
      </c>
      <c r="F1102" s="27" t="str">
        <f>IFERROR(ABS(FV('Investment Calculator'!$C$7/'Investment Calculator'!$F$4,'SIP Schedule'!C1102,'SIP Schedule'!D1102,,1)),"")</f>
        <v/>
      </c>
    </row>
    <row r="1103" spans="3:6" x14ac:dyDescent="0.3">
      <c r="C1103" s="1" t="str">
        <f>IF(C1102&lt;'Investment Calculator'!$C$8*'Investment Calculator'!$F$4,'SIP Schedule'!C1102+1,"")</f>
        <v/>
      </c>
      <c r="D1103" s="27" t="str">
        <f>IF(C1103&lt;='Investment Calculator'!$C$8*'Investment Calculator'!$F$4,'Investment Calculator'!$C$6,"")</f>
        <v/>
      </c>
      <c r="E1103" s="27" t="str">
        <f>IFERROR((F1102+D1103)*'Investment Calculator'!$C$7/'Investment Calculator'!$F$4,"")</f>
        <v/>
      </c>
      <c r="F1103" s="27" t="str">
        <f>IFERROR(ABS(FV('Investment Calculator'!$C$7/'Investment Calculator'!$F$4,'SIP Schedule'!C1103,'SIP Schedule'!D1103,,1)),"")</f>
        <v/>
      </c>
    </row>
    <row r="1104" spans="3:6" x14ac:dyDescent="0.3">
      <c r="C1104" s="1" t="str">
        <f>IF(C1103&lt;'Investment Calculator'!$C$8*'Investment Calculator'!$F$4,'SIP Schedule'!C1103+1,"")</f>
        <v/>
      </c>
      <c r="D1104" s="27" t="str">
        <f>IF(C1104&lt;='Investment Calculator'!$C$8*'Investment Calculator'!$F$4,'Investment Calculator'!$C$6,"")</f>
        <v/>
      </c>
      <c r="E1104" s="27" t="str">
        <f>IFERROR((F1103+D1104)*'Investment Calculator'!$C$7/'Investment Calculator'!$F$4,"")</f>
        <v/>
      </c>
      <c r="F1104" s="27" t="str">
        <f>IFERROR(ABS(FV('Investment Calculator'!$C$7/'Investment Calculator'!$F$4,'SIP Schedule'!C1104,'SIP Schedule'!D1104,,1)),"")</f>
        <v/>
      </c>
    </row>
    <row r="1105" spans="3:6" x14ac:dyDescent="0.3">
      <c r="C1105" s="1" t="str">
        <f>IF(C1104&lt;'Investment Calculator'!$C$8*'Investment Calculator'!$F$4,'SIP Schedule'!C1104+1,"")</f>
        <v/>
      </c>
      <c r="D1105" s="27" t="str">
        <f>IF(C1105&lt;='Investment Calculator'!$C$8*'Investment Calculator'!$F$4,'Investment Calculator'!$C$6,"")</f>
        <v/>
      </c>
      <c r="E1105" s="27" t="str">
        <f>IFERROR((F1104+D1105)*'Investment Calculator'!$C$7/'Investment Calculator'!$F$4,"")</f>
        <v/>
      </c>
      <c r="F1105" s="27" t="str">
        <f>IFERROR(ABS(FV('Investment Calculator'!$C$7/'Investment Calculator'!$F$4,'SIP Schedule'!C1105,'SIP Schedule'!D1105,,1)),"")</f>
        <v/>
      </c>
    </row>
    <row r="1106" spans="3:6" x14ac:dyDescent="0.3">
      <c r="C1106" s="1" t="str">
        <f>IF(C1105&lt;'Investment Calculator'!$C$8*'Investment Calculator'!$F$4,'SIP Schedule'!C1105+1,"")</f>
        <v/>
      </c>
      <c r="D1106" s="27" t="str">
        <f>IF(C1106&lt;='Investment Calculator'!$C$8*'Investment Calculator'!$F$4,'Investment Calculator'!$C$6,"")</f>
        <v/>
      </c>
      <c r="E1106" s="27" t="str">
        <f>IFERROR((F1105+D1106)*'Investment Calculator'!$C$7/'Investment Calculator'!$F$4,"")</f>
        <v/>
      </c>
      <c r="F1106" s="27" t="str">
        <f>IFERROR(ABS(FV('Investment Calculator'!$C$7/'Investment Calculator'!$F$4,'SIP Schedule'!C1106,'SIP Schedule'!D1106,,1)),"")</f>
        <v/>
      </c>
    </row>
    <row r="1107" spans="3:6" x14ac:dyDescent="0.3">
      <c r="C1107" s="1" t="str">
        <f>IF(C1106&lt;'Investment Calculator'!$C$8*'Investment Calculator'!$F$4,'SIP Schedule'!C1106+1,"")</f>
        <v/>
      </c>
      <c r="D1107" s="27" t="str">
        <f>IF(C1107&lt;='Investment Calculator'!$C$8*'Investment Calculator'!$F$4,'Investment Calculator'!$C$6,"")</f>
        <v/>
      </c>
      <c r="E1107" s="27" t="str">
        <f>IFERROR((F1106+D1107)*'Investment Calculator'!$C$7/'Investment Calculator'!$F$4,"")</f>
        <v/>
      </c>
      <c r="F1107" s="27" t="str">
        <f>IFERROR(ABS(FV('Investment Calculator'!$C$7/'Investment Calculator'!$F$4,'SIP Schedule'!C1107,'SIP Schedule'!D1107,,1)),"")</f>
        <v/>
      </c>
    </row>
    <row r="1108" spans="3:6" x14ac:dyDescent="0.3">
      <c r="C1108" s="1" t="str">
        <f>IF(C1107&lt;'Investment Calculator'!$C$8*'Investment Calculator'!$F$4,'SIP Schedule'!C1107+1,"")</f>
        <v/>
      </c>
      <c r="D1108" s="27" t="str">
        <f>IF(C1108&lt;='Investment Calculator'!$C$8*'Investment Calculator'!$F$4,'Investment Calculator'!$C$6,"")</f>
        <v/>
      </c>
      <c r="E1108" s="27" t="str">
        <f>IFERROR((F1107+D1108)*'Investment Calculator'!$C$7/'Investment Calculator'!$F$4,"")</f>
        <v/>
      </c>
      <c r="F1108" s="27" t="str">
        <f>IFERROR(ABS(FV('Investment Calculator'!$C$7/'Investment Calculator'!$F$4,'SIP Schedule'!C1108,'SIP Schedule'!D1108,,1)),"")</f>
        <v/>
      </c>
    </row>
    <row r="1109" spans="3:6" x14ac:dyDescent="0.3">
      <c r="C1109" s="1" t="str">
        <f>IF(C1108&lt;'Investment Calculator'!$C$8*'Investment Calculator'!$F$4,'SIP Schedule'!C1108+1,"")</f>
        <v/>
      </c>
      <c r="D1109" s="27" t="str">
        <f>IF(C1109&lt;='Investment Calculator'!$C$8*'Investment Calculator'!$F$4,'Investment Calculator'!$C$6,"")</f>
        <v/>
      </c>
      <c r="E1109" s="27" t="str">
        <f>IFERROR((F1108+D1109)*'Investment Calculator'!$C$7/'Investment Calculator'!$F$4,"")</f>
        <v/>
      </c>
      <c r="F1109" s="27" t="str">
        <f>IFERROR(ABS(FV('Investment Calculator'!$C$7/'Investment Calculator'!$F$4,'SIP Schedule'!C1109,'SIP Schedule'!D1109,,1)),"")</f>
        <v/>
      </c>
    </row>
    <row r="1110" spans="3:6" x14ac:dyDescent="0.3">
      <c r="C1110" s="1" t="str">
        <f>IF(C1109&lt;'Investment Calculator'!$C$8*'Investment Calculator'!$F$4,'SIP Schedule'!C1109+1,"")</f>
        <v/>
      </c>
      <c r="D1110" s="27" t="str">
        <f>IF(C1110&lt;='Investment Calculator'!$C$8*'Investment Calculator'!$F$4,'Investment Calculator'!$C$6,"")</f>
        <v/>
      </c>
      <c r="E1110" s="27" t="str">
        <f>IFERROR((F1109+D1110)*'Investment Calculator'!$C$7/'Investment Calculator'!$F$4,"")</f>
        <v/>
      </c>
      <c r="F1110" s="27" t="str">
        <f>IFERROR(ABS(FV('Investment Calculator'!$C$7/'Investment Calculator'!$F$4,'SIP Schedule'!C1110,'SIP Schedule'!D1110,,1)),"")</f>
        <v/>
      </c>
    </row>
    <row r="1111" spans="3:6" x14ac:dyDescent="0.3">
      <c r="C1111" s="1" t="str">
        <f>IF(C1110&lt;'Investment Calculator'!$C$8*'Investment Calculator'!$F$4,'SIP Schedule'!C1110+1,"")</f>
        <v/>
      </c>
      <c r="D1111" s="27" t="str">
        <f>IF(C1111&lt;='Investment Calculator'!$C$8*'Investment Calculator'!$F$4,'Investment Calculator'!$C$6,"")</f>
        <v/>
      </c>
      <c r="E1111" s="27" t="str">
        <f>IFERROR((F1110+D1111)*'Investment Calculator'!$C$7/'Investment Calculator'!$F$4,"")</f>
        <v/>
      </c>
      <c r="F1111" s="27" t="str">
        <f>IFERROR(ABS(FV('Investment Calculator'!$C$7/'Investment Calculator'!$F$4,'SIP Schedule'!C1111,'SIP Schedule'!D1111,,1)),"")</f>
        <v/>
      </c>
    </row>
    <row r="1112" spans="3:6" x14ac:dyDescent="0.3">
      <c r="C1112" s="1" t="str">
        <f>IF(C1111&lt;'Investment Calculator'!$C$8*'Investment Calculator'!$F$4,'SIP Schedule'!C1111+1,"")</f>
        <v/>
      </c>
      <c r="D1112" s="27" t="str">
        <f>IF(C1112&lt;='Investment Calculator'!$C$8*'Investment Calculator'!$F$4,'Investment Calculator'!$C$6,"")</f>
        <v/>
      </c>
      <c r="E1112" s="27" t="str">
        <f>IFERROR((F1111+D1112)*'Investment Calculator'!$C$7/'Investment Calculator'!$F$4,"")</f>
        <v/>
      </c>
      <c r="F1112" s="27" t="str">
        <f>IFERROR(ABS(FV('Investment Calculator'!$C$7/'Investment Calculator'!$F$4,'SIP Schedule'!C1112,'SIP Schedule'!D1112,,1)),"")</f>
        <v/>
      </c>
    </row>
    <row r="1113" spans="3:6" x14ac:dyDescent="0.3">
      <c r="C1113" s="1" t="str">
        <f>IF(C1112&lt;'Investment Calculator'!$C$8*'Investment Calculator'!$F$4,'SIP Schedule'!C1112+1,"")</f>
        <v/>
      </c>
      <c r="D1113" s="27" t="str">
        <f>IF(C1113&lt;='Investment Calculator'!$C$8*'Investment Calculator'!$F$4,'Investment Calculator'!$C$6,"")</f>
        <v/>
      </c>
      <c r="E1113" s="27" t="str">
        <f>IFERROR((F1112+D1113)*'Investment Calculator'!$C$7/'Investment Calculator'!$F$4,"")</f>
        <v/>
      </c>
      <c r="F1113" s="27" t="str">
        <f>IFERROR(ABS(FV('Investment Calculator'!$C$7/'Investment Calculator'!$F$4,'SIP Schedule'!C1113,'SIP Schedule'!D1113,,1)),"")</f>
        <v/>
      </c>
    </row>
    <row r="1114" spans="3:6" x14ac:dyDescent="0.3">
      <c r="C1114" s="1" t="str">
        <f>IF(C1113&lt;'Investment Calculator'!$C$8*'Investment Calculator'!$F$4,'SIP Schedule'!C1113+1,"")</f>
        <v/>
      </c>
      <c r="D1114" s="27" t="str">
        <f>IF(C1114&lt;='Investment Calculator'!$C$8*'Investment Calculator'!$F$4,'Investment Calculator'!$C$6,"")</f>
        <v/>
      </c>
      <c r="E1114" s="27" t="str">
        <f>IFERROR((F1113+D1114)*'Investment Calculator'!$C$7/'Investment Calculator'!$F$4,"")</f>
        <v/>
      </c>
      <c r="F1114" s="27" t="str">
        <f>IFERROR(ABS(FV('Investment Calculator'!$C$7/'Investment Calculator'!$F$4,'SIP Schedule'!C1114,'SIP Schedule'!D1114,,1)),"")</f>
        <v/>
      </c>
    </row>
    <row r="1115" spans="3:6" x14ac:dyDescent="0.3">
      <c r="C1115" s="1" t="str">
        <f>IF(C1114&lt;'Investment Calculator'!$C$8*'Investment Calculator'!$F$4,'SIP Schedule'!C1114+1,"")</f>
        <v/>
      </c>
      <c r="D1115" s="27" t="str">
        <f>IF(C1115&lt;='Investment Calculator'!$C$8*'Investment Calculator'!$F$4,'Investment Calculator'!$C$6,"")</f>
        <v/>
      </c>
      <c r="E1115" s="27" t="str">
        <f>IFERROR((F1114+D1115)*'Investment Calculator'!$C$7/'Investment Calculator'!$F$4,"")</f>
        <v/>
      </c>
      <c r="F1115" s="27" t="str">
        <f>IFERROR(ABS(FV('Investment Calculator'!$C$7/'Investment Calculator'!$F$4,'SIP Schedule'!C1115,'SIP Schedule'!D1115,,1)),"")</f>
        <v/>
      </c>
    </row>
    <row r="1116" spans="3:6" x14ac:dyDescent="0.3">
      <c r="C1116" s="1" t="str">
        <f>IF(C1115&lt;'Investment Calculator'!$C$8*'Investment Calculator'!$F$4,'SIP Schedule'!C1115+1,"")</f>
        <v/>
      </c>
      <c r="D1116" s="27" t="str">
        <f>IF(C1116&lt;='Investment Calculator'!$C$8*'Investment Calculator'!$F$4,'Investment Calculator'!$C$6,"")</f>
        <v/>
      </c>
      <c r="E1116" s="27" t="str">
        <f>IFERROR((F1115+D1116)*'Investment Calculator'!$C$7/'Investment Calculator'!$F$4,"")</f>
        <v/>
      </c>
      <c r="F1116" s="27" t="str">
        <f>IFERROR(ABS(FV('Investment Calculator'!$C$7/'Investment Calculator'!$F$4,'SIP Schedule'!C1116,'SIP Schedule'!D1116,,1)),"")</f>
        <v/>
      </c>
    </row>
    <row r="1117" spans="3:6" x14ac:dyDescent="0.3">
      <c r="C1117" s="1" t="str">
        <f>IF(C1116&lt;'Investment Calculator'!$C$8*'Investment Calculator'!$F$4,'SIP Schedule'!C1116+1,"")</f>
        <v/>
      </c>
      <c r="D1117" s="27" t="str">
        <f>IF(C1117&lt;='Investment Calculator'!$C$8*'Investment Calculator'!$F$4,'Investment Calculator'!$C$6,"")</f>
        <v/>
      </c>
      <c r="E1117" s="27" t="str">
        <f>IFERROR((F1116+D1117)*'Investment Calculator'!$C$7/'Investment Calculator'!$F$4,"")</f>
        <v/>
      </c>
      <c r="F1117" s="27" t="str">
        <f>IFERROR(ABS(FV('Investment Calculator'!$C$7/'Investment Calculator'!$F$4,'SIP Schedule'!C1117,'SIP Schedule'!D1117,,1)),"")</f>
        <v/>
      </c>
    </row>
    <row r="1118" spans="3:6" x14ac:dyDescent="0.3">
      <c r="C1118" s="1" t="str">
        <f>IF(C1117&lt;'Investment Calculator'!$C$8*'Investment Calculator'!$F$4,'SIP Schedule'!C1117+1,"")</f>
        <v/>
      </c>
      <c r="D1118" s="27" t="str">
        <f>IF(C1118&lt;='Investment Calculator'!$C$8*'Investment Calculator'!$F$4,'Investment Calculator'!$C$6,"")</f>
        <v/>
      </c>
      <c r="E1118" s="27" t="str">
        <f>IFERROR((F1117+D1118)*'Investment Calculator'!$C$7/'Investment Calculator'!$F$4,"")</f>
        <v/>
      </c>
      <c r="F1118" s="27" t="str">
        <f>IFERROR(ABS(FV('Investment Calculator'!$C$7/'Investment Calculator'!$F$4,'SIP Schedule'!C1118,'SIP Schedule'!D1118,,1)),"")</f>
        <v/>
      </c>
    </row>
    <row r="1119" spans="3:6" x14ac:dyDescent="0.3">
      <c r="C1119" s="1" t="str">
        <f>IF(C1118&lt;'Investment Calculator'!$C$8*'Investment Calculator'!$F$4,'SIP Schedule'!C1118+1,"")</f>
        <v/>
      </c>
      <c r="D1119" s="27" t="str">
        <f>IF(C1119&lt;='Investment Calculator'!$C$8*'Investment Calculator'!$F$4,'Investment Calculator'!$C$6,"")</f>
        <v/>
      </c>
      <c r="E1119" s="27" t="str">
        <f>IFERROR((F1118+D1119)*'Investment Calculator'!$C$7/'Investment Calculator'!$F$4,"")</f>
        <v/>
      </c>
      <c r="F1119" s="27" t="str">
        <f>IFERROR(ABS(FV('Investment Calculator'!$C$7/'Investment Calculator'!$F$4,'SIP Schedule'!C1119,'SIP Schedule'!D1119,,1)),"")</f>
        <v/>
      </c>
    </row>
    <row r="1120" spans="3:6" x14ac:dyDescent="0.3">
      <c r="C1120" s="1" t="str">
        <f>IF(C1119&lt;'Investment Calculator'!$C$8*'Investment Calculator'!$F$4,'SIP Schedule'!C1119+1,"")</f>
        <v/>
      </c>
      <c r="D1120" s="27" t="str">
        <f>IF(C1120&lt;='Investment Calculator'!$C$8*'Investment Calculator'!$F$4,'Investment Calculator'!$C$6,"")</f>
        <v/>
      </c>
      <c r="E1120" s="27" t="str">
        <f>IFERROR((F1119+D1120)*'Investment Calculator'!$C$7/'Investment Calculator'!$F$4,"")</f>
        <v/>
      </c>
      <c r="F1120" s="27" t="str">
        <f>IFERROR(ABS(FV('Investment Calculator'!$C$7/'Investment Calculator'!$F$4,'SIP Schedule'!C1120,'SIP Schedule'!D1120,,1)),"")</f>
        <v/>
      </c>
    </row>
    <row r="1121" spans="3:6" x14ac:dyDescent="0.3">
      <c r="C1121" s="1" t="str">
        <f>IF(C1120&lt;'Investment Calculator'!$C$8*'Investment Calculator'!$F$4,'SIP Schedule'!C1120+1,"")</f>
        <v/>
      </c>
      <c r="D1121" s="27" t="str">
        <f>IF(C1121&lt;='Investment Calculator'!$C$8*'Investment Calculator'!$F$4,'Investment Calculator'!$C$6,"")</f>
        <v/>
      </c>
      <c r="E1121" s="27" t="str">
        <f>IFERROR((F1120+D1121)*'Investment Calculator'!$C$7/'Investment Calculator'!$F$4,"")</f>
        <v/>
      </c>
      <c r="F1121" s="27" t="str">
        <f>IFERROR(ABS(FV('Investment Calculator'!$C$7/'Investment Calculator'!$F$4,'SIP Schedule'!C1121,'SIP Schedule'!D1121,,1)),"")</f>
        <v/>
      </c>
    </row>
    <row r="1122" spans="3:6" x14ac:dyDescent="0.3">
      <c r="C1122" s="1" t="str">
        <f>IF(C1121&lt;'Investment Calculator'!$C$8*'Investment Calculator'!$F$4,'SIP Schedule'!C1121+1,"")</f>
        <v/>
      </c>
      <c r="D1122" s="27" t="str">
        <f>IF(C1122&lt;='Investment Calculator'!$C$8*'Investment Calculator'!$F$4,'Investment Calculator'!$C$6,"")</f>
        <v/>
      </c>
      <c r="E1122" s="27" t="str">
        <f>IFERROR((F1121+D1122)*'Investment Calculator'!$C$7/'Investment Calculator'!$F$4,"")</f>
        <v/>
      </c>
      <c r="F1122" s="27" t="str">
        <f>IFERROR(ABS(FV('Investment Calculator'!$C$7/'Investment Calculator'!$F$4,'SIP Schedule'!C1122,'SIP Schedule'!D1122,,1)),"")</f>
        <v/>
      </c>
    </row>
    <row r="1123" spans="3:6" x14ac:dyDescent="0.3">
      <c r="C1123" s="1" t="str">
        <f>IF(C1122&lt;'Investment Calculator'!$C$8*'Investment Calculator'!$F$4,'SIP Schedule'!C1122+1,"")</f>
        <v/>
      </c>
      <c r="D1123" s="27" t="str">
        <f>IF(C1123&lt;='Investment Calculator'!$C$8*'Investment Calculator'!$F$4,'Investment Calculator'!$C$6,"")</f>
        <v/>
      </c>
      <c r="E1123" s="27" t="str">
        <f>IFERROR((F1122+D1123)*'Investment Calculator'!$C$7/'Investment Calculator'!$F$4,"")</f>
        <v/>
      </c>
      <c r="F1123" s="27" t="str">
        <f>IFERROR(ABS(FV('Investment Calculator'!$C$7/'Investment Calculator'!$F$4,'SIP Schedule'!C1123,'SIP Schedule'!D1123,,1)),"")</f>
        <v/>
      </c>
    </row>
    <row r="1124" spans="3:6" x14ac:dyDescent="0.3">
      <c r="C1124" s="1" t="str">
        <f>IF(C1123&lt;'Investment Calculator'!$C$8*'Investment Calculator'!$F$4,'SIP Schedule'!C1123+1,"")</f>
        <v/>
      </c>
      <c r="D1124" s="27" t="str">
        <f>IF(C1124&lt;='Investment Calculator'!$C$8*'Investment Calculator'!$F$4,'Investment Calculator'!$C$6,"")</f>
        <v/>
      </c>
      <c r="E1124" s="27" t="str">
        <f>IFERROR((F1123+D1124)*'Investment Calculator'!$C$7/'Investment Calculator'!$F$4,"")</f>
        <v/>
      </c>
      <c r="F1124" s="27" t="str">
        <f>IFERROR(ABS(FV('Investment Calculator'!$C$7/'Investment Calculator'!$F$4,'SIP Schedule'!C1124,'SIP Schedule'!D1124,,1)),"")</f>
        <v/>
      </c>
    </row>
    <row r="1125" spans="3:6" x14ac:dyDescent="0.3">
      <c r="C1125" s="1" t="str">
        <f>IF(C1124&lt;'Investment Calculator'!$C$8*'Investment Calculator'!$F$4,'SIP Schedule'!C1124+1,"")</f>
        <v/>
      </c>
      <c r="D1125" s="27" t="str">
        <f>IF(C1125&lt;='Investment Calculator'!$C$8*'Investment Calculator'!$F$4,'Investment Calculator'!$C$6,"")</f>
        <v/>
      </c>
      <c r="E1125" s="27" t="str">
        <f>IFERROR((F1124+D1125)*'Investment Calculator'!$C$7/'Investment Calculator'!$F$4,"")</f>
        <v/>
      </c>
      <c r="F1125" s="27" t="str">
        <f>IFERROR(ABS(FV('Investment Calculator'!$C$7/'Investment Calculator'!$F$4,'SIP Schedule'!C1125,'SIP Schedule'!D1125,,1)),"")</f>
        <v/>
      </c>
    </row>
    <row r="1126" spans="3:6" x14ac:dyDescent="0.3">
      <c r="C1126" s="1" t="str">
        <f>IF(C1125&lt;'Investment Calculator'!$C$8*'Investment Calculator'!$F$4,'SIP Schedule'!C1125+1,"")</f>
        <v/>
      </c>
      <c r="D1126" s="27" t="str">
        <f>IF(C1126&lt;='Investment Calculator'!$C$8*'Investment Calculator'!$F$4,'Investment Calculator'!$C$6,"")</f>
        <v/>
      </c>
      <c r="E1126" s="27" t="str">
        <f>IFERROR((F1125+D1126)*'Investment Calculator'!$C$7/'Investment Calculator'!$F$4,"")</f>
        <v/>
      </c>
      <c r="F1126" s="27" t="str">
        <f>IFERROR(ABS(FV('Investment Calculator'!$C$7/'Investment Calculator'!$F$4,'SIP Schedule'!C1126,'SIP Schedule'!D1126,,1)),"")</f>
        <v/>
      </c>
    </row>
    <row r="1127" spans="3:6" x14ac:dyDescent="0.3">
      <c r="C1127" s="1" t="str">
        <f>IF(C1126&lt;'Investment Calculator'!$C$8*'Investment Calculator'!$F$4,'SIP Schedule'!C1126+1,"")</f>
        <v/>
      </c>
      <c r="D1127" s="27" t="str">
        <f>IF(C1127&lt;='Investment Calculator'!$C$8*'Investment Calculator'!$F$4,'Investment Calculator'!$C$6,"")</f>
        <v/>
      </c>
      <c r="E1127" s="27" t="str">
        <f>IFERROR((F1126+D1127)*'Investment Calculator'!$C$7/'Investment Calculator'!$F$4,"")</f>
        <v/>
      </c>
      <c r="F1127" s="27" t="str">
        <f>IFERROR(ABS(FV('Investment Calculator'!$C$7/'Investment Calculator'!$F$4,'SIP Schedule'!C1127,'SIP Schedule'!D1127,,1)),"")</f>
        <v/>
      </c>
    </row>
    <row r="1128" spans="3:6" x14ac:dyDescent="0.3">
      <c r="C1128" s="1" t="str">
        <f>IF(C1127&lt;'Investment Calculator'!$C$8*'Investment Calculator'!$F$4,'SIP Schedule'!C1127+1,"")</f>
        <v/>
      </c>
      <c r="D1128" s="27" t="str">
        <f>IF(C1128&lt;='Investment Calculator'!$C$8*'Investment Calculator'!$F$4,'Investment Calculator'!$C$6,"")</f>
        <v/>
      </c>
      <c r="E1128" s="27" t="str">
        <f>IFERROR((F1127+D1128)*'Investment Calculator'!$C$7/'Investment Calculator'!$F$4,"")</f>
        <v/>
      </c>
      <c r="F1128" s="27" t="str">
        <f>IFERROR(ABS(FV('Investment Calculator'!$C$7/'Investment Calculator'!$F$4,'SIP Schedule'!C1128,'SIP Schedule'!D1128,,1)),"")</f>
        <v/>
      </c>
    </row>
    <row r="1129" spans="3:6" x14ac:dyDescent="0.3">
      <c r="C1129" s="1" t="str">
        <f>IF(C1128&lt;'Investment Calculator'!$C$8*'Investment Calculator'!$F$4,'SIP Schedule'!C1128+1,"")</f>
        <v/>
      </c>
      <c r="D1129" s="27" t="str">
        <f>IF(C1129&lt;='Investment Calculator'!$C$8*'Investment Calculator'!$F$4,'Investment Calculator'!$C$6,"")</f>
        <v/>
      </c>
      <c r="E1129" s="27" t="str">
        <f>IFERROR((F1128+D1129)*'Investment Calculator'!$C$7/'Investment Calculator'!$F$4,"")</f>
        <v/>
      </c>
      <c r="F1129" s="27" t="str">
        <f>IFERROR(ABS(FV('Investment Calculator'!$C$7/'Investment Calculator'!$F$4,'SIP Schedule'!C1129,'SIP Schedule'!D1129,,1)),"")</f>
        <v/>
      </c>
    </row>
    <row r="1130" spans="3:6" x14ac:dyDescent="0.3">
      <c r="C1130" s="1" t="str">
        <f>IF(C1129&lt;'Investment Calculator'!$C$8*'Investment Calculator'!$F$4,'SIP Schedule'!C1129+1,"")</f>
        <v/>
      </c>
      <c r="D1130" s="27" t="str">
        <f>IF(C1130&lt;='Investment Calculator'!$C$8*'Investment Calculator'!$F$4,'Investment Calculator'!$C$6,"")</f>
        <v/>
      </c>
      <c r="E1130" s="27" t="str">
        <f>IFERROR((F1129+D1130)*'Investment Calculator'!$C$7/'Investment Calculator'!$F$4,"")</f>
        <v/>
      </c>
      <c r="F1130" s="27" t="str">
        <f>IFERROR(ABS(FV('Investment Calculator'!$C$7/'Investment Calculator'!$F$4,'SIP Schedule'!C1130,'SIP Schedule'!D1130,,1)),"")</f>
        <v/>
      </c>
    </row>
    <row r="1131" spans="3:6" x14ac:dyDescent="0.3">
      <c r="C1131" s="1" t="str">
        <f>IF(C1130&lt;'Investment Calculator'!$C$8*'Investment Calculator'!$F$4,'SIP Schedule'!C1130+1,"")</f>
        <v/>
      </c>
      <c r="D1131" s="27" t="str">
        <f>IF(C1131&lt;='Investment Calculator'!$C$8*'Investment Calculator'!$F$4,'Investment Calculator'!$C$6,"")</f>
        <v/>
      </c>
      <c r="E1131" s="27" t="str">
        <f>IFERROR((F1130+D1131)*'Investment Calculator'!$C$7/'Investment Calculator'!$F$4,"")</f>
        <v/>
      </c>
      <c r="F1131" s="27" t="str">
        <f>IFERROR(ABS(FV('Investment Calculator'!$C$7/'Investment Calculator'!$F$4,'SIP Schedule'!C1131,'SIP Schedule'!D1131,,1)),"")</f>
        <v/>
      </c>
    </row>
    <row r="1132" spans="3:6" x14ac:dyDescent="0.3">
      <c r="C1132" s="1" t="str">
        <f>IF(C1131&lt;'Investment Calculator'!$C$8*'Investment Calculator'!$F$4,'SIP Schedule'!C1131+1,"")</f>
        <v/>
      </c>
      <c r="D1132" s="27" t="str">
        <f>IF(C1132&lt;='Investment Calculator'!$C$8*'Investment Calculator'!$F$4,'Investment Calculator'!$C$6,"")</f>
        <v/>
      </c>
      <c r="E1132" s="27" t="str">
        <f>IFERROR((F1131+D1132)*'Investment Calculator'!$C$7/'Investment Calculator'!$F$4,"")</f>
        <v/>
      </c>
      <c r="F1132" s="27" t="str">
        <f>IFERROR(ABS(FV('Investment Calculator'!$C$7/'Investment Calculator'!$F$4,'SIP Schedule'!C1132,'SIP Schedule'!D1132,,1)),"")</f>
        <v/>
      </c>
    </row>
    <row r="1133" spans="3:6" x14ac:dyDescent="0.3">
      <c r="C1133" s="1" t="str">
        <f>IF(C1132&lt;'Investment Calculator'!$C$8*'Investment Calculator'!$F$4,'SIP Schedule'!C1132+1,"")</f>
        <v/>
      </c>
      <c r="D1133" s="27" t="str">
        <f>IF(C1133&lt;='Investment Calculator'!$C$8*'Investment Calculator'!$F$4,'Investment Calculator'!$C$6,"")</f>
        <v/>
      </c>
      <c r="E1133" s="27" t="str">
        <f>IFERROR((F1132+D1133)*'Investment Calculator'!$C$7/'Investment Calculator'!$F$4,"")</f>
        <v/>
      </c>
      <c r="F1133" s="27" t="str">
        <f>IFERROR(ABS(FV('Investment Calculator'!$C$7/'Investment Calculator'!$F$4,'SIP Schedule'!C1133,'SIP Schedule'!D1133,,1)),"")</f>
        <v/>
      </c>
    </row>
    <row r="1134" spans="3:6" x14ac:dyDescent="0.3">
      <c r="C1134" s="1" t="str">
        <f>IF(C1133&lt;'Investment Calculator'!$C$8*'Investment Calculator'!$F$4,'SIP Schedule'!C1133+1,"")</f>
        <v/>
      </c>
      <c r="D1134" s="27" t="str">
        <f>IF(C1134&lt;='Investment Calculator'!$C$8*'Investment Calculator'!$F$4,'Investment Calculator'!$C$6,"")</f>
        <v/>
      </c>
      <c r="E1134" s="27" t="str">
        <f>IFERROR((F1133+D1134)*'Investment Calculator'!$C$7/'Investment Calculator'!$F$4,"")</f>
        <v/>
      </c>
      <c r="F1134" s="27" t="str">
        <f>IFERROR(ABS(FV('Investment Calculator'!$C$7/'Investment Calculator'!$F$4,'SIP Schedule'!C1134,'SIP Schedule'!D1134,,1)),"")</f>
        <v/>
      </c>
    </row>
    <row r="1135" spans="3:6" x14ac:dyDescent="0.3">
      <c r="C1135" s="1" t="str">
        <f>IF(C1134&lt;'Investment Calculator'!$C$8*'Investment Calculator'!$F$4,'SIP Schedule'!C1134+1,"")</f>
        <v/>
      </c>
      <c r="D1135" s="27" t="str">
        <f>IF(C1135&lt;='Investment Calculator'!$C$8*'Investment Calculator'!$F$4,'Investment Calculator'!$C$6,"")</f>
        <v/>
      </c>
      <c r="E1135" s="27" t="str">
        <f>IFERROR((F1134+D1135)*'Investment Calculator'!$C$7/'Investment Calculator'!$F$4,"")</f>
        <v/>
      </c>
      <c r="F1135" s="27" t="str">
        <f>IFERROR(ABS(FV('Investment Calculator'!$C$7/'Investment Calculator'!$F$4,'SIP Schedule'!C1135,'SIP Schedule'!D1135,,1)),"")</f>
        <v/>
      </c>
    </row>
    <row r="1136" spans="3:6" x14ac:dyDescent="0.3">
      <c r="C1136" s="1" t="str">
        <f>IF(C1135&lt;'Investment Calculator'!$C$8*'Investment Calculator'!$F$4,'SIP Schedule'!C1135+1,"")</f>
        <v/>
      </c>
      <c r="D1136" s="27" t="str">
        <f>IF(C1136&lt;='Investment Calculator'!$C$8*'Investment Calculator'!$F$4,'Investment Calculator'!$C$6,"")</f>
        <v/>
      </c>
      <c r="E1136" s="27" t="str">
        <f>IFERROR((F1135+D1136)*'Investment Calculator'!$C$7/'Investment Calculator'!$F$4,"")</f>
        <v/>
      </c>
      <c r="F1136" s="27" t="str">
        <f>IFERROR(ABS(FV('Investment Calculator'!$C$7/'Investment Calculator'!$F$4,'SIP Schedule'!C1136,'SIP Schedule'!D1136,,1)),"")</f>
        <v/>
      </c>
    </row>
    <row r="1137" spans="3:6" x14ac:dyDescent="0.3">
      <c r="C1137" s="1" t="str">
        <f>IF(C1136&lt;'Investment Calculator'!$C$8*'Investment Calculator'!$F$4,'SIP Schedule'!C1136+1,"")</f>
        <v/>
      </c>
      <c r="D1137" s="27" t="str">
        <f>IF(C1137&lt;='Investment Calculator'!$C$8*'Investment Calculator'!$F$4,'Investment Calculator'!$C$6,"")</f>
        <v/>
      </c>
      <c r="E1137" s="27" t="str">
        <f>IFERROR((F1136+D1137)*'Investment Calculator'!$C$7/'Investment Calculator'!$F$4,"")</f>
        <v/>
      </c>
      <c r="F1137" s="27" t="str">
        <f>IFERROR(ABS(FV('Investment Calculator'!$C$7/'Investment Calculator'!$F$4,'SIP Schedule'!C1137,'SIP Schedule'!D1137,,1)),"")</f>
        <v/>
      </c>
    </row>
    <row r="1138" spans="3:6" x14ac:dyDescent="0.3">
      <c r="C1138" s="1" t="str">
        <f>IF(C1137&lt;'Investment Calculator'!$C$8*'Investment Calculator'!$F$4,'SIP Schedule'!C1137+1,"")</f>
        <v/>
      </c>
      <c r="D1138" s="27" t="str">
        <f>IF(C1138&lt;='Investment Calculator'!$C$8*'Investment Calculator'!$F$4,'Investment Calculator'!$C$6,"")</f>
        <v/>
      </c>
      <c r="E1138" s="27" t="str">
        <f>IFERROR((F1137+D1138)*'Investment Calculator'!$C$7/'Investment Calculator'!$F$4,"")</f>
        <v/>
      </c>
      <c r="F1138" s="27" t="str">
        <f>IFERROR(ABS(FV('Investment Calculator'!$C$7/'Investment Calculator'!$F$4,'SIP Schedule'!C1138,'SIP Schedule'!D1138,,1)),"")</f>
        <v/>
      </c>
    </row>
    <row r="1139" spans="3:6" x14ac:dyDescent="0.3">
      <c r="C1139" s="1" t="str">
        <f>IF(C1138&lt;'Investment Calculator'!$C$8*'Investment Calculator'!$F$4,'SIP Schedule'!C1138+1,"")</f>
        <v/>
      </c>
      <c r="D1139" s="27" t="str">
        <f>IF(C1139&lt;='Investment Calculator'!$C$8*'Investment Calculator'!$F$4,'Investment Calculator'!$C$6,"")</f>
        <v/>
      </c>
      <c r="E1139" s="27" t="str">
        <f>IFERROR((F1138+D1139)*'Investment Calculator'!$C$7/'Investment Calculator'!$F$4,"")</f>
        <v/>
      </c>
      <c r="F1139" s="27" t="str">
        <f>IFERROR(ABS(FV('Investment Calculator'!$C$7/'Investment Calculator'!$F$4,'SIP Schedule'!C1139,'SIP Schedule'!D1139,,1)),"")</f>
        <v/>
      </c>
    </row>
    <row r="1140" spans="3:6" x14ac:dyDescent="0.3">
      <c r="C1140" s="1" t="str">
        <f>IF(C1139&lt;'Investment Calculator'!$C$8*'Investment Calculator'!$F$4,'SIP Schedule'!C1139+1,"")</f>
        <v/>
      </c>
      <c r="D1140" s="27" t="str">
        <f>IF(C1140&lt;='Investment Calculator'!$C$8*'Investment Calculator'!$F$4,'Investment Calculator'!$C$6,"")</f>
        <v/>
      </c>
      <c r="E1140" s="27" t="str">
        <f>IFERROR((F1139+D1140)*'Investment Calculator'!$C$7/'Investment Calculator'!$F$4,"")</f>
        <v/>
      </c>
      <c r="F1140" s="27" t="str">
        <f>IFERROR(ABS(FV('Investment Calculator'!$C$7/'Investment Calculator'!$F$4,'SIP Schedule'!C1140,'SIP Schedule'!D1140,,1)),"")</f>
        <v/>
      </c>
    </row>
    <row r="1141" spans="3:6" x14ac:dyDescent="0.3">
      <c r="C1141" s="1" t="str">
        <f>IF(C1140&lt;'Investment Calculator'!$C$8*'Investment Calculator'!$F$4,'SIP Schedule'!C1140+1,"")</f>
        <v/>
      </c>
      <c r="D1141" s="27" t="str">
        <f>IF(C1141&lt;='Investment Calculator'!$C$8*'Investment Calculator'!$F$4,'Investment Calculator'!$C$6,"")</f>
        <v/>
      </c>
      <c r="E1141" s="27" t="str">
        <f>IFERROR((F1140+D1141)*'Investment Calculator'!$C$7/'Investment Calculator'!$F$4,"")</f>
        <v/>
      </c>
      <c r="F1141" s="27" t="str">
        <f>IFERROR(ABS(FV('Investment Calculator'!$C$7/'Investment Calculator'!$F$4,'SIP Schedule'!C1141,'SIP Schedule'!D1141,,1)),"")</f>
        <v/>
      </c>
    </row>
    <row r="1142" spans="3:6" x14ac:dyDescent="0.3">
      <c r="C1142" s="1" t="str">
        <f>IF(C1141&lt;'Investment Calculator'!$C$8*'Investment Calculator'!$F$4,'SIP Schedule'!C1141+1,"")</f>
        <v/>
      </c>
      <c r="D1142" s="27" t="str">
        <f>IF(C1142&lt;='Investment Calculator'!$C$8*'Investment Calculator'!$F$4,'Investment Calculator'!$C$6,"")</f>
        <v/>
      </c>
      <c r="E1142" s="27" t="str">
        <f>IFERROR((F1141+D1142)*'Investment Calculator'!$C$7/'Investment Calculator'!$F$4,"")</f>
        <v/>
      </c>
      <c r="F1142" s="27" t="str">
        <f>IFERROR(ABS(FV('Investment Calculator'!$C$7/'Investment Calculator'!$F$4,'SIP Schedule'!C1142,'SIP Schedule'!D1142,,1)),"")</f>
        <v/>
      </c>
    </row>
    <row r="1143" spans="3:6" x14ac:dyDescent="0.3">
      <c r="C1143" s="1" t="str">
        <f>IF(C1142&lt;'Investment Calculator'!$C$8*'Investment Calculator'!$F$4,'SIP Schedule'!C1142+1,"")</f>
        <v/>
      </c>
      <c r="D1143" s="27" t="str">
        <f>IF(C1143&lt;='Investment Calculator'!$C$8*'Investment Calculator'!$F$4,'Investment Calculator'!$C$6,"")</f>
        <v/>
      </c>
      <c r="E1143" s="27" t="str">
        <f>IFERROR((F1142+D1143)*'Investment Calculator'!$C$7/'Investment Calculator'!$F$4,"")</f>
        <v/>
      </c>
      <c r="F1143" s="27" t="str">
        <f>IFERROR(ABS(FV('Investment Calculator'!$C$7/'Investment Calculator'!$F$4,'SIP Schedule'!C1143,'SIP Schedule'!D1143,,1)),"")</f>
        <v/>
      </c>
    </row>
    <row r="1144" spans="3:6" x14ac:dyDescent="0.3">
      <c r="C1144" s="1" t="str">
        <f>IF(C1143&lt;'Investment Calculator'!$C$8*'Investment Calculator'!$F$4,'SIP Schedule'!C1143+1,"")</f>
        <v/>
      </c>
      <c r="D1144" s="27" t="str">
        <f>IF(C1144&lt;='Investment Calculator'!$C$8*'Investment Calculator'!$F$4,'Investment Calculator'!$C$6,"")</f>
        <v/>
      </c>
      <c r="E1144" s="27" t="str">
        <f>IFERROR((F1143+D1144)*'Investment Calculator'!$C$7/'Investment Calculator'!$F$4,"")</f>
        <v/>
      </c>
      <c r="F1144" s="27" t="str">
        <f>IFERROR(ABS(FV('Investment Calculator'!$C$7/'Investment Calculator'!$F$4,'SIP Schedule'!C1144,'SIP Schedule'!D1144,,1)),"")</f>
        <v/>
      </c>
    </row>
    <row r="1145" spans="3:6" x14ac:dyDescent="0.3">
      <c r="C1145" s="1" t="str">
        <f>IF(C1144&lt;'Investment Calculator'!$C$8*'Investment Calculator'!$F$4,'SIP Schedule'!C1144+1,"")</f>
        <v/>
      </c>
      <c r="D1145" s="27" t="str">
        <f>IF(C1145&lt;='Investment Calculator'!$C$8*'Investment Calculator'!$F$4,'Investment Calculator'!$C$6,"")</f>
        <v/>
      </c>
      <c r="E1145" s="27" t="str">
        <f>IFERROR((F1144+D1145)*'Investment Calculator'!$C$7/'Investment Calculator'!$F$4,"")</f>
        <v/>
      </c>
      <c r="F1145" s="27" t="str">
        <f>IFERROR(ABS(FV('Investment Calculator'!$C$7/'Investment Calculator'!$F$4,'SIP Schedule'!C1145,'SIP Schedule'!D1145,,1)),"")</f>
        <v/>
      </c>
    </row>
    <row r="1146" spans="3:6" x14ac:dyDescent="0.3">
      <c r="C1146" s="1" t="str">
        <f>IF(C1145&lt;'Investment Calculator'!$C$8*'Investment Calculator'!$F$4,'SIP Schedule'!C1145+1,"")</f>
        <v/>
      </c>
      <c r="D1146" s="27" t="str">
        <f>IF(C1146&lt;='Investment Calculator'!$C$8*'Investment Calculator'!$F$4,'Investment Calculator'!$C$6,"")</f>
        <v/>
      </c>
      <c r="E1146" s="27" t="str">
        <f>IFERROR((F1145+D1146)*'Investment Calculator'!$C$7/'Investment Calculator'!$F$4,"")</f>
        <v/>
      </c>
      <c r="F1146" s="27" t="str">
        <f>IFERROR(ABS(FV('Investment Calculator'!$C$7/'Investment Calculator'!$F$4,'SIP Schedule'!C1146,'SIP Schedule'!D1146,,1)),"")</f>
        <v/>
      </c>
    </row>
    <row r="1147" spans="3:6" x14ac:dyDescent="0.3">
      <c r="C1147" s="1" t="str">
        <f>IF(C1146&lt;'Investment Calculator'!$C$8*'Investment Calculator'!$F$4,'SIP Schedule'!C1146+1,"")</f>
        <v/>
      </c>
      <c r="D1147" s="27" t="str">
        <f>IF(C1147&lt;='Investment Calculator'!$C$8*'Investment Calculator'!$F$4,'Investment Calculator'!$C$6,"")</f>
        <v/>
      </c>
      <c r="E1147" s="27" t="str">
        <f>IFERROR((F1146+D1147)*'Investment Calculator'!$C$7/'Investment Calculator'!$F$4,"")</f>
        <v/>
      </c>
      <c r="F1147" s="27" t="str">
        <f>IFERROR(ABS(FV('Investment Calculator'!$C$7/'Investment Calculator'!$F$4,'SIP Schedule'!C1147,'SIP Schedule'!D1147,,1)),"")</f>
        <v/>
      </c>
    </row>
    <row r="1148" spans="3:6" x14ac:dyDescent="0.3">
      <c r="C1148" s="1" t="str">
        <f>IF(C1147&lt;'Investment Calculator'!$C$8*'Investment Calculator'!$F$4,'SIP Schedule'!C1147+1,"")</f>
        <v/>
      </c>
      <c r="D1148" s="27" t="str">
        <f>IF(C1148&lt;='Investment Calculator'!$C$8*'Investment Calculator'!$F$4,'Investment Calculator'!$C$6,"")</f>
        <v/>
      </c>
      <c r="E1148" s="27" t="str">
        <f>IFERROR((F1147+D1148)*'Investment Calculator'!$C$7/'Investment Calculator'!$F$4,"")</f>
        <v/>
      </c>
      <c r="F1148" s="27" t="str">
        <f>IFERROR(ABS(FV('Investment Calculator'!$C$7/'Investment Calculator'!$F$4,'SIP Schedule'!C1148,'SIP Schedule'!D1148,,1)),"")</f>
        <v/>
      </c>
    </row>
    <row r="1149" spans="3:6" x14ac:dyDescent="0.3">
      <c r="C1149" s="1" t="str">
        <f>IF(C1148&lt;'Investment Calculator'!$C$8*'Investment Calculator'!$F$4,'SIP Schedule'!C1148+1,"")</f>
        <v/>
      </c>
      <c r="D1149" s="27" t="str">
        <f>IF(C1149&lt;='Investment Calculator'!$C$8*'Investment Calculator'!$F$4,'Investment Calculator'!$C$6,"")</f>
        <v/>
      </c>
      <c r="E1149" s="27" t="str">
        <f>IFERROR((F1148+D1149)*'Investment Calculator'!$C$7/'Investment Calculator'!$F$4,"")</f>
        <v/>
      </c>
      <c r="F1149" s="27" t="str">
        <f>IFERROR(ABS(FV('Investment Calculator'!$C$7/'Investment Calculator'!$F$4,'SIP Schedule'!C1149,'SIP Schedule'!D1149,,1)),"")</f>
        <v/>
      </c>
    </row>
    <row r="1150" spans="3:6" x14ac:dyDescent="0.3">
      <c r="C1150" s="1" t="str">
        <f>IF(C1149&lt;'Investment Calculator'!$C$8*'Investment Calculator'!$F$4,'SIP Schedule'!C1149+1,"")</f>
        <v/>
      </c>
      <c r="D1150" s="27" t="str">
        <f>IF(C1150&lt;='Investment Calculator'!$C$8*'Investment Calculator'!$F$4,'Investment Calculator'!$C$6,"")</f>
        <v/>
      </c>
      <c r="E1150" s="27" t="str">
        <f>IFERROR((F1149+D1150)*'Investment Calculator'!$C$7/'Investment Calculator'!$F$4,"")</f>
        <v/>
      </c>
      <c r="F1150" s="27" t="str">
        <f>IFERROR(ABS(FV('Investment Calculator'!$C$7/'Investment Calculator'!$F$4,'SIP Schedule'!C1150,'SIP Schedule'!D1150,,1)),"")</f>
        <v/>
      </c>
    </row>
    <row r="1151" spans="3:6" x14ac:dyDescent="0.3">
      <c r="C1151" s="1" t="str">
        <f>IF(C1150&lt;'Investment Calculator'!$C$8*'Investment Calculator'!$F$4,'SIP Schedule'!C1150+1,"")</f>
        <v/>
      </c>
      <c r="D1151" s="27" t="str">
        <f>IF(C1151&lt;='Investment Calculator'!$C$8*'Investment Calculator'!$F$4,'Investment Calculator'!$C$6,"")</f>
        <v/>
      </c>
      <c r="E1151" s="27" t="str">
        <f>IFERROR((F1150+D1151)*'Investment Calculator'!$C$7/'Investment Calculator'!$F$4,"")</f>
        <v/>
      </c>
      <c r="F1151" s="27" t="str">
        <f>IFERROR(ABS(FV('Investment Calculator'!$C$7/'Investment Calculator'!$F$4,'SIP Schedule'!C1151,'SIP Schedule'!D1151,,1)),"")</f>
        <v/>
      </c>
    </row>
    <row r="1152" spans="3:6" x14ac:dyDescent="0.3">
      <c r="C1152" s="1" t="str">
        <f>IF(C1151&lt;'Investment Calculator'!$C$8*'Investment Calculator'!$F$4,'SIP Schedule'!C1151+1,"")</f>
        <v/>
      </c>
      <c r="D1152" s="27" t="str">
        <f>IF(C1152&lt;='Investment Calculator'!$C$8*'Investment Calculator'!$F$4,'Investment Calculator'!$C$6,"")</f>
        <v/>
      </c>
      <c r="E1152" s="27" t="str">
        <f>IFERROR((F1151+D1152)*'Investment Calculator'!$C$7/'Investment Calculator'!$F$4,"")</f>
        <v/>
      </c>
      <c r="F1152" s="27" t="str">
        <f>IFERROR(ABS(FV('Investment Calculator'!$C$7/'Investment Calculator'!$F$4,'SIP Schedule'!C1152,'SIP Schedule'!D1152,,1)),"")</f>
        <v/>
      </c>
    </row>
    <row r="1153" spans="3:6" x14ac:dyDescent="0.3">
      <c r="C1153" s="1" t="str">
        <f>IF(C1152&lt;'Investment Calculator'!$C$8*'Investment Calculator'!$F$4,'SIP Schedule'!C1152+1,"")</f>
        <v/>
      </c>
      <c r="D1153" s="27" t="str">
        <f>IF(C1153&lt;='Investment Calculator'!$C$8*'Investment Calculator'!$F$4,'Investment Calculator'!$C$6,"")</f>
        <v/>
      </c>
      <c r="E1153" s="27" t="str">
        <f>IFERROR((F1152+D1153)*'Investment Calculator'!$C$7/'Investment Calculator'!$F$4,"")</f>
        <v/>
      </c>
      <c r="F1153" s="27" t="str">
        <f>IFERROR(ABS(FV('Investment Calculator'!$C$7/'Investment Calculator'!$F$4,'SIP Schedule'!C1153,'SIP Schedule'!D1153,,1)),"")</f>
        <v/>
      </c>
    </row>
    <row r="1154" spans="3:6" x14ac:dyDescent="0.3">
      <c r="C1154" s="1" t="str">
        <f>IF(C1153&lt;'Investment Calculator'!$C$8*'Investment Calculator'!$F$4,'SIP Schedule'!C1153+1,"")</f>
        <v/>
      </c>
      <c r="D1154" s="27" t="str">
        <f>IF(C1154&lt;='Investment Calculator'!$C$8*'Investment Calculator'!$F$4,'Investment Calculator'!$C$6,"")</f>
        <v/>
      </c>
      <c r="E1154" s="27" t="str">
        <f>IFERROR((F1153+D1154)*'Investment Calculator'!$C$7/'Investment Calculator'!$F$4,"")</f>
        <v/>
      </c>
      <c r="F1154" s="27" t="str">
        <f>IFERROR(ABS(FV('Investment Calculator'!$C$7/'Investment Calculator'!$F$4,'SIP Schedule'!C1154,'SIP Schedule'!D1154,,1)),"")</f>
        <v/>
      </c>
    </row>
    <row r="1155" spans="3:6" x14ac:dyDescent="0.3">
      <c r="C1155" s="1" t="str">
        <f>IF(C1154&lt;'Investment Calculator'!$C$8*'Investment Calculator'!$F$4,'SIP Schedule'!C1154+1,"")</f>
        <v/>
      </c>
      <c r="D1155" s="27" t="str">
        <f>IF(C1155&lt;='Investment Calculator'!$C$8*'Investment Calculator'!$F$4,'Investment Calculator'!$C$6,"")</f>
        <v/>
      </c>
      <c r="E1155" s="27" t="str">
        <f>IFERROR((F1154+D1155)*'Investment Calculator'!$C$7/'Investment Calculator'!$F$4,"")</f>
        <v/>
      </c>
      <c r="F1155" s="27" t="str">
        <f>IFERROR(ABS(FV('Investment Calculator'!$C$7/'Investment Calculator'!$F$4,'SIP Schedule'!C1155,'SIP Schedule'!D1155,,1)),"")</f>
        <v/>
      </c>
    </row>
    <row r="1156" spans="3:6" x14ac:dyDescent="0.3">
      <c r="C1156" s="1" t="str">
        <f>IF(C1155&lt;'Investment Calculator'!$C$8*'Investment Calculator'!$F$4,'SIP Schedule'!C1155+1,"")</f>
        <v/>
      </c>
      <c r="D1156" s="27" t="str">
        <f>IF(C1156&lt;='Investment Calculator'!$C$8*'Investment Calculator'!$F$4,'Investment Calculator'!$C$6,"")</f>
        <v/>
      </c>
      <c r="E1156" s="27" t="str">
        <f>IFERROR((F1155+D1156)*'Investment Calculator'!$C$7/'Investment Calculator'!$F$4,"")</f>
        <v/>
      </c>
      <c r="F1156" s="27" t="str">
        <f>IFERROR(ABS(FV('Investment Calculator'!$C$7/'Investment Calculator'!$F$4,'SIP Schedule'!C1156,'SIP Schedule'!D1156,,1)),"")</f>
        <v/>
      </c>
    </row>
    <row r="1157" spans="3:6" x14ac:dyDescent="0.3">
      <c r="C1157" s="1" t="str">
        <f>IF(C1156&lt;'Investment Calculator'!$C$8*'Investment Calculator'!$F$4,'SIP Schedule'!C1156+1,"")</f>
        <v/>
      </c>
      <c r="D1157" s="27" t="str">
        <f>IF(C1157&lt;='Investment Calculator'!$C$8*'Investment Calculator'!$F$4,'Investment Calculator'!$C$6,"")</f>
        <v/>
      </c>
      <c r="E1157" s="27" t="str">
        <f>IFERROR((F1156+D1157)*'Investment Calculator'!$C$7/'Investment Calculator'!$F$4,"")</f>
        <v/>
      </c>
      <c r="F1157" s="27" t="str">
        <f>IFERROR(ABS(FV('Investment Calculator'!$C$7/'Investment Calculator'!$F$4,'SIP Schedule'!C1157,'SIP Schedule'!D1157,,1)),"")</f>
        <v/>
      </c>
    </row>
    <row r="1158" spans="3:6" x14ac:dyDescent="0.3">
      <c r="C1158" s="1" t="str">
        <f>IF(C1157&lt;'Investment Calculator'!$C$8*'Investment Calculator'!$F$4,'SIP Schedule'!C1157+1,"")</f>
        <v/>
      </c>
      <c r="D1158" s="27" t="str">
        <f>IF(C1158&lt;='Investment Calculator'!$C$8*'Investment Calculator'!$F$4,'Investment Calculator'!$C$6,"")</f>
        <v/>
      </c>
      <c r="E1158" s="27" t="str">
        <f>IFERROR((F1157+D1158)*'Investment Calculator'!$C$7/'Investment Calculator'!$F$4,"")</f>
        <v/>
      </c>
      <c r="F1158" s="27" t="str">
        <f>IFERROR(ABS(FV('Investment Calculator'!$C$7/'Investment Calculator'!$F$4,'SIP Schedule'!C1158,'SIP Schedule'!D1158,,1)),"")</f>
        <v/>
      </c>
    </row>
    <row r="1159" spans="3:6" x14ac:dyDescent="0.3">
      <c r="C1159" s="1" t="str">
        <f>IF(C1158&lt;'Investment Calculator'!$C$8*'Investment Calculator'!$F$4,'SIP Schedule'!C1158+1,"")</f>
        <v/>
      </c>
      <c r="D1159" s="27" t="str">
        <f>IF(C1159&lt;='Investment Calculator'!$C$8*'Investment Calculator'!$F$4,'Investment Calculator'!$C$6,"")</f>
        <v/>
      </c>
      <c r="E1159" s="27" t="str">
        <f>IFERROR((F1158+D1159)*'Investment Calculator'!$C$7/'Investment Calculator'!$F$4,"")</f>
        <v/>
      </c>
      <c r="F1159" s="27" t="str">
        <f>IFERROR(ABS(FV('Investment Calculator'!$C$7/'Investment Calculator'!$F$4,'SIP Schedule'!C1159,'SIP Schedule'!D1159,,1)),"")</f>
        <v/>
      </c>
    </row>
    <row r="1160" spans="3:6" x14ac:dyDescent="0.3">
      <c r="C1160" s="1" t="str">
        <f>IF(C1159&lt;'Investment Calculator'!$C$8*'Investment Calculator'!$F$4,'SIP Schedule'!C1159+1,"")</f>
        <v/>
      </c>
      <c r="D1160" s="27" t="str">
        <f>IF(C1160&lt;='Investment Calculator'!$C$8*'Investment Calculator'!$F$4,'Investment Calculator'!$C$6,"")</f>
        <v/>
      </c>
      <c r="E1160" s="27" t="str">
        <f>IFERROR((F1159+D1160)*'Investment Calculator'!$C$7/'Investment Calculator'!$F$4,"")</f>
        <v/>
      </c>
      <c r="F1160" s="27" t="str">
        <f>IFERROR(ABS(FV('Investment Calculator'!$C$7/'Investment Calculator'!$F$4,'SIP Schedule'!C1160,'SIP Schedule'!D1160,,1)),"")</f>
        <v/>
      </c>
    </row>
    <row r="1161" spans="3:6" x14ac:dyDescent="0.3">
      <c r="C1161" s="1" t="str">
        <f>IF(C1160&lt;'Investment Calculator'!$C$8*'Investment Calculator'!$F$4,'SIP Schedule'!C1160+1,"")</f>
        <v/>
      </c>
      <c r="D1161" s="27" t="str">
        <f>IF(C1161&lt;='Investment Calculator'!$C$8*'Investment Calculator'!$F$4,'Investment Calculator'!$C$6,"")</f>
        <v/>
      </c>
      <c r="E1161" s="27" t="str">
        <f>IFERROR((F1160+D1161)*'Investment Calculator'!$C$7/'Investment Calculator'!$F$4,"")</f>
        <v/>
      </c>
      <c r="F1161" s="27" t="str">
        <f>IFERROR(ABS(FV('Investment Calculator'!$C$7/'Investment Calculator'!$F$4,'SIP Schedule'!C1161,'SIP Schedule'!D1161,,1)),"")</f>
        <v/>
      </c>
    </row>
    <row r="1162" spans="3:6" x14ac:dyDescent="0.3">
      <c r="C1162" s="1" t="str">
        <f>IF(C1161&lt;'Investment Calculator'!$C$8*'Investment Calculator'!$F$4,'SIP Schedule'!C1161+1,"")</f>
        <v/>
      </c>
      <c r="D1162" s="27" t="str">
        <f>IF(C1162&lt;='Investment Calculator'!$C$8*'Investment Calculator'!$F$4,'Investment Calculator'!$C$6,"")</f>
        <v/>
      </c>
      <c r="E1162" s="27" t="str">
        <f>IFERROR((F1161+D1162)*'Investment Calculator'!$C$7/'Investment Calculator'!$F$4,"")</f>
        <v/>
      </c>
      <c r="F1162" s="27" t="str">
        <f>IFERROR(ABS(FV('Investment Calculator'!$C$7/'Investment Calculator'!$F$4,'SIP Schedule'!C1162,'SIP Schedule'!D1162,,1)),"")</f>
        <v/>
      </c>
    </row>
    <row r="1163" spans="3:6" x14ac:dyDescent="0.3">
      <c r="C1163" s="1" t="str">
        <f>IF(C1162&lt;'Investment Calculator'!$C$8*'Investment Calculator'!$F$4,'SIP Schedule'!C1162+1,"")</f>
        <v/>
      </c>
      <c r="D1163" s="27" t="str">
        <f>IF(C1163&lt;='Investment Calculator'!$C$8*'Investment Calculator'!$F$4,'Investment Calculator'!$C$6,"")</f>
        <v/>
      </c>
      <c r="E1163" s="27" t="str">
        <f>IFERROR((F1162+D1163)*'Investment Calculator'!$C$7/'Investment Calculator'!$F$4,"")</f>
        <v/>
      </c>
      <c r="F1163" s="27" t="str">
        <f>IFERROR(ABS(FV('Investment Calculator'!$C$7/'Investment Calculator'!$F$4,'SIP Schedule'!C1163,'SIP Schedule'!D1163,,1)),"")</f>
        <v/>
      </c>
    </row>
    <row r="1164" spans="3:6" x14ac:dyDescent="0.3">
      <c r="C1164" s="1" t="str">
        <f>IF(C1163&lt;'Investment Calculator'!$C$8*'Investment Calculator'!$F$4,'SIP Schedule'!C1163+1,"")</f>
        <v/>
      </c>
      <c r="D1164" s="27" t="str">
        <f>IF(C1164&lt;='Investment Calculator'!$C$8*'Investment Calculator'!$F$4,'Investment Calculator'!$C$6,"")</f>
        <v/>
      </c>
      <c r="E1164" s="27" t="str">
        <f>IFERROR((F1163+D1164)*'Investment Calculator'!$C$7/'Investment Calculator'!$F$4,"")</f>
        <v/>
      </c>
      <c r="F1164" s="27" t="str">
        <f>IFERROR(ABS(FV('Investment Calculator'!$C$7/'Investment Calculator'!$F$4,'SIP Schedule'!C1164,'SIP Schedule'!D1164,,1)),"")</f>
        <v/>
      </c>
    </row>
    <row r="1165" spans="3:6" x14ac:dyDescent="0.3">
      <c r="C1165" s="1" t="str">
        <f>IF(C1164&lt;'Investment Calculator'!$C$8*'Investment Calculator'!$F$4,'SIP Schedule'!C1164+1,"")</f>
        <v/>
      </c>
      <c r="D1165" s="27" t="str">
        <f>IF(C1165&lt;='Investment Calculator'!$C$8*'Investment Calculator'!$F$4,'Investment Calculator'!$C$6,"")</f>
        <v/>
      </c>
      <c r="E1165" s="27" t="str">
        <f>IFERROR((F1164+D1165)*'Investment Calculator'!$C$7/'Investment Calculator'!$F$4,"")</f>
        <v/>
      </c>
      <c r="F1165" s="27" t="str">
        <f>IFERROR(ABS(FV('Investment Calculator'!$C$7/'Investment Calculator'!$F$4,'SIP Schedule'!C1165,'SIP Schedule'!D1165,,1)),"")</f>
        <v/>
      </c>
    </row>
    <row r="1166" spans="3:6" x14ac:dyDescent="0.3">
      <c r="C1166" s="1" t="str">
        <f>IF(C1165&lt;'Investment Calculator'!$C$8*'Investment Calculator'!$F$4,'SIP Schedule'!C1165+1,"")</f>
        <v/>
      </c>
      <c r="D1166" s="27" t="str">
        <f>IF(C1166&lt;='Investment Calculator'!$C$8*'Investment Calculator'!$F$4,'Investment Calculator'!$C$6,"")</f>
        <v/>
      </c>
      <c r="E1166" s="27" t="str">
        <f>IFERROR((F1165+D1166)*'Investment Calculator'!$C$7/'Investment Calculator'!$F$4,"")</f>
        <v/>
      </c>
      <c r="F1166" s="27" t="str">
        <f>IFERROR(ABS(FV('Investment Calculator'!$C$7/'Investment Calculator'!$F$4,'SIP Schedule'!C1166,'SIP Schedule'!D1166,,1)),"")</f>
        <v/>
      </c>
    </row>
    <row r="1167" spans="3:6" x14ac:dyDescent="0.3">
      <c r="C1167" s="1" t="str">
        <f>IF(C1166&lt;'Investment Calculator'!$C$8*'Investment Calculator'!$F$4,'SIP Schedule'!C1166+1,"")</f>
        <v/>
      </c>
      <c r="D1167" s="27" t="str">
        <f>IF(C1167&lt;='Investment Calculator'!$C$8*'Investment Calculator'!$F$4,'Investment Calculator'!$C$6,"")</f>
        <v/>
      </c>
      <c r="E1167" s="27" t="str">
        <f>IFERROR((F1166+D1167)*'Investment Calculator'!$C$7/'Investment Calculator'!$F$4,"")</f>
        <v/>
      </c>
      <c r="F1167" s="27" t="str">
        <f>IFERROR(ABS(FV('Investment Calculator'!$C$7/'Investment Calculator'!$F$4,'SIP Schedule'!C1167,'SIP Schedule'!D1167,,1)),"")</f>
        <v/>
      </c>
    </row>
    <row r="1168" spans="3:6" x14ac:dyDescent="0.3">
      <c r="C1168" s="1" t="str">
        <f>IF(C1167&lt;'Investment Calculator'!$C$8*'Investment Calculator'!$F$4,'SIP Schedule'!C1167+1,"")</f>
        <v/>
      </c>
      <c r="D1168" s="27" t="str">
        <f>IF(C1168&lt;='Investment Calculator'!$C$8*'Investment Calculator'!$F$4,'Investment Calculator'!$C$6,"")</f>
        <v/>
      </c>
      <c r="E1168" s="27" t="str">
        <f>IFERROR((F1167+D1168)*'Investment Calculator'!$C$7/'Investment Calculator'!$F$4,"")</f>
        <v/>
      </c>
      <c r="F1168" s="27" t="str">
        <f>IFERROR(ABS(FV('Investment Calculator'!$C$7/'Investment Calculator'!$F$4,'SIP Schedule'!C1168,'SIP Schedule'!D1168,,1)),"")</f>
        <v/>
      </c>
    </row>
    <row r="1169" spans="3:6" x14ac:dyDescent="0.3">
      <c r="C1169" s="1" t="str">
        <f>IF(C1168&lt;'Investment Calculator'!$C$8*'Investment Calculator'!$F$4,'SIP Schedule'!C1168+1,"")</f>
        <v/>
      </c>
      <c r="D1169" s="27" t="str">
        <f>IF(C1169&lt;='Investment Calculator'!$C$8*'Investment Calculator'!$F$4,'Investment Calculator'!$C$6,"")</f>
        <v/>
      </c>
      <c r="E1169" s="27" t="str">
        <f>IFERROR((F1168+D1169)*'Investment Calculator'!$C$7/'Investment Calculator'!$F$4,"")</f>
        <v/>
      </c>
      <c r="F1169" s="27" t="str">
        <f>IFERROR(ABS(FV('Investment Calculator'!$C$7/'Investment Calculator'!$F$4,'SIP Schedule'!C1169,'SIP Schedule'!D1169,,1)),"")</f>
        <v/>
      </c>
    </row>
    <row r="1170" spans="3:6" x14ac:dyDescent="0.3">
      <c r="C1170" s="1" t="str">
        <f>IF(C1169&lt;'Investment Calculator'!$C$8*'Investment Calculator'!$F$4,'SIP Schedule'!C1169+1,"")</f>
        <v/>
      </c>
      <c r="D1170" s="27" t="str">
        <f>IF(C1170&lt;='Investment Calculator'!$C$8*'Investment Calculator'!$F$4,'Investment Calculator'!$C$6,"")</f>
        <v/>
      </c>
      <c r="E1170" s="27" t="str">
        <f>IFERROR((F1169+D1170)*'Investment Calculator'!$C$7/'Investment Calculator'!$F$4,"")</f>
        <v/>
      </c>
      <c r="F1170" s="27" t="str">
        <f>IFERROR(ABS(FV('Investment Calculator'!$C$7/'Investment Calculator'!$F$4,'SIP Schedule'!C1170,'SIP Schedule'!D1170,,1)),"")</f>
        <v/>
      </c>
    </row>
    <row r="1171" spans="3:6" x14ac:dyDescent="0.3">
      <c r="C1171" s="1" t="str">
        <f>IF(C1170&lt;'Investment Calculator'!$C$8*'Investment Calculator'!$F$4,'SIP Schedule'!C1170+1,"")</f>
        <v/>
      </c>
      <c r="D1171" s="27" t="str">
        <f>IF(C1171&lt;='Investment Calculator'!$C$8*'Investment Calculator'!$F$4,'Investment Calculator'!$C$6,"")</f>
        <v/>
      </c>
      <c r="E1171" s="27" t="str">
        <f>IFERROR((F1170+D1171)*'Investment Calculator'!$C$7/'Investment Calculator'!$F$4,"")</f>
        <v/>
      </c>
      <c r="F1171" s="27" t="str">
        <f>IFERROR(ABS(FV('Investment Calculator'!$C$7/'Investment Calculator'!$F$4,'SIP Schedule'!C1171,'SIP Schedule'!D1171,,1)),"")</f>
        <v/>
      </c>
    </row>
    <row r="1172" spans="3:6" x14ac:dyDescent="0.3">
      <c r="C1172" s="1" t="str">
        <f>IF(C1171&lt;'Investment Calculator'!$C$8*'Investment Calculator'!$F$4,'SIP Schedule'!C1171+1,"")</f>
        <v/>
      </c>
      <c r="D1172" s="27" t="str">
        <f>IF(C1172&lt;='Investment Calculator'!$C$8*'Investment Calculator'!$F$4,'Investment Calculator'!$C$6,"")</f>
        <v/>
      </c>
      <c r="E1172" s="27" t="str">
        <f>IFERROR((F1171+D1172)*'Investment Calculator'!$C$7/'Investment Calculator'!$F$4,"")</f>
        <v/>
      </c>
      <c r="F1172" s="27" t="str">
        <f>IFERROR(ABS(FV('Investment Calculator'!$C$7/'Investment Calculator'!$F$4,'SIP Schedule'!C1172,'SIP Schedule'!D1172,,1)),"")</f>
        <v/>
      </c>
    </row>
    <row r="1173" spans="3:6" x14ac:dyDescent="0.3">
      <c r="C1173" s="1" t="str">
        <f>IF(C1172&lt;'Investment Calculator'!$C$8*'Investment Calculator'!$F$4,'SIP Schedule'!C1172+1,"")</f>
        <v/>
      </c>
      <c r="D1173" s="27" t="str">
        <f>IF(C1173&lt;='Investment Calculator'!$C$8*'Investment Calculator'!$F$4,'Investment Calculator'!$C$6,"")</f>
        <v/>
      </c>
      <c r="E1173" s="27" t="str">
        <f>IFERROR((F1172+D1173)*'Investment Calculator'!$C$7/'Investment Calculator'!$F$4,"")</f>
        <v/>
      </c>
      <c r="F1173" s="27" t="str">
        <f>IFERROR(ABS(FV('Investment Calculator'!$C$7/'Investment Calculator'!$F$4,'SIP Schedule'!C1173,'SIP Schedule'!D1173,,1)),"")</f>
        <v/>
      </c>
    </row>
    <row r="1174" spans="3:6" x14ac:dyDescent="0.3">
      <c r="C1174" s="1" t="str">
        <f>IF(C1173&lt;'Investment Calculator'!$C$8*'Investment Calculator'!$F$4,'SIP Schedule'!C1173+1,"")</f>
        <v/>
      </c>
      <c r="D1174" s="27" t="str">
        <f>IF(C1174&lt;='Investment Calculator'!$C$8*'Investment Calculator'!$F$4,'Investment Calculator'!$C$6,"")</f>
        <v/>
      </c>
      <c r="E1174" s="27" t="str">
        <f>IFERROR((F1173+D1174)*'Investment Calculator'!$C$7/'Investment Calculator'!$F$4,"")</f>
        <v/>
      </c>
      <c r="F1174" s="27" t="str">
        <f>IFERROR(ABS(FV('Investment Calculator'!$C$7/'Investment Calculator'!$F$4,'SIP Schedule'!C1174,'SIP Schedule'!D1174,,1)),"")</f>
        <v/>
      </c>
    </row>
    <row r="1175" spans="3:6" x14ac:dyDescent="0.3">
      <c r="C1175" s="1" t="str">
        <f>IF(C1174&lt;'Investment Calculator'!$C$8*'Investment Calculator'!$F$4,'SIP Schedule'!C1174+1,"")</f>
        <v/>
      </c>
      <c r="D1175" s="27" t="str">
        <f>IF(C1175&lt;='Investment Calculator'!$C$8*'Investment Calculator'!$F$4,'Investment Calculator'!$C$6,"")</f>
        <v/>
      </c>
      <c r="E1175" s="27" t="str">
        <f>IFERROR((F1174+D1175)*'Investment Calculator'!$C$7/'Investment Calculator'!$F$4,"")</f>
        <v/>
      </c>
      <c r="F1175" s="27" t="str">
        <f>IFERROR(ABS(FV('Investment Calculator'!$C$7/'Investment Calculator'!$F$4,'SIP Schedule'!C1175,'SIP Schedule'!D1175,,1)),"")</f>
        <v/>
      </c>
    </row>
    <row r="1176" spans="3:6" x14ac:dyDescent="0.3">
      <c r="C1176" s="1" t="str">
        <f>IF(C1175&lt;'Investment Calculator'!$C$8*'Investment Calculator'!$F$4,'SIP Schedule'!C1175+1,"")</f>
        <v/>
      </c>
      <c r="D1176" s="27" t="str">
        <f>IF(C1176&lt;='Investment Calculator'!$C$8*'Investment Calculator'!$F$4,'Investment Calculator'!$C$6,"")</f>
        <v/>
      </c>
      <c r="E1176" s="27" t="str">
        <f>IFERROR((F1175+D1176)*'Investment Calculator'!$C$7/'Investment Calculator'!$F$4,"")</f>
        <v/>
      </c>
      <c r="F1176" s="27" t="str">
        <f>IFERROR(ABS(FV('Investment Calculator'!$C$7/'Investment Calculator'!$F$4,'SIP Schedule'!C1176,'SIP Schedule'!D1176,,1)),"")</f>
        <v/>
      </c>
    </row>
    <row r="1177" spans="3:6" x14ac:dyDescent="0.3">
      <c r="C1177" s="1" t="str">
        <f>IF(C1176&lt;'Investment Calculator'!$C$8*'Investment Calculator'!$F$4,'SIP Schedule'!C1176+1,"")</f>
        <v/>
      </c>
      <c r="D1177" s="27" t="str">
        <f>IF(C1177&lt;='Investment Calculator'!$C$8*'Investment Calculator'!$F$4,'Investment Calculator'!$C$6,"")</f>
        <v/>
      </c>
      <c r="E1177" s="27" t="str">
        <f>IFERROR((F1176+D1177)*'Investment Calculator'!$C$7/'Investment Calculator'!$F$4,"")</f>
        <v/>
      </c>
      <c r="F1177" s="27" t="str">
        <f>IFERROR(ABS(FV('Investment Calculator'!$C$7/'Investment Calculator'!$F$4,'SIP Schedule'!C1177,'SIP Schedule'!D1177,,1)),"")</f>
        <v/>
      </c>
    </row>
    <row r="1178" spans="3:6" x14ac:dyDescent="0.3">
      <c r="C1178" s="1" t="str">
        <f>IF(C1177&lt;'Investment Calculator'!$C$8*'Investment Calculator'!$F$4,'SIP Schedule'!C1177+1,"")</f>
        <v/>
      </c>
      <c r="D1178" s="27" t="str">
        <f>IF(C1178&lt;='Investment Calculator'!$C$8*'Investment Calculator'!$F$4,'Investment Calculator'!$C$6,"")</f>
        <v/>
      </c>
      <c r="E1178" s="27" t="str">
        <f>IFERROR((F1177+D1178)*'Investment Calculator'!$C$7/'Investment Calculator'!$F$4,"")</f>
        <v/>
      </c>
      <c r="F1178" s="27" t="str">
        <f>IFERROR(ABS(FV('Investment Calculator'!$C$7/'Investment Calculator'!$F$4,'SIP Schedule'!C1178,'SIP Schedule'!D1178,,1)),"")</f>
        <v/>
      </c>
    </row>
    <row r="1179" spans="3:6" x14ac:dyDescent="0.3">
      <c r="C1179" s="1" t="str">
        <f>IF(C1178&lt;'Investment Calculator'!$C$8*'Investment Calculator'!$F$4,'SIP Schedule'!C1178+1,"")</f>
        <v/>
      </c>
      <c r="D1179" s="27" t="str">
        <f>IF(C1179&lt;='Investment Calculator'!$C$8*'Investment Calculator'!$F$4,'Investment Calculator'!$C$6,"")</f>
        <v/>
      </c>
      <c r="E1179" s="27" t="str">
        <f>IFERROR((F1178+D1179)*'Investment Calculator'!$C$7/'Investment Calculator'!$F$4,"")</f>
        <v/>
      </c>
      <c r="F1179" s="27" t="str">
        <f>IFERROR(ABS(FV('Investment Calculator'!$C$7/'Investment Calculator'!$F$4,'SIP Schedule'!C1179,'SIP Schedule'!D1179,,1)),"")</f>
        <v/>
      </c>
    </row>
    <row r="1180" spans="3:6" x14ac:dyDescent="0.3">
      <c r="C1180" s="1" t="str">
        <f>IF(C1179&lt;'Investment Calculator'!$C$8*'Investment Calculator'!$F$4,'SIP Schedule'!C1179+1,"")</f>
        <v/>
      </c>
      <c r="D1180" s="27" t="str">
        <f>IF(C1180&lt;='Investment Calculator'!$C$8*'Investment Calculator'!$F$4,'Investment Calculator'!$C$6,"")</f>
        <v/>
      </c>
      <c r="E1180" s="27" t="str">
        <f>IFERROR((F1179+D1180)*'Investment Calculator'!$C$7/'Investment Calculator'!$F$4,"")</f>
        <v/>
      </c>
      <c r="F1180" s="27" t="str">
        <f>IFERROR(ABS(FV('Investment Calculator'!$C$7/'Investment Calculator'!$F$4,'SIP Schedule'!C1180,'SIP Schedule'!D1180,,1)),"")</f>
        <v/>
      </c>
    </row>
    <row r="1181" spans="3:6" x14ac:dyDescent="0.3">
      <c r="C1181" s="1" t="str">
        <f>IF(C1180&lt;'Investment Calculator'!$C$8*'Investment Calculator'!$F$4,'SIP Schedule'!C1180+1,"")</f>
        <v/>
      </c>
      <c r="D1181" s="27" t="str">
        <f>IF(C1181&lt;='Investment Calculator'!$C$8*'Investment Calculator'!$F$4,'Investment Calculator'!$C$6,"")</f>
        <v/>
      </c>
      <c r="E1181" s="27" t="str">
        <f>IFERROR((F1180+D1181)*'Investment Calculator'!$C$7/'Investment Calculator'!$F$4,"")</f>
        <v/>
      </c>
      <c r="F1181" s="27" t="str">
        <f>IFERROR(ABS(FV('Investment Calculator'!$C$7/'Investment Calculator'!$F$4,'SIP Schedule'!C1181,'SIP Schedule'!D1181,,1)),"")</f>
        <v/>
      </c>
    </row>
    <row r="1182" spans="3:6" x14ac:dyDescent="0.3">
      <c r="C1182" s="1" t="str">
        <f>IF(C1181&lt;'Investment Calculator'!$C$8*'Investment Calculator'!$F$4,'SIP Schedule'!C1181+1,"")</f>
        <v/>
      </c>
      <c r="D1182" s="27" t="str">
        <f>IF(C1182&lt;='Investment Calculator'!$C$8*'Investment Calculator'!$F$4,'Investment Calculator'!$C$6,"")</f>
        <v/>
      </c>
      <c r="E1182" s="27" t="str">
        <f>IFERROR((F1181+D1182)*'Investment Calculator'!$C$7/'Investment Calculator'!$F$4,"")</f>
        <v/>
      </c>
      <c r="F1182" s="27" t="str">
        <f>IFERROR(ABS(FV('Investment Calculator'!$C$7/'Investment Calculator'!$F$4,'SIP Schedule'!C1182,'SIP Schedule'!D1182,,1)),"")</f>
        <v/>
      </c>
    </row>
    <row r="1183" spans="3:6" x14ac:dyDescent="0.3">
      <c r="C1183" s="1" t="str">
        <f>IF(C1182&lt;'Investment Calculator'!$C$8*'Investment Calculator'!$F$4,'SIP Schedule'!C1182+1,"")</f>
        <v/>
      </c>
      <c r="D1183" s="27" t="str">
        <f>IF(C1183&lt;='Investment Calculator'!$C$8*'Investment Calculator'!$F$4,'Investment Calculator'!$C$6,"")</f>
        <v/>
      </c>
      <c r="E1183" s="27" t="str">
        <f>IFERROR((F1182+D1183)*'Investment Calculator'!$C$7/'Investment Calculator'!$F$4,"")</f>
        <v/>
      </c>
      <c r="F1183" s="27" t="str">
        <f>IFERROR(ABS(FV('Investment Calculator'!$C$7/'Investment Calculator'!$F$4,'SIP Schedule'!C1183,'SIP Schedule'!D1183,,1)),"")</f>
        <v/>
      </c>
    </row>
    <row r="1184" spans="3:6" x14ac:dyDescent="0.3">
      <c r="C1184" s="1" t="str">
        <f>IF(C1183&lt;'Investment Calculator'!$C$8*'Investment Calculator'!$F$4,'SIP Schedule'!C1183+1,"")</f>
        <v/>
      </c>
      <c r="D1184" s="27" t="str">
        <f>IF(C1184&lt;='Investment Calculator'!$C$8*'Investment Calculator'!$F$4,'Investment Calculator'!$C$6,"")</f>
        <v/>
      </c>
      <c r="E1184" s="27" t="str">
        <f>IFERROR((F1183+D1184)*'Investment Calculator'!$C$7/'Investment Calculator'!$F$4,"")</f>
        <v/>
      </c>
      <c r="F1184" s="27" t="str">
        <f>IFERROR(ABS(FV('Investment Calculator'!$C$7/'Investment Calculator'!$F$4,'SIP Schedule'!C1184,'SIP Schedule'!D1184,,1)),"")</f>
        <v/>
      </c>
    </row>
    <row r="1185" spans="3:6" x14ac:dyDescent="0.3">
      <c r="C1185" s="1" t="str">
        <f>IF(C1184&lt;'Investment Calculator'!$C$8*'Investment Calculator'!$F$4,'SIP Schedule'!C1184+1,"")</f>
        <v/>
      </c>
      <c r="D1185" s="27" t="str">
        <f>IF(C1185&lt;='Investment Calculator'!$C$8*'Investment Calculator'!$F$4,'Investment Calculator'!$C$6,"")</f>
        <v/>
      </c>
      <c r="E1185" s="27" t="str">
        <f>IFERROR((F1184+D1185)*'Investment Calculator'!$C$7/'Investment Calculator'!$F$4,"")</f>
        <v/>
      </c>
      <c r="F1185" s="27" t="str">
        <f>IFERROR(ABS(FV('Investment Calculator'!$C$7/'Investment Calculator'!$F$4,'SIP Schedule'!C1185,'SIP Schedule'!D1185,,1)),"")</f>
        <v/>
      </c>
    </row>
    <row r="1186" spans="3:6" x14ac:dyDescent="0.3">
      <c r="C1186" s="1" t="str">
        <f>IF(C1185&lt;'Investment Calculator'!$C$8*'Investment Calculator'!$F$4,'SIP Schedule'!C1185+1,"")</f>
        <v/>
      </c>
      <c r="D1186" s="27" t="str">
        <f>IF(C1186&lt;='Investment Calculator'!$C$8*'Investment Calculator'!$F$4,'Investment Calculator'!$C$6,"")</f>
        <v/>
      </c>
      <c r="E1186" s="27" t="str">
        <f>IFERROR((F1185+D1186)*'Investment Calculator'!$C$7/'Investment Calculator'!$F$4,"")</f>
        <v/>
      </c>
      <c r="F1186" s="27" t="str">
        <f>IFERROR(ABS(FV('Investment Calculator'!$C$7/'Investment Calculator'!$F$4,'SIP Schedule'!C1186,'SIP Schedule'!D1186,,1)),"")</f>
        <v/>
      </c>
    </row>
    <row r="1187" spans="3:6" x14ac:dyDescent="0.3">
      <c r="C1187" s="1" t="str">
        <f>IF(C1186&lt;'Investment Calculator'!$C$8*'Investment Calculator'!$F$4,'SIP Schedule'!C1186+1,"")</f>
        <v/>
      </c>
      <c r="D1187" s="27" t="str">
        <f>IF(C1187&lt;='Investment Calculator'!$C$8*'Investment Calculator'!$F$4,'Investment Calculator'!$C$6,"")</f>
        <v/>
      </c>
      <c r="E1187" s="27" t="str">
        <f>IFERROR((F1186+D1187)*'Investment Calculator'!$C$7/'Investment Calculator'!$F$4,"")</f>
        <v/>
      </c>
      <c r="F1187" s="27" t="str">
        <f>IFERROR(ABS(FV('Investment Calculator'!$C$7/'Investment Calculator'!$F$4,'SIP Schedule'!C1187,'SIP Schedule'!D1187,,1)),"")</f>
        <v/>
      </c>
    </row>
    <row r="1188" spans="3:6" x14ac:dyDescent="0.3">
      <c r="C1188" s="1" t="str">
        <f>IF(C1187&lt;'Investment Calculator'!$C$8*'Investment Calculator'!$F$4,'SIP Schedule'!C1187+1,"")</f>
        <v/>
      </c>
      <c r="D1188" s="27" t="str">
        <f>IF(C1188&lt;='Investment Calculator'!$C$8*'Investment Calculator'!$F$4,'Investment Calculator'!$C$6,"")</f>
        <v/>
      </c>
      <c r="E1188" s="27" t="str">
        <f>IFERROR((F1187+D1188)*'Investment Calculator'!$C$7/'Investment Calculator'!$F$4,"")</f>
        <v/>
      </c>
      <c r="F1188" s="27" t="str">
        <f>IFERROR(ABS(FV('Investment Calculator'!$C$7/'Investment Calculator'!$F$4,'SIP Schedule'!C1188,'SIP Schedule'!D1188,,1)),"")</f>
        <v/>
      </c>
    </row>
    <row r="1189" spans="3:6" x14ac:dyDescent="0.3">
      <c r="C1189" s="1" t="str">
        <f>IF(C1188&lt;'Investment Calculator'!$C$8*'Investment Calculator'!$F$4,'SIP Schedule'!C1188+1,"")</f>
        <v/>
      </c>
      <c r="D1189" s="27" t="str">
        <f>IF(C1189&lt;='Investment Calculator'!$C$8*'Investment Calculator'!$F$4,'Investment Calculator'!$C$6,"")</f>
        <v/>
      </c>
      <c r="E1189" s="27" t="str">
        <f>IFERROR((F1188+D1189)*'Investment Calculator'!$C$7/'Investment Calculator'!$F$4,"")</f>
        <v/>
      </c>
      <c r="F1189" s="27" t="str">
        <f>IFERROR(ABS(FV('Investment Calculator'!$C$7/'Investment Calculator'!$F$4,'SIP Schedule'!C1189,'SIP Schedule'!D1189,,1)),"")</f>
        <v/>
      </c>
    </row>
    <row r="1190" spans="3:6" x14ac:dyDescent="0.3">
      <c r="C1190" s="1" t="str">
        <f>IF(C1189&lt;'Investment Calculator'!$C$8*'Investment Calculator'!$F$4,'SIP Schedule'!C1189+1,"")</f>
        <v/>
      </c>
      <c r="D1190" s="27" t="str">
        <f>IF(C1190&lt;='Investment Calculator'!$C$8*'Investment Calculator'!$F$4,'Investment Calculator'!$C$6,"")</f>
        <v/>
      </c>
      <c r="E1190" s="27" t="str">
        <f>IFERROR((F1189+D1190)*'Investment Calculator'!$C$7/'Investment Calculator'!$F$4,"")</f>
        <v/>
      </c>
      <c r="F1190" s="27" t="str">
        <f>IFERROR(ABS(FV('Investment Calculator'!$C$7/'Investment Calculator'!$F$4,'SIP Schedule'!C1190,'SIP Schedule'!D1190,,1)),"")</f>
        <v/>
      </c>
    </row>
    <row r="1191" spans="3:6" x14ac:dyDescent="0.3">
      <c r="C1191" s="1" t="str">
        <f>IF(C1190&lt;'Investment Calculator'!$C$8*'Investment Calculator'!$F$4,'SIP Schedule'!C1190+1,"")</f>
        <v/>
      </c>
      <c r="D1191" s="27" t="str">
        <f>IF(C1191&lt;='Investment Calculator'!$C$8*'Investment Calculator'!$F$4,'Investment Calculator'!$C$6,"")</f>
        <v/>
      </c>
      <c r="E1191" s="27" t="str">
        <f>IFERROR((F1190+D1191)*'Investment Calculator'!$C$7/'Investment Calculator'!$F$4,"")</f>
        <v/>
      </c>
      <c r="F1191" s="27" t="str">
        <f>IFERROR(ABS(FV('Investment Calculator'!$C$7/'Investment Calculator'!$F$4,'SIP Schedule'!C1191,'SIP Schedule'!D1191,,1)),"")</f>
        <v/>
      </c>
    </row>
    <row r="1192" spans="3:6" x14ac:dyDescent="0.3">
      <c r="C1192" s="1" t="str">
        <f>IF(C1191&lt;'Investment Calculator'!$C$8*'Investment Calculator'!$F$4,'SIP Schedule'!C1191+1,"")</f>
        <v/>
      </c>
      <c r="D1192" s="27" t="str">
        <f>IF(C1192&lt;='Investment Calculator'!$C$8*'Investment Calculator'!$F$4,'Investment Calculator'!$C$6,"")</f>
        <v/>
      </c>
      <c r="E1192" s="27" t="str">
        <f>IFERROR((F1191+D1192)*'Investment Calculator'!$C$7/'Investment Calculator'!$F$4,"")</f>
        <v/>
      </c>
      <c r="F1192" s="27" t="str">
        <f>IFERROR(ABS(FV('Investment Calculator'!$C$7/'Investment Calculator'!$F$4,'SIP Schedule'!C1192,'SIP Schedule'!D1192,,1)),"")</f>
        <v/>
      </c>
    </row>
    <row r="1193" spans="3:6" x14ac:dyDescent="0.3">
      <c r="C1193" s="1" t="str">
        <f>IF(C1192&lt;'Investment Calculator'!$C$8*'Investment Calculator'!$F$4,'SIP Schedule'!C1192+1,"")</f>
        <v/>
      </c>
      <c r="D1193" s="27" t="str">
        <f>IF(C1193&lt;='Investment Calculator'!$C$8*'Investment Calculator'!$F$4,'Investment Calculator'!$C$6,"")</f>
        <v/>
      </c>
      <c r="E1193" s="27" t="str">
        <f>IFERROR((F1192+D1193)*'Investment Calculator'!$C$7/'Investment Calculator'!$F$4,"")</f>
        <v/>
      </c>
      <c r="F1193" s="27" t="str">
        <f>IFERROR(ABS(FV('Investment Calculator'!$C$7/'Investment Calculator'!$F$4,'SIP Schedule'!C1193,'SIP Schedule'!D1193,,1)),"")</f>
        <v/>
      </c>
    </row>
    <row r="1194" spans="3:6" x14ac:dyDescent="0.3">
      <c r="C1194" s="1" t="str">
        <f>IF(C1193&lt;'Investment Calculator'!$C$8*'Investment Calculator'!$F$4,'SIP Schedule'!C1193+1,"")</f>
        <v/>
      </c>
      <c r="D1194" s="27" t="str">
        <f>IF(C1194&lt;='Investment Calculator'!$C$8*'Investment Calculator'!$F$4,'Investment Calculator'!$C$6,"")</f>
        <v/>
      </c>
      <c r="E1194" s="27" t="str">
        <f>IFERROR((F1193+D1194)*'Investment Calculator'!$C$7/'Investment Calculator'!$F$4,"")</f>
        <v/>
      </c>
      <c r="F1194" s="27" t="str">
        <f>IFERROR(ABS(FV('Investment Calculator'!$C$7/'Investment Calculator'!$F$4,'SIP Schedule'!C1194,'SIP Schedule'!D1194,,1)),"")</f>
        <v/>
      </c>
    </row>
    <row r="1195" spans="3:6" x14ac:dyDescent="0.3">
      <c r="C1195" s="1" t="str">
        <f>IF(C1194&lt;'Investment Calculator'!$C$8*'Investment Calculator'!$F$4,'SIP Schedule'!C1194+1,"")</f>
        <v/>
      </c>
      <c r="D1195" s="27" t="str">
        <f>IF(C1195&lt;='Investment Calculator'!$C$8*'Investment Calculator'!$F$4,'Investment Calculator'!$C$6,"")</f>
        <v/>
      </c>
      <c r="E1195" s="27" t="str">
        <f>IFERROR((F1194+D1195)*'Investment Calculator'!$C$7/'Investment Calculator'!$F$4,"")</f>
        <v/>
      </c>
      <c r="F1195" s="27" t="str">
        <f>IFERROR(ABS(FV('Investment Calculator'!$C$7/'Investment Calculator'!$F$4,'SIP Schedule'!C1195,'SIP Schedule'!D1195,,1)),"")</f>
        <v/>
      </c>
    </row>
    <row r="1196" spans="3:6" x14ac:dyDescent="0.3">
      <c r="C1196" s="1" t="str">
        <f>IF(C1195&lt;'Investment Calculator'!$C$8*'Investment Calculator'!$F$4,'SIP Schedule'!C1195+1,"")</f>
        <v/>
      </c>
      <c r="D1196" s="27" t="str">
        <f>IF(C1196&lt;='Investment Calculator'!$C$8*'Investment Calculator'!$F$4,'Investment Calculator'!$C$6,"")</f>
        <v/>
      </c>
      <c r="E1196" s="27" t="str">
        <f>IFERROR((F1195+D1196)*'Investment Calculator'!$C$7/'Investment Calculator'!$F$4,"")</f>
        <v/>
      </c>
      <c r="F1196" s="27" t="str">
        <f>IFERROR(ABS(FV('Investment Calculator'!$C$7/'Investment Calculator'!$F$4,'SIP Schedule'!C1196,'SIP Schedule'!D1196,,1)),"")</f>
        <v/>
      </c>
    </row>
    <row r="1197" spans="3:6" x14ac:dyDescent="0.3">
      <c r="C1197" s="1" t="str">
        <f>IF(C1196&lt;'Investment Calculator'!$C$8*'Investment Calculator'!$F$4,'SIP Schedule'!C1196+1,"")</f>
        <v/>
      </c>
      <c r="D1197" s="27" t="str">
        <f>IF(C1197&lt;='Investment Calculator'!$C$8*'Investment Calculator'!$F$4,'Investment Calculator'!$C$6,"")</f>
        <v/>
      </c>
      <c r="E1197" s="27" t="str">
        <f>IFERROR((F1196+D1197)*'Investment Calculator'!$C$7/'Investment Calculator'!$F$4,"")</f>
        <v/>
      </c>
      <c r="F1197" s="27" t="str">
        <f>IFERROR(ABS(FV('Investment Calculator'!$C$7/'Investment Calculator'!$F$4,'SIP Schedule'!C1197,'SIP Schedule'!D1197,,1)),"")</f>
        <v/>
      </c>
    </row>
    <row r="1198" spans="3:6" x14ac:dyDescent="0.3">
      <c r="C1198" s="1" t="str">
        <f>IF(C1197&lt;'Investment Calculator'!$C$8*'Investment Calculator'!$F$4,'SIP Schedule'!C1197+1,"")</f>
        <v/>
      </c>
      <c r="D1198" s="27" t="str">
        <f>IF(C1198&lt;='Investment Calculator'!$C$8*'Investment Calculator'!$F$4,'Investment Calculator'!$C$6,"")</f>
        <v/>
      </c>
      <c r="E1198" s="27" t="str">
        <f>IFERROR((F1197+D1198)*'Investment Calculator'!$C$7/'Investment Calculator'!$F$4,"")</f>
        <v/>
      </c>
      <c r="F1198" s="27" t="str">
        <f>IFERROR(ABS(FV('Investment Calculator'!$C$7/'Investment Calculator'!$F$4,'SIP Schedule'!C1198,'SIP Schedule'!D1198,,1)),"")</f>
        <v/>
      </c>
    </row>
    <row r="1199" spans="3:6" x14ac:dyDescent="0.3">
      <c r="C1199" s="1" t="str">
        <f>IF(C1198&lt;'Investment Calculator'!$C$8*'Investment Calculator'!$F$4,'SIP Schedule'!C1198+1,"")</f>
        <v/>
      </c>
      <c r="D1199" s="27" t="str">
        <f>IF(C1199&lt;='Investment Calculator'!$C$8*'Investment Calculator'!$F$4,'Investment Calculator'!$C$6,"")</f>
        <v/>
      </c>
      <c r="E1199" s="27" t="str">
        <f>IFERROR((F1198+D1199)*'Investment Calculator'!$C$7/'Investment Calculator'!$F$4,"")</f>
        <v/>
      </c>
      <c r="F1199" s="27" t="str">
        <f>IFERROR(ABS(FV('Investment Calculator'!$C$7/'Investment Calculator'!$F$4,'SIP Schedule'!C1199,'SIP Schedule'!D1199,,1)),"")</f>
        <v/>
      </c>
    </row>
    <row r="1200" spans="3:6" x14ac:dyDescent="0.3">
      <c r="C1200" s="1" t="str">
        <f>IF(C1199&lt;'Investment Calculator'!$C$8*'Investment Calculator'!$F$4,'SIP Schedule'!C1199+1,"")</f>
        <v/>
      </c>
      <c r="D1200" s="27" t="str">
        <f>IF(C1200&lt;='Investment Calculator'!$C$8*'Investment Calculator'!$F$4,'Investment Calculator'!$C$6,"")</f>
        <v/>
      </c>
      <c r="E1200" s="27" t="str">
        <f>IFERROR((F1199+D1200)*'Investment Calculator'!$C$7/'Investment Calculator'!$F$4,"")</f>
        <v/>
      </c>
      <c r="F1200" s="27" t="str">
        <f>IFERROR(ABS(FV('Investment Calculator'!$C$7/'Investment Calculator'!$F$4,'SIP Schedule'!C1200,'SIP Schedule'!D1200,,1)),"")</f>
        <v/>
      </c>
    </row>
    <row r="1201" spans="3:6" x14ac:dyDescent="0.3">
      <c r="C1201" s="1" t="str">
        <f>IF(C1200&lt;'Investment Calculator'!$C$8*'Investment Calculator'!$F$4,'SIP Schedule'!C1200+1,"")</f>
        <v/>
      </c>
      <c r="D1201" s="27" t="str">
        <f>IF(C1201&lt;='Investment Calculator'!$C$8*'Investment Calculator'!$F$4,'Investment Calculator'!$C$6,"")</f>
        <v/>
      </c>
      <c r="E1201" s="27" t="str">
        <f>IFERROR((F1200+D1201)*'Investment Calculator'!$C$7/'Investment Calculator'!$F$4,"")</f>
        <v/>
      </c>
      <c r="F1201" s="27" t="str">
        <f>IFERROR(ABS(FV('Investment Calculator'!$C$7/'Investment Calculator'!$F$4,'SIP Schedule'!C1201,'SIP Schedule'!D1201,,1)),"")</f>
        <v/>
      </c>
    </row>
    <row r="1202" spans="3:6" x14ac:dyDescent="0.3">
      <c r="C1202" s="1" t="str">
        <f>IF(C1201&lt;'Investment Calculator'!$C$8*'Investment Calculator'!$F$4,'SIP Schedule'!C1201+1,"")</f>
        <v/>
      </c>
      <c r="D1202" s="27" t="str">
        <f>IF(C1202&lt;='Investment Calculator'!$C$8*'Investment Calculator'!$F$4,'Investment Calculator'!$C$6,"")</f>
        <v/>
      </c>
      <c r="E1202" s="27" t="str">
        <f>IFERROR((F1201+D1202)*'Investment Calculator'!$C$7/'Investment Calculator'!$F$4,"")</f>
        <v/>
      </c>
      <c r="F1202" s="27" t="str">
        <f>IFERROR(ABS(FV('Investment Calculator'!$C$7/'Investment Calculator'!$F$4,'SIP Schedule'!C1202,'SIP Schedule'!D1202,,1)),"")</f>
        <v/>
      </c>
    </row>
    <row r="1203" spans="3:6" x14ac:dyDescent="0.3">
      <c r="C1203" s="1" t="str">
        <f>IF(C1202&lt;'Investment Calculator'!$C$8*'Investment Calculator'!$F$4,'SIP Schedule'!C1202+1,"")</f>
        <v/>
      </c>
      <c r="D1203" s="27" t="str">
        <f>IF(C1203&lt;='Investment Calculator'!$C$8*'Investment Calculator'!$F$4,'Investment Calculator'!$C$6,"")</f>
        <v/>
      </c>
      <c r="E1203" s="27" t="str">
        <f>IFERROR((F1202+D1203)*'Investment Calculator'!$C$7/'Investment Calculator'!$F$4,"")</f>
        <v/>
      </c>
      <c r="F1203" s="27" t="str">
        <f>IFERROR(ABS(FV('Investment Calculator'!$C$7/'Investment Calculator'!$F$4,'SIP Schedule'!C1203,'SIP Schedule'!D1203,,1)),"")</f>
        <v/>
      </c>
    </row>
    <row r="1204" spans="3:6" x14ac:dyDescent="0.3">
      <c r="C1204" s="1" t="str">
        <f>IF(C1203&lt;'Investment Calculator'!$C$8*'Investment Calculator'!$F$4,'SIP Schedule'!C1203+1,"")</f>
        <v/>
      </c>
      <c r="D1204" s="27" t="str">
        <f>IF(C1204&lt;='Investment Calculator'!$C$8*'Investment Calculator'!$F$4,'Investment Calculator'!$C$6,"")</f>
        <v/>
      </c>
      <c r="E1204" s="27" t="str">
        <f>IFERROR((F1203+D1204)*'Investment Calculator'!$C$7/'Investment Calculator'!$F$4,"")</f>
        <v/>
      </c>
      <c r="F1204" s="27" t="str">
        <f>IFERROR(ABS(FV('Investment Calculator'!$C$7/'Investment Calculator'!$F$4,'SIP Schedule'!C1204,'SIP Schedule'!D1204,,1)),"")</f>
        <v/>
      </c>
    </row>
    <row r="1205" spans="3:6" x14ac:dyDescent="0.3">
      <c r="C1205" s="1" t="str">
        <f>IF(C1204&lt;'Investment Calculator'!$C$8*'Investment Calculator'!$F$4,'SIP Schedule'!C1204+1,"")</f>
        <v/>
      </c>
      <c r="D1205" s="27" t="str">
        <f>IF(C1205&lt;='Investment Calculator'!$C$8*'Investment Calculator'!$F$4,'Investment Calculator'!$C$6,"")</f>
        <v/>
      </c>
      <c r="E1205" s="27" t="str">
        <f>IFERROR((F1204+D1205)*'Investment Calculator'!$C$7/'Investment Calculator'!$F$4,"")</f>
        <v/>
      </c>
      <c r="F1205" s="27" t="str">
        <f>IFERROR(ABS(FV('Investment Calculator'!$C$7/'Investment Calculator'!$F$4,'SIP Schedule'!C1205,'SIP Schedule'!D1205,,1)),"")</f>
        <v/>
      </c>
    </row>
    <row r="1206" spans="3:6" x14ac:dyDescent="0.3">
      <c r="C1206" s="1" t="str">
        <f>IF(C1205&lt;'Investment Calculator'!$C$8*'Investment Calculator'!$F$4,'SIP Schedule'!C1205+1,"")</f>
        <v/>
      </c>
      <c r="D1206" s="27" t="str">
        <f>IF(C1206&lt;='Investment Calculator'!$C$8*'Investment Calculator'!$F$4,'Investment Calculator'!$C$6,"")</f>
        <v/>
      </c>
      <c r="E1206" s="27" t="str">
        <f>IFERROR((F1205+D1206)*'Investment Calculator'!$C$7/'Investment Calculator'!$F$4,"")</f>
        <v/>
      </c>
      <c r="F1206" s="27" t="str">
        <f>IFERROR(ABS(FV('Investment Calculator'!$C$7/'Investment Calculator'!$F$4,'SIP Schedule'!C1206,'SIP Schedule'!D1206,,1)),"")</f>
        <v/>
      </c>
    </row>
    <row r="1207" spans="3:6" x14ac:dyDescent="0.3">
      <c r="C1207" s="1" t="str">
        <f>IF(C1206&lt;'Investment Calculator'!$C$8*'Investment Calculator'!$F$4,'SIP Schedule'!C1206+1,"")</f>
        <v/>
      </c>
      <c r="D1207" s="27" t="str">
        <f>IF(C1207&lt;='Investment Calculator'!$C$8*'Investment Calculator'!$F$4,'Investment Calculator'!$C$6,"")</f>
        <v/>
      </c>
      <c r="E1207" s="27" t="str">
        <f>IFERROR((F1206+D1207)*'Investment Calculator'!$C$7/'Investment Calculator'!$F$4,"")</f>
        <v/>
      </c>
      <c r="F1207" s="27" t="str">
        <f>IFERROR(ABS(FV('Investment Calculator'!$C$7/'Investment Calculator'!$F$4,'SIP Schedule'!C1207,'SIP Schedule'!D1207,,1)),"")</f>
        <v/>
      </c>
    </row>
    <row r="1208" spans="3:6" x14ac:dyDescent="0.3">
      <c r="C1208" s="1" t="str">
        <f>IF(C1207&lt;'Investment Calculator'!$C$8*'Investment Calculator'!$F$4,'SIP Schedule'!C1207+1,"")</f>
        <v/>
      </c>
      <c r="D1208" s="27" t="str">
        <f>IF(C1208&lt;='Investment Calculator'!$C$8*'Investment Calculator'!$F$4,'Investment Calculator'!$C$6,"")</f>
        <v/>
      </c>
      <c r="E1208" s="27" t="str">
        <f>IFERROR((F1207+D1208)*'Investment Calculator'!$C$7/'Investment Calculator'!$F$4,"")</f>
        <v/>
      </c>
      <c r="F1208" s="27" t="str">
        <f>IFERROR(ABS(FV('Investment Calculator'!$C$7/'Investment Calculator'!$F$4,'SIP Schedule'!C1208,'SIP Schedule'!D1208,,1)),"")</f>
        <v/>
      </c>
    </row>
    <row r="1209" spans="3:6" x14ac:dyDescent="0.3">
      <c r="C1209" s="1" t="str">
        <f>IF(C1208&lt;'Investment Calculator'!$C$8*'Investment Calculator'!$F$4,'SIP Schedule'!C1208+1,"")</f>
        <v/>
      </c>
      <c r="D1209" s="27" t="str">
        <f>IF(C1209&lt;='Investment Calculator'!$C$8*'Investment Calculator'!$F$4,'Investment Calculator'!$C$6,"")</f>
        <v/>
      </c>
      <c r="E1209" s="27" t="str">
        <f>IFERROR((F1208+D1209)*'Investment Calculator'!$C$7/'Investment Calculator'!$F$4,"")</f>
        <v/>
      </c>
      <c r="F1209" s="27" t="str">
        <f>IFERROR(ABS(FV('Investment Calculator'!$C$7/'Investment Calculator'!$F$4,'SIP Schedule'!C1209,'SIP Schedule'!D1209,,1)),"")</f>
        <v/>
      </c>
    </row>
    <row r="1210" spans="3:6" x14ac:dyDescent="0.3">
      <c r="C1210" s="1" t="str">
        <f>IF(C1209&lt;'Investment Calculator'!$C$8*'Investment Calculator'!$F$4,'SIP Schedule'!C1209+1,"")</f>
        <v/>
      </c>
      <c r="D1210" s="27" t="str">
        <f>IF(C1210&lt;='Investment Calculator'!$C$8*'Investment Calculator'!$F$4,'Investment Calculator'!$C$6,"")</f>
        <v/>
      </c>
      <c r="E1210" s="27" t="str">
        <f>IFERROR((F1209+D1210)*'Investment Calculator'!$C$7/'Investment Calculator'!$F$4,"")</f>
        <v/>
      </c>
      <c r="F1210" s="27" t="str">
        <f>IFERROR(ABS(FV('Investment Calculator'!$C$7/'Investment Calculator'!$F$4,'SIP Schedule'!C1210,'SIP Schedule'!D1210,,1)),"")</f>
        <v/>
      </c>
    </row>
    <row r="1211" spans="3:6" x14ac:dyDescent="0.3">
      <c r="C1211" s="1" t="str">
        <f>IF(C1210&lt;'Investment Calculator'!$C$8*'Investment Calculator'!$F$4,'SIP Schedule'!C1210+1,"")</f>
        <v/>
      </c>
      <c r="D1211" s="27" t="str">
        <f>IF(C1211&lt;='Investment Calculator'!$C$8*'Investment Calculator'!$F$4,'Investment Calculator'!$C$6,"")</f>
        <v/>
      </c>
      <c r="E1211" s="27" t="str">
        <f>IFERROR((F1210+D1211)*'Investment Calculator'!$C$7/'Investment Calculator'!$F$4,"")</f>
        <v/>
      </c>
      <c r="F1211" s="27" t="str">
        <f>IFERROR(ABS(FV('Investment Calculator'!$C$7/'Investment Calculator'!$F$4,'SIP Schedule'!C1211,'SIP Schedule'!D1211,,1)),"")</f>
        <v/>
      </c>
    </row>
    <row r="1212" spans="3:6" x14ac:dyDescent="0.3">
      <c r="C1212" s="1" t="str">
        <f>IF(C1211&lt;'Investment Calculator'!$C$8*'Investment Calculator'!$F$4,'SIP Schedule'!C1211+1,"")</f>
        <v/>
      </c>
      <c r="D1212" s="27" t="str">
        <f>IF(C1212&lt;='Investment Calculator'!$C$8*'Investment Calculator'!$F$4,'Investment Calculator'!$C$6,"")</f>
        <v/>
      </c>
      <c r="E1212" s="27" t="str">
        <f>IFERROR((F1211+D1212)*'Investment Calculator'!$C$7/'Investment Calculator'!$F$4,"")</f>
        <v/>
      </c>
      <c r="F1212" s="27" t="str">
        <f>IFERROR(ABS(FV('Investment Calculator'!$C$7/'Investment Calculator'!$F$4,'SIP Schedule'!C1212,'SIP Schedule'!D1212,,1)),"")</f>
        <v/>
      </c>
    </row>
    <row r="1213" spans="3:6" x14ac:dyDescent="0.3">
      <c r="C1213" s="1" t="str">
        <f>IF(C1212&lt;'Investment Calculator'!$C$8*'Investment Calculator'!$F$4,'SIP Schedule'!C1212+1,"")</f>
        <v/>
      </c>
      <c r="D1213" s="27" t="str">
        <f>IF(C1213&lt;='Investment Calculator'!$C$8*'Investment Calculator'!$F$4,'Investment Calculator'!$C$6,"")</f>
        <v/>
      </c>
      <c r="E1213" s="27" t="str">
        <f>IFERROR((F1212+D1213)*'Investment Calculator'!$C$7/'Investment Calculator'!$F$4,"")</f>
        <v/>
      </c>
      <c r="F1213" s="27" t="str">
        <f>IFERROR(ABS(FV('Investment Calculator'!$C$7/'Investment Calculator'!$F$4,'SIP Schedule'!C1213,'SIP Schedule'!D1213,,1)),"")</f>
        <v/>
      </c>
    </row>
    <row r="1214" spans="3:6" x14ac:dyDescent="0.3">
      <c r="C1214" s="1" t="str">
        <f>IF(C1213&lt;'Investment Calculator'!$C$8*'Investment Calculator'!$F$4,'SIP Schedule'!C1213+1,"")</f>
        <v/>
      </c>
      <c r="D1214" s="27" t="str">
        <f>IF(C1214&lt;='Investment Calculator'!$C$8*'Investment Calculator'!$F$4,'Investment Calculator'!$C$6,"")</f>
        <v/>
      </c>
      <c r="E1214" s="27" t="str">
        <f>IFERROR((F1213+D1214)*'Investment Calculator'!$C$7/'Investment Calculator'!$F$4,"")</f>
        <v/>
      </c>
      <c r="F1214" s="27" t="str">
        <f>IFERROR(ABS(FV('Investment Calculator'!$C$7/'Investment Calculator'!$F$4,'SIP Schedule'!C1214,'SIP Schedule'!D1214,,1)),"")</f>
        <v/>
      </c>
    </row>
    <row r="1215" spans="3:6" x14ac:dyDescent="0.3">
      <c r="C1215" s="1" t="str">
        <f>IF(C1214&lt;'Investment Calculator'!$C$8*'Investment Calculator'!$F$4,'SIP Schedule'!C1214+1,"")</f>
        <v/>
      </c>
      <c r="D1215" s="27" t="str">
        <f>IF(C1215&lt;='Investment Calculator'!$C$8*'Investment Calculator'!$F$4,'Investment Calculator'!$C$6,"")</f>
        <v/>
      </c>
      <c r="E1215" s="27" t="str">
        <f>IFERROR((F1214+D1215)*'Investment Calculator'!$C$7/'Investment Calculator'!$F$4,"")</f>
        <v/>
      </c>
      <c r="F1215" s="27" t="str">
        <f>IFERROR(ABS(FV('Investment Calculator'!$C$7/'Investment Calculator'!$F$4,'SIP Schedule'!C1215,'SIP Schedule'!D1215,,1)),"")</f>
        <v/>
      </c>
    </row>
    <row r="1216" spans="3:6" x14ac:dyDescent="0.3">
      <c r="C1216" s="1" t="str">
        <f>IF(C1215&lt;'Investment Calculator'!$C$8*'Investment Calculator'!$F$4,'SIP Schedule'!C1215+1,"")</f>
        <v/>
      </c>
      <c r="D1216" s="27" t="str">
        <f>IF(C1216&lt;='Investment Calculator'!$C$8*'Investment Calculator'!$F$4,'Investment Calculator'!$C$6,"")</f>
        <v/>
      </c>
      <c r="E1216" s="27" t="str">
        <f>IFERROR((F1215+D1216)*'Investment Calculator'!$C$7/'Investment Calculator'!$F$4,"")</f>
        <v/>
      </c>
      <c r="F1216" s="27" t="str">
        <f>IFERROR(ABS(FV('Investment Calculator'!$C$7/'Investment Calculator'!$F$4,'SIP Schedule'!C1216,'SIP Schedule'!D1216,,1)),"")</f>
        <v/>
      </c>
    </row>
    <row r="1217" spans="3:6" x14ac:dyDescent="0.3">
      <c r="C1217" s="1" t="str">
        <f>IF(C1216&lt;'Investment Calculator'!$C$8*'Investment Calculator'!$F$4,'SIP Schedule'!C1216+1,"")</f>
        <v/>
      </c>
      <c r="D1217" s="27" t="str">
        <f>IF(C1217&lt;='Investment Calculator'!$C$8*'Investment Calculator'!$F$4,'Investment Calculator'!$C$6,"")</f>
        <v/>
      </c>
      <c r="E1217" s="27" t="str">
        <f>IFERROR((F1216+D1217)*'Investment Calculator'!$C$7/'Investment Calculator'!$F$4,"")</f>
        <v/>
      </c>
      <c r="F1217" s="27" t="str">
        <f>IFERROR(ABS(FV('Investment Calculator'!$C$7/'Investment Calculator'!$F$4,'SIP Schedule'!C1217,'SIP Schedule'!D1217,,1)),"")</f>
        <v/>
      </c>
    </row>
    <row r="1218" spans="3:6" x14ac:dyDescent="0.3">
      <c r="C1218" s="1" t="str">
        <f>IF(C1217&lt;'Investment Calculator'!$C$8*'Investment Calculator'!$F$4,'SIP Schedule'!C1217+1,"")</f>
        <v/>
      </c>
      <c r="D1218" s="27" t="str">
        <f>IF(C1218&lt;='Investment Calculator'!$C$8*'Investment Calculator'!$F$4,'Investment Calculator'!$C$6,"")</f>
        <v/>
      </c>
      <c r="E1218" s="27" t="str">
        <f>IFERROR((F1217+D1218)*'Investment Calculator'!$C$7/'Investment Calculator'!$F$4,"")</f>
        <v/>
      </c>
      <c r="F1218" s="27" t="str">
        <f>IFERROR(ABS(FV('Investment Calculator'!$C$7/'Investment Calculator'!$F$4,'SIP Schedule'!C1218,'SIP Schedule'!D1218,,1)),"")</f>
        <v/>
      </c>
    </row>
    <row r="1219" spans="3:6" x14ac:dyDescent="0.3">
      <c r="C1219" s="1" t="str">
        <f>IF(C1218&lt;'Investment Calculator'!$C$8*'Investment Calculator'!$F$4,'SIP Schedule'!C1218+1,"")</f>
        <v/>
      </c>
      <c r="D1219" s="27" t="str">
        <f>IF(C1219&lt;='Investment Calculator'!$C$8*'Investment Calculator'!$F$4,'Investment Calculator'!$C$6,"")</f>
        <v/>
      </c>
      <c r="E1219" s="27" t="str">
        <f>IFERROR((F1218+D1219)*'Investment Calculator'!$C$7/'Investment Calculator'!$F$4,"")</f>
        <v/>
      </c>
      <c r="F1219" s="27" t="str">
        <f>IFERROR(ABS(FV('Investment Calculator'!$C$7/'Investment Calculator'!$F$4,'SIP Schedule'!C1219,'SIP Schedule'!D1219,,1)),"")</f>
        <v/>
      </c>
    </row>
    <row r="1220" spans="3:6" x14ac:dyDescent="0.3">
      <c r="C1220" s="1" t="str">
        <f>IF(C1219&lt;'Investment Calculator'!$C$8*'Investment Calculator'!$F$4,'SIP Schedule'!C1219+1,"")</f>
        <v/>
      </c>
      <c r="D1220" s="27" t="str">
        <f>IF(C1220&lt;='Investment Calculator'!$C$8*'Investment Calculator'!$F$4,'Investment Calculator'!$C$6,"")</f>
        <v/>
      </c>
      <c r="E1220" s="27" t="str">
        <f>IFERROR((F1219+D1220)*'Investment Calculator'!$C$7/'Investment Calculator'!$F$4,"")</f>
        <v/>
      </c>
      <c r="F1220" s="27" t="str">
        <f>IFERROR(ABS(FV('Investment Calculator'!$C$7/'Investment Calculator'!$F$4,'SIP Schedule'!C1220,'SIP Schedule'!D1220,,1)),"")</f>
        <v/>
      </c>
    </row>
    <row r="1221" spans="3:6" x14ac:dyDescent="0.3">
      <c r="C1221" s="1" t="str">
        <f>IF(C1220&lt;'Investment Calculator'!$C$8*'Investment Calculator'!$F$4,'SIP Schedule'!C1220+1,"")</f>
        <v/>
      </c>
      <c r="D1221" s="27" t="str">
        <f>IF(C1221&lt;='Investment Calculator'!$C$8*'Investment Calculator'!$F$4,'Investment Calculator'!$C$6,"")</f>
        <v/>
      </c>
      <c r="E1221" s="27" t="str">
        <f>IFERROR((F1220+D1221)*'Investment Calculator'!$C$7/'Investment Calculator'!$F$4,"")</f>
        <v/>
      </c>
      <c r="F1221" s="27" t="str">
        <f>IFERROR(ABS(FV('Investment Calculator'!$C$7/'Investment Calculator'!$F$4,'SIP Schedule'!C1221,'SIP Schedule'!D1221,,1)),"")</f>
        <v/>
      </c>
    </row>
    <row r="1222" spans="3:6" x14ac:dyDescent="0.3">
      <c r="C1222" s="1" t="str">
        <f>IF(C1221&lt;'Investment Calculator'!$C$8*'Investment Calculator'!$F$4,'SIP Schedule'!C1221+1,"")</f>
        <v/>
      </c>
      <c r="D1222" s="27" t="str">
        <f>IF(C1222&lt;='Investment Calculator'!$C$8*'Investment Calculator'!$F$4,'Investment Calculator'!$C$6,"")</f>
        <v/>
      </c>
      <c r="E1222" s="27" t="str">
        <f>IFERROR((F1221+D1222)*'Investment Calculator'!$C$7/'Investment Calculator'!$F$4,"")</f>
        <v/>
      </c>
      <c r="F1222" s="27" t="str">
        <f>IFERROR(ABS(FV('Investment Calculator'!$C$7/'Investment Calculator'!$F$4,'SIP Schedule'!C1222,'SIP Schedule'!D1222,,1)),"")</f>
        <v/>
      </c>
    </row>
    <row r="1223" spans="3:6" x14ac:dyDescent="0.3">
      <c r="C1223" s="1" t="str">
        <f>IF(C1222&lt;'Investment Calculator'!$C$8*'Investment Calculator'!$F$4,'SIP Schedule'!C1222+1,"")</f>
        <v/>
      </c>
      <c r="D1223" s="27" t="str">
        <f>IF(C1223&lt;='Investment Calculator'!$C$8*'Investment Calculator'!$F$4,'Investment Calculator'!$C$6,"")</f>
        <v/>
      </c>
      <c r="E1223" s="27" t="str">
        <f>IFERROR((F1222+D1223)*'Investment Calculator'!$C$7/'Investment Calculator'!$F$4,"")</f>
        <v/>
      </c>
      <c r="F1223" s="27" t="str">
        <f>IFERROR(ABS(FV('Investment Calculator'!$C$7/'Investment Calculator'!$F$4,'SIP Schedule'!C1223,'SIP Schedule'!D1223,,1)),"")</f>
        <v/>
      </c>
    </row>
    <row r="1224" spans="3:6" x14ac:dyDescent="0.3">
      <c r="C1224" s="1" t="str">
        <f>IF(C1223&lt;'Investment Calculator'!$C$8*'Investment Calculator'!$F$4,'SIP Schedule'!C1223+1,"")</f>
        <v/>
      </c>
      <c r="D1224" s="27" t="str">
        <f>IF(C1224&lt;='Investment Calculator'!$C$8*'Investment Calculator'!$F$4,'Investment Calculator'!$C$6,"")</f>
        <v/>
      </c>
      <c r="E1224" s="27" t="str">
        <f>IFERROR((F1223+D1224)*'Investment Calculator'!$C$7/'Investment Calculator'!$F$4,"")</f>
        <v/>
      </c>
      <c r="F1224" s="27" t="str">
        <f>IFERROR(ABS(FV('Investment Calculator'!$C$7/'Investment Calculator'!$F$4,'SIP Schedule'!C1224,'SIP Schedule'!D1224,,1)),"")</f>
        <v/>
      </c>
    </row>
    <row r="1225" spans="3:6" x14ac:dyDescent="0.3">
      <c r="C1225" s="1" t="str">
        <f>IF(C1224&lt;'Investment Calculator'!$C$8*'Investment Calculator'!$F$4,'SIP Schedule'!C1224+1,"")</f>
        <v/>
      </c>
      <c r="D1225" s="27" t="str">
        <f>IF(C1225&lt;='Investment Calculator'!$C$8*'Investment Calculator'!$F$4,'Investment Calculator'!$C$6,"")</f>
        <v/>
      </c>
      <c r="E1225" s="27" t="str">
        <f>IFERROR((F1224+D1225)*'Investment Calculator'!$C$7/'Investment Calculator'!$F$4,"")</f>
        <v/>
      </c>
      <c r="F1225" s="27" t="str">
        <f>IFERROR(ABS(FV('Investment Calculator'!$C$7/'Investment Calculator'!$F$4,'SIP Schedule'!C1225,'SIP Schedule'!D1225,,1)),"")</f>
        <v/>
      </c>
    </row>
    <row r="1226" spans="3:6" x14ac:dyDescent="0.3">
      <c r="C1226" s="1" t="str">
        <f>IF(C1225&lt;'Investment Calculator'!$C$8*'Investment Calculator'!$F$4,'SIP Schedule'!C1225+1,"")</f>
        <v/>
      </c>
      <c r="D1226" s="27" t="str">
        <f>IF(C1226&lt;='Investment Calculator'!$C$8*'Investment Calculator'!$F$4,'Investment Calculator'!$C$6,"")</f>
        <v/>
      </c>
      <c r="E1226" s="27" t="str">
        <f>IFERROR((F1225+D1226)*'Investment Calculator'!$C$7/'Investment Calculator'!$F$4,"")</f>
        <v/>
      </c>
      <c r="F1226" s="27" t="str">
        <f>IFERROR(ABS(FV('Investment Calculator'!$C$7/'Investment Calculator'!$F$4,'SIP Schedule'!C1226,'SIP Schedule'!D1226,,1)),"")</f>
        <v/>
      </c>
    </row>
    <row r="1227" spans="3:6" x14ac:dyDescent="0.3">
      <c r="C1227" s="1" t="str">
        <f>IF(C1226&lt;'Investment Calculator'!$C$8*'Investment Calculator'!$F$4,'SIP Schedule'!C1226+1,"")</f>
        <v/>
      </c>
      <c r="D1227" s="27" t="str">
        <f>IF(C1227&lt;='Investment Calculator'!$C$8*'Investment Calculator'!$F$4,'Investment Calculator'!$C$6,"")</f>
        <v/>
      </c>
      <c r="E1227" s="27" t="str">
        <f>IFERROR((F1226+D1227)*'Investment Calculator'!$C$7/'Investment Calculator'!$F$4,"")</f>
        <v/>
      </c>
      <c r="F1227" s="27" t="str">
        <f>IFERROR(ABS(FV('Investment Calculator'!$C$7/'Investment Calculator'!$F$4,'SIP Schedule'!C1227,'SIP Schedule'!D1227,,1)),"")</f>
        <v/>
      </c>
    </row>
    <row r="1228" spans="3:6" x14ac:dyDescent="0.3">
      <c r="C1228" s="1" t="str">
        <f>IF(C1227&lt;'Investment Calculator'!$C$8*'Investment Calculator'!$F$4,'SIP Schedule'!C1227+1,"")</f>
        <v/>
      </c>
      <c r="D1228" s="27" t="str">
        <f>IF(C1228&lt;='Investment Calculator'!$C$8*'Investment Calculator'!$F$4,'Investment Calculator'!$C$6,"")</f>
        <v/>
      </c>
      <c r="E1228" s="27" t="str">
        <f>IFERROR((F1227+D1228)*'Investment Calculator'!$C$7/'Investment Calculator'!$F$4,"")</f>
        <v/>
      </c>
      <c r="F1228" s="27" t="str">
        <f>IFERROR(ABS(FV('Investment Calculator'!$C$7/'Investment Calculator'!$F$4,'SIP Schedule'!C1228,'SIP Schedule'!D1228,,1)),"")</f>
        <v/>
      </c>
    </row>
    <row r="1229" spans="3:6" x14ac:dyDescent="0.3">
      <c r="C1229" s="1" t="str">
        <f>IF(C1228&lt;'Investment Calculator'!$C$8*'Investment Calculator'!$F$4,'SIP Schedule'!C1228+1,"")</f>
        <v/>
      </c>
      <c r="D1229" s="27" t="str">
        <f>IF(C1229&lt;='Investment Calculator'!$C$8*'Investment Calculator'!$F$4,'Investment Calculator'!$C$6,"")</f>
        <v/>
      </c>
      <c r="E1229" s="27" t="str">
        <f>IFERROR((F1228+D1229)*'Investment Calculator'!$C$7/'Investment Calculator'!$F$4,"")</f>
        <v/>
      </c>
      <c r="F1229" s="27" t="str">
        <f>IFERROR(ABS(FV('Investment Calculator'!$C$7/'Investment Calculator'!$F$4,'SIP Schedule'!C1229,'SIP Schedule'!D1229,,1)),"")</f>
        <v/>
      </c>
    </row>
    <row r="1230" spans="3:6" x14ac:dyDescent="0.3">
      <c r="C1230" s="1" t="str">
        <f>IF(C1229&lt;'Investment Calculator'!$C$8*'Investment Calculator'!$F$4,'SIP Schedule'!C1229+1,"")</f>
        <v/>
      </c>
      <c r="D1230" s="27" t="str">
        <f>IF(C1230&lt;='Investment Calculator'!$C$8*'Investment Calculator'!$F$4,'Investment Calculator'!$C$6,"")</f>
        <v/>
      </c>
      <c r="E1230" s="27" t="str">
        <f>IFERROR((F1229+D1230)*'Investment Calculator'!$C$7/'Investment Calculator'!$F$4,"")</f>
        <v/>
      </c>
      <c r="F1230" s="27" t="str">
        <f>IFERROR(ABS(FV('Investment Calculator'!$C$7/'Investment Calculator'!$F$4,'SIP Schedule'!C1230,'SIP Schedule'!D1230,,1)),"")</f>
        <v/>
      </c>
    </row>
    <row r="1231" spans="3:6" x14ac:dyDescent="0.3">
      <c r="C1231" s="1" t="str">
        <f>IF(C1230&lt;'Investment Calculator'!$C$8*'Investment Calculator'!$F$4,'SIP Schedule'!C1230+1,"")</f>
        <v/>
      </c>
      <c r="D1231" s="27" t="str">
        <f>IF(C1231&lt;='Investment Calculator'!$C$8*'Investment Calculator'!$F$4,'Investment Calculator'!$C$6,"")</f>
        <v/>
      </c>
      <c r="E1231" s="27" t="str">
        <f>IFERROR((F1230+D1231)*'Investment Calculator'!$C$7/'Investment Calculator'!$F$4,"")</f>
        <v/>
      </c>
      <c r="F1231" s="27" t="str">
        <f>IFERROR(ABS(FV('Investment Calculator'!$C$7/'Investment Calculator'!$F$4,'SIP Schedule'!C1231,'SIP Schedule'!D1231,,1)),"")</f>
        <v/>
      </c>
    </row>
    <row r="1232" spans="3:6" x14ac:dyDescent="0.3">
      <c r="C1232" s="1" t="str">
        <f>IF(C1231&lt;'Investment Calculator'!$C$8*'Investment Calculator'!$F$4,'SIP Schedule'!C1231+1,"")</f>
        <v/>
      </c>
      <c r="D1232" s="27" t="str">
        <f>IF(C1232&lt;='Investment Calculator'!$C$8*'Investment Calculator'!$F$4,'Investment Calculator'!$C$6,"")</f>
        <v/>
      </c>
      <c r="E1232" s="27" t="str">
        <f>IFERROR((F1231+D1232)*'Investment Calculator'!$C$7/'Investment Calculator'!$F$4,"")</f>
        <v/>
      </c>
      <c r="F1232" s="27" t="str">
        <f>IFERROR(ABS(FV('Investment Calculator'!$C$7/'Investment Calculator'!$F$4,'SIP Schedule'!C1232,'SIP Schedule'!D1232,,1)),"")</f>
        <v/>
      </c>
    </row>
    <row r="1233" spans="3:6" x14ac:dyDescent="0.3">
      <c r="C1233" s="1" t="str">
        <f>IF(C1232&lt;'Investment Calculator'!$C$8*'Investment Calculator'!$F$4,'SIP Schedule'!C1232+1,"")</f>
        <v/>
      </c>
      <c r="D1233" s="27" t="str">
        <f>IF(C1233&lt;='Investment Calculator'!$C$8*'Investment Calculator'!$F$4,'Investment Calculator'!$C$6,"")</f>
        <v/>
      </c>
      <c r="E1233" s="27" t="str">
        <f>IFERROR((F1232+D1233)*'Investment Calculator'!$C$7/'Investment Calculator'!$F$4,"")</f>
        <v/>
      </c>
      <c r="F1233" s="27" t="str">
        <f>IFERROR(ABS(FV('Investment Calculator'!$C$7/'Investment Calculator'!$F$4,'SIP Schedule'!C1233,'SIP Schedule'!D1233,,1)),"")</f>
        <v/>
      </c>
    </row>
    <row r="1234" spans="3:6" x14ac:dyDescent="0.3">
      <c r="C1234" s="1" t="str">
        <f>IF(C1233&lt;'Investment Calculator'!$C$8*'Investment Calculator'!$F$4,'SIP Schedule'!C1233+1,"")</f>
        <v/>
      </c>
      <c r="D1234" s="27" t="str">
        <f>IF(C1234&lt;='Investment Calculator'!$C$8*'Investment Calculator'!$F$4,'Investment Calculator'!$C$6,"")</f>
        <v/>
      </c>
      <c r="E1234" s="27" t="str">
        <f>IFERROR((F1233+D1234)*'Investment Calculator'!$C$7/'Investment Calculator'!$F$4,"")</f>
        <v/>
      </c>
      <c r="F1234" s="27" t="str">
        <f>IFERROR(ABS(FV('Investment Calculator'!$C$7/'Investment Calculator'!$F$4,'SIP Schedule'!C1234,'SIP Schedule'!D1234,,1)),"")</f>
        <v/>
      </c>
    </row>
    <row r="1235" spans="3:6" x14ac:dyDescent="0.3">
      <c r="C1235" s="1" t="str">
        <f>IF(C1234&lt;'Investment Calculator'!$C$8*'Investment Calculator'!$F$4,'SIP Schedule'!C1234+1,"")</f>
        <v/>
      </c>
      <c r="D1235" s="27" t="str">
        <f>IF(C1235&lt;='Investment Calculator'!$C$8*'Investment Calculator'!$F$4,'Investment Calculator'!$C$6,"")</f>
        <v/>
      </c>
      <c r="E1235" s="27" t="str">
        <f>IFERROR((F1234+D1235)*'Investment Calculator'!$C$7/'Investment Calculator'!$F$4,"")</f>
        <v/>
      </c>
      <c r="F1235" s="27" t="str">
        <f>IFERROR(ABS(FV('Investment Calculator'!$C$7/'Investment Calculator'!$F$4,'SIP Schedule'!C1235,'SIP Schedule'!D1235,,1)),"")</f>
        <v/>
      </c>
    </row>
    <row r="1236" spans="3:6" x14ac:dyDescent="0.3">
      <c r="C1236" s="1" t="str">
        <f>IF(C1235&lt;'Investment Calculator'!$C$8*'Investment Calculator'!$F$4,'SIP Schedule'!C1235+1,"")</f>
        <v/>
      </c>
      <c r="D1236" s="27" t="str">
        <f>IF(C1236&lt;='Investment Calculator'!$C$8*'Investment Calculator'!$F$4,'Investment Calculator'!$C$6,"")</f>
        <v/>
      </c>
      <c r="E1236" s="27" t="str">
        <f>IFERROR((F1235+D1236)*'Investment Calculator'!$C$7/'Investment Calculator'!$F$4,"")</f>
        <v/>
      </c>
      <c r="F1236" s="27" t="str">
        <f>IFERROR(ABS(FV('Investment Calculator'!$C$7/'Investment Calculator'!$F$4,'SIP Schedule'!C1236,'SIP Schedule'!D1236,,1)),"")</f>
        <v/>
      </c>
    </row>
    <row r="1237" spans="3:6" x14ac:dyDescent="0.3">
      <c r="C1237" s="1" t="str">
        <f>IF(C1236&lt;'Investment Calculator'!$C$8*'Investment Calculator'!$F$4,'SIP Schedule'!C1236+1,"")</f>
        <v/>
      </c>
      <c r="D1237" s="27" t="str">
        <f>IF(C1237&lt;='Investment Calculator'!$C$8*'Investment Calculator'!$F$4,'Investment Calculator'!$C$6,"")</f>
        <v/>
      </c>
      <c r="E1237" s="27" t="str">
        <f>IFERROR((F1236+D1237)*'Investment Calculator'!$C$7/'Investment Calculator'!$F$4,"")</f>
        <v/>
      </c>
      <c r="F1237" s="27" t="str">
        <f>IFERROR(ABS(FV('Investment Calculator'!$C$7/'Investment Calculator'!$F$4,'SIP Schedule'!C1237,'SIP Schedule'!D1237,,1)),"")</f>
        <v/>
      </c>
    </row>
    <row r="1238" spans="3:6" x14ac:dyDescent="0.3">
      <c r="C1238" s="1" t="str">
        <f>IF(C1237&lt;'Investment Calculator'!$C$8*'Investment Calculator'!$F$4,'SIP Schedule'!C1237+1,"")</f>
        <v/>
      </c>
      <c r="D1238" s="27" t="str">
        <f>IF(C1238&lt;='Investment Calculator'!$C$8*'Investment Calculator'!$F$4,'Investment Calculator'!$C$6,"")</f>
        <v/>
      </c>
      <c r="E1238" s="27" t="str">
        <f>IFERROR((F1237+D1238)*'Investment Calculator'!$C$7/'Investment Calculator'!$F$4,"")</f>
        <v/>
      </c>
      <c r="F1238" s="27" t="str">
        <f>IFERROR(ABS(FV('Investment Calculator'!$C$7/'Investment Calculator'!$F$4,'SIP Schedule'!C1238,'SIP Schedule'!D1238,,1)),"")</f>
        <v/>
      </c>
    </row>
    <row r="1239" spans="3:6" x14ac:dyDescent="0.3">
      <c r="C1239" s="1" t="str">
        <f>IF(C1238&lt;'Investment Calculator'!$C$8*'Investment Calculator'!$F$4,'SIP Schedule'!C1238+1,"")</f>
        <v/>
      </c>
      <c r="D1239" s="27" t="str">
        <f>IF(C1239&lt;='Investment Calculator'!$C$8*'Investment Calculator'!$F$4,'Investment Calculator'!$C$6,"")</f>
        <v/>
      </c>
      <c r="E1239" s="27" t="str">
        <f>IFERROR((F1238+D1239)*'Investment Calculator'!$C$7/'Investment Calculator'!$F$4,"")</f>
        <v/>
      </c>
      <c r="F1239" s="27" t="str">
        <f>IFERROR(ABS(FV('Investment Calculator'!$C$7/'Investment Calculator'!$F$4,'SIP Schedule'!C1239,'SIP Schedule'!D1239,,1)),"")</f>
        <v/>
      </c>
    </row>
    <row r="1240" spans="3:6" x14ac:dyDescent="0.3">
      <c r="C1240" s="1" t="str">
        <f>IF(C1239&lt;'Investment Calculator'!$C$8*'Investment Calculator'!$F$4,'SIP Schedule'!C1239+1,"")</f>
        <v/>
      </c>
      <c r="D1240" s="27" t="str">
        <f>IF(C1240&lt;='Investment Calculator'!$C$8*'Investment Calculator'!$F$4,'Investment Calculator'!$C$6,"")</f>
        <v/>
      </c>
      <c r="E1240" s="27" t="str">
        <f>IFERROR((F1239+D1240)*'Investment Calculator'!$C$7/'Investment Calculator'!$F$4,"")</f>
        <v/>
      </c>
      <c r="F1240" s="27" t="str">
        <f>IFERROR(ABS(FV('Investment Calculator'!$C$7/'Investment Calculator'!$F$4,'SIP Schedule'!C1240,'SIP Schedule'!D1240,,1)),"")</f>
        <v/>
      </c>
    </row>
    <row r="1241" spans="3:6" x14ac:dyDescent="0.3">
      <c r="C1241" s="1" t="str">
        <f>IF(C1240&lt;'Investment Calculator'!$C$8*'Investment Calculator'!$F$4,'SIP Schedule'!C1240+1,"")</f>
        <v/>
      </c>
      <c r="D1241" s="27" t="str">
        <f>IF(C1241&lt;='Investment Calculator'!$C$8*'Investment Calculator'!$F$4,'Investment Calculator'!$C$6,"")</f>
        <v/>
      </c>
      <c r="E1241" s="27" t="str">
        <f>IFERROR((F1240+D1241)*'Investment Calculator'!$C$7/'Investment Calculator'!$F$4,"")</f>
        <v/>
      </c>
      <c r="F1241" s="27" t="str">
        <f>IFERROR(ABS(FV('Investment Calculator'!$C$7/'Investment Calculator'!$F$4,'SIP Schedule'!C1241,'SIP Schedule'!D1241,,1)),"")</f>
        <v/>
      </c>
    </row>
    <row r="1242" spans="3:6" x14ac:dyDescent="0.3">
      <c r="C1242" s="1" t="str">
        <f>IF(C1241&lt;'Investment Calculator'!$C$8*'Investment Calculator'!$F$4,'SIP Schedule'!C1241+1,"")</f>
        <v/>
      </c>
      <c r="D1242" s="27" t="str">
        <f>IF(C1242&lt;='Investment Calculator'!$C$8*'Investment Calculator'!$F$4,'Investment Calculator'!$C$6,"")</f>
        <v/>
      </c>
      <c r="E1242" s="27" t="str">
        <f>IFERROR((F1241+D1242)*'Investment Calculator'!$C$7/'Investment Calculator'!$F$4,"")</f>
        <v/>
      </c>
      <c r="F1242" s="27" t="str">
        <f>IFERROR(ABS(FV('Investment Calculator'!$C$7/'Investment Calculator'!$F$4,'SIP Schedule'!C1242,'SIP Schedule'!D1242,,1)),"")</f>
        <v/>
      </c>
    </row>
    <row r="1243" spans="3:6" x14ac:dyDescent="0.3">
      <c r="C1243" s="1" t="str">
        <f>IF(C1242&lt;'Investment Calculator'!$C$8*'Investment Calculator'!$F$4,'SIP Schedule'!C1242+1,"")</f>
        <v/>
      </c>
      <c r="D1243" s="27" t="str">
        <f>IF(C1243&lt;='Investment Calculator'!$C$8*'Investment Calculator'!$F$4,'Investment Calculator'!$C$6,"")</f>
        <v/>
      </c>
      <c r="E1243" s="27" t="str">
        <f>IFERROR((F1242+D1243)*'Investment Calculator'!$C$7/'Investment Calculator'!$F$4,"")</f>
        <v/>
      </c>
      <c r="F1243" s="27" t="str">
        <f>IFERROR(ABS(FV('Investment Calculator'!$C$7/'Investment Calculator'!$F$4,'SIP Schedule'!C1243,'SIP Schedule'!D1243,,1)),"")</f>
        <v/>
      </c>
    </row>
    <row r="1244" spans="3:6" x14ac:dyDescent="0.3">
      <c r="C1244" s="1" t="str">
        <f>IF(C1243&lt;'Investment Calculator'!$C$8*'Investment Calculator'!$F$4,'SIP Schedule'!C1243+1,"")</f>
        <v/>
      </c>
      <c r="D1244" s="27" t="str">
        <f>IF(C1244&lt;='Investment Calculator'!$C$8*'Investment Calculator'!$F$4,'Investment Calculator'!$C$6,"")</f>
        <v/>
      </c>
      <c r="E1244" s="27" t="str">
        <f>IFERROR((F1243+D1244)*'Investment Calculator'!$C$7/'Investment Calculator'!$F$4,"")</f>
        <v/>
      </c>
      <c r="F1244" s="27" t="str">
        <f>IFERROR(ABS(FV('Investment Calculator'!$C$7/'Investment Calculator'!$F$4,'SIP Schedule'!C1244,'SIP Schedule'!D1244,,1)),"")</f>
        <v/>
      </c>
    </row>
    <row r="1245" spans="3:6" x14ac:dyDescent="0.3">
      <c r="C1245" s="1" t="str">
        <f>IF(C1244&lt;'Investment Calculator'!$C$8*'Investment Calculator'!$F$4,'SIP Schedule'!C1244+1,"")</f>
        <v/>
      </c>
      <c r="D1245" s="27" t="str">
        <f>IF(C1245&lt;='Investment Calculator'!$C$8*'Investment Calculator'!$F$4,'Investment Calculator'!$C$6,"")</f>
        <v/>
      </c>
      <c r="E1245" s="27" t="str">
        <f>IFERROR((F1244+D1245)*'Investment Calculator'!$C$7/'Investment Calculator'!$F$4,"")</f>
        <v/>
      </c>
      <c r="F1245" s="27" t="str">
        <f>IFERROR(ABS(FV('Investment Calculator'!$C$7/'Investment Calculator'!$F$4,'SIP Schedule'!C1245,'SIP Schedule'!D1245,,1)),"")</f>
        <v/>
      </c>
    </row>
    <row r="1246" spans="3:6" x14ac:dyDescent="0.3">
      <c r="C1246" s="1" t="str">
        <f>IF(C1245&lt;'Investment Calculator'!$C$8*'Investment Calculator'!$F$4,'SIP Schedule'!C1245+1,"")</f>
        <v/>
      </c>
      <c r="D1246" s="27" t="str">
        <f>IF(C1246&lt;='Investment Calculator'!$C$8*'Investment Calculator'!$F$4,'Investment Calculator'!$C$6,"")</f>
        <v/>
      </c>
      <c r="E1246" s="27" t="str">
        <f>IFERROR((F1245+D1246)*'Investment Calculator'!$C$7/'Investment Calculator'!$F$4,"")</f>
        <v/>
      </c>
      <c r="F1246" s="27" t="str">
        <f>IFERROR(ABS(FV('Investment Calculator'!$C$7/'Investment Calculator'!$F$4,'SIP Schedule'!C1246,'SIP Schedule'!D1246,,1)),"")</f>
        <v/>
      </c>
    </row>
    <row r="1247" spans="3:6" x14ac:dyDescent="0.3">
      <c r="C1247" s="1" t="str">
        <f>IF(C1246&lt;'Investment Calculator'!$C$8*'Investment Calculator'!$F$4,'SIP Schedule'!C1246+1,"")</f>
        <v/>
      </c>
      <c r="D1247" s="27" t="str">
        <f>IF(C1247&lt;='Investment Calculator'!$C$8*'Investment Calculator'!$F$4,'Investment Calculator'!$C$6,"")</f>
        <v/>
      </c>
      <c r="E1247" s="27" t="str">
        <f>IFERROR((F1246+D1247)*'Investment Calculator'!$C$7/'Investment Calculator'!$F$4,"")</f>
        <v/>
      </c>
      <c r="F1247" s="27" t="str">
        <f>IFERROR(ABS(FV('Investment Calculator'!$C$7/'Investment Calculator'!$F$4,'SIP Schedule'!C1247,'SIP Schedule'!D1247,,1)),"")</f>
        <v/>
      </c>
    </row>
    <row r="1248" spans="3:6" x14ac:dyDescent="0.3">
      <c r="C1248" s="1" t="str">
        <f>IF(C1247&lt;'Investment Calculator'!$C$8*'Investment Calculator'!$F$4,'SIP Schedule'!C1247+1,"")</f>
        <v/>
      </c>
      <c r="D1248" s="27" t="str">
        <f>IF(C1248&lt;='Investment Calculator'!$C$8*'Investment Calculator'!$F$4,'Investment Calculator'!$C$6,"")</f>
        <v/>
      </c>
      <c r="E1248" s="27" t="str">
        <f>IFERROR((F1247+D1248)*'Investment Calculator'!$C$7/'Investment Calculator'!$F$4,"")</f>
        <v/>
      </c>
      <c r="F1248" s="27" t="str">
        <f>IFERROR(ABS(FV('Investment Calculator'!$C$7/'Investment Calculator'!$F$4,'SIP Schedule'!C1248,'SIP Schedule'!D1248,,1)),"")</f>
        <v/>
      </c>
    </row>
    <row r="1249" spans="3:6" x14ac:dyDescent="0.3">
      <c r="C1249" s="1" t="str">
        <f>IF(C1248&lt;'Investment Calculator'!$C$8*'Investment Calculator'!$F$4,'SIP Schedule'!C1248+1,"")</f>
        <v/>
      </c>
      <c r="D1249" s="27" t="str">
        <f>IF(C1249&lt;='Investment Calculator'!$C$8*'Investment Calculator'!$F$4,'Investment Calculator'!$C$6,"")</f>
        <v/>
      </c>
      <c r="E1249" s="27" t="str">
        <f>IFERROR((F1248+D1249)*'Investment Calculator'!$C$7/'Investment Calculator'!$F$4,"")</f>
        <v/>
      </c>
      <c r="F1249" s="27" t="str">
        <f>IFERROR(ABS(FV('Investment Calculator'!$C$7/'Investment Calculator'!$F$4,'SIP Schedule'!C1249,'SIP Schedule'!D1249,,1)),"")</f>
        <v/>
      </c>
    </row>
    <row r="1250" spans="3:6" x14ac:dyDescent="0.3">
      <c r="C1250" s="1" t="str">
        <f>IF(C1249&lt;'Investment Calculator'!$C$8*'Investment Calculator'!$F$4,'SIP Schedule'!C1249+1,"")</f>
        <v/>
      </c>
      <c r="D1250" s="27" t="str">
        <f>IF(C1250&lt;='Investment Calculator'!$C$8*'Investment Calculator'!$F$4,'Investment Calculator'!$C$6,"")</f>
        <v/>
      </c>
      <c r="E1250" s="27" t="str">
        <f>IFERROR((F1249+D1250)*'Investment Calculator'!$C$7/'Investment Calculator'!$F$4,"")</f>
        <v/>
      </c>
      <c r="F1250" s="27" t="str">
        <f>IFERROR(ABS(FV('Investment Calculator'!$C$7/'Investment Calculator'!$F$4,'SIP Schedule'!C1250,'SIP Schedule'!D1250,,1)),"")</f>
        <v/>
      </c>
    </row>
    <row r="1251" spans="3:6" x14ac:dyDescent="0.3">
      <c r="C1251" s="1" t="str">
        <f>IF(C1250&lt;'Investment Calculator'!$C$8*'Investment Calculator'!$F$4,'SIP Schedule'!C1250+1,"")</f>
        <v/>
      </c>
      <c r="D1251" s="27" t="str">
        <f>IF(C1251&lt;='Investment Calculator'!$C$8*'Investment Calculator'!$F$4,'Investment Calculator'!$C$6,"")</f>
        <v/>
      </c>
      <c r="E1251" s="27" t="str">
        <f>IFERROR((F1250+D1251)*'Investment Calculator'!$C$7/'Investment Calculator'!$F$4,"")</f>
        <v/>
      </c>
      <c r="F1251" s="27" t="str">
        <f>IFERROR(ABS(FV('Investment Calculator'!$C$7/'Investment Calculator'!$F$4,'SIP Schedule'!C1251,'SIP Schedule'!D1251,,1)),"")</f>
        <v/>
      </c>
    </row>
    <row r="1252" spans="3:6" x14ac:dyDescent="0.3">
      <c r="C1252" s="1" t="str">
        <f>IF(C1251&lt;'Investment Calculator'!$C$8*'Investment Calculator'!$F$4,'SIP Schedule'!C1251+1,"")</f>
        <v/>
      </c>
      <c r="D1252" s="27" t="str">
        <f>IF(C1252&lt;='Investment Calculator'!$C$8*'Investment Calculator'!$F$4,'Investment Calculator'!$C$6,"")</f>
        <v/>
      </c>
      <c r="E1252" s="27" t="str">
        <f>IFERROR((F1251+D1252)*'Investment Calculator'!$C$7/'Investment Calculator'!$F$4,"")</f>
        <v/>
      </c>
      <c r="F1252" s="27" t="str">
        <f>IFERROR(ABS(FV('Investment Calculator'!$C$7/'Investment Calculator'!$F$4,'SIP Schedule'!C1252,'SIP Schedule'!D1252,,1)),"")</f>
        <v/>
      </c>
    </row>
    <row r="1253" spans="3:6" x14ac:dyDescent="0.3">
      <c r="C1253" s="1" t="str">
        <f>IF(C1252&lt;'Investment Calculator'!$C$8*'Investment Calculator'!$F$4,'SIP Schedule'!C1252+1,"")</f>
        <v/>
      </c>
      <c r="D1253" s="27" t="str">
        <f>IF(C1253&lt;='Investment Calculator'!$C$8*'Investment Calculator'!$F$4,'Investment Calculator'!$C$6,"")</f>
        <v/>
      </c>
      <c r="E1253" s="27" t="str">
        <f>IFERROR((F1252+D1253)*'Investment Calculator'!$C$7/'Investment Calculator'!$F$4,"")</f>
        <v/>
      </c>
      <c r="F1253" s="27" t="str">
        <f>IFERROR(ABS(FV('Investment Calculator'!$C$7/'Investment Calculator'!$F$4,'SIP Schedule'!C1253,'SIP Schedule'!D1253,,1)),"")</f>
        <v/>
      </c>
    </row>
    <row r="1254" spans="3:6" x14ac:dyDescent="0.3">
      <c r="C1254" s="1" t="str">
        <f>IF(C1253&lt;'Investment Calculator'!$C$8*'Investment Calculator'!$F$4,'SIP Schedule'!C1253+1,"")</f>
        <v/>
      </c>
      <c r="D1254" s="27" t="str">
        <f>IF(C1254&lt;='Investment Calculator'!$C$8*'Investment Calculator'!$F$4,'Investment Calculator'!$C$6,"")</f>
        <v/>
      </c>
      <c r="E1254" s="27" t="str">
        <f>IFERROR((F1253+D1254)*'Investment Calculator'!$C$7/'Investment Calculator'!$F$4,"")</f>
        <v/>
      </c>
      <c r="F1254" s="27" t="str">
        <f>IFERROR(ABS(FV('Investment Calculator'!$C$7/'Investment Calculator'!$F$4,'SIP Schedule'!C1254,'SIP Schedule'!D1254,,1)),"")</f>
        <v/>
      </c>
    </row>
    <row r="1255" spans="3:6" x14ac:dyDescent="0.3">
      <c r="C1255" s="1" t="str">
        <f>IF(C1254&lt;'Investment Calculator'!$C$8*'Investment Calculator'!$F$4,'SIP Schedule'!C1254+1,"")</f>
        <v/>
      </c>
      <c r="D1255" s="27" t="str">
        <f>IF(C1255&lt;='Investment Calculator'!$C$8*'Investment Calculator'!$F$4,'Investment Calculator'!$C$6,"")</f>
        <v/>
      </c>
      <c r="E1255" s="27" t="str">
        <f>IFERROR((F1254+D1255)*'Investment Calculator'!$C$7/'Investment Calculator'!$F$4,"")</f>
        <v/>
      </c>
      <c r="F1255" s="27" t="str">
        <f>IFERROR(ABS(FV('Investment Calculator'!$C$7/'Investment Calculator'!$F$4,'SIP Schedule'!C1255,'SIP Schedule'!D1255,,1)),"")</f>
        <v/>
      </c>
    </row>
    <row r="1256" spans="3:6" x14ac:dyDescent="0.3">
      <c r="C1256" s="1" t="str">
        <f>IF(C1255&lt;'Investment Calculator'!$C$8*'Investment Calculator'!$F$4,'SIP Schedule'!C1255+1,"")</f>
        <v/>
      </c>
      <c r="D1256" s="27" t="str">
        <f>IF(C1256&lt;='Investment Calculator'!$C$8*'Investment Calculator'!$F$4,'Investment Calculator'!$C$6,"")</f>
        <v/>
      </c>
      <c r="E1256" s="27" t="str">
        <f>IFERROR((F1255+D1256)*'Investment Calculator'!$C$7/'Investment Calculator'!$F$4,"")</f>
        <v/>
      </c>
      <c r="F1256" s="27" t="str">
        <f>IFERROR(ABS(FV('Investment Calculator'!$C$7/'Investment Calculator'!$F$4,'SIP Schedule'!C1256,'SIP Schedule'!D1256,,1)),"")</f>
        <v/>
      </c>
    </row>
    <row r="1257" spans="3:6" x14ac:dyDescent="0.3">
      <c r="C1257" s="1" t="str">
        <f>IF(C1256&lt;'Investment Calculator'!$C$8*'Investment Calculator'!$F$4,'SIP Schedule'!C1256+1,"")</f>
        <v/>
      </c>
      <c r="D1257" s="27" t="str">
        <f>IF(C1257&lt;='Investment Calculator'!$C$8*'Investment Calculator'!$F$4,'Investment Calculator'!$C$6,"")</f>
        <v/>
      </c>
      <c r="E1257" s="27" t="str">
        <f>IFERROR((F1256+D1257)*'Investment Calculator'!$C$7/'Investment Calculator'!$F$4,"")</f>
        <v/>
      </c>
      <c r="F1257" s="27" t="str">
        <f>IFERROR(ABS(FV('Investment Calculator'!$C$7/'Investment Calculator'!$F$4,'SIP Schedule'!C1257,'SIP Schedule'!D1257,,1)),"")</f>
        <v/>
      </c>
    </row>
    <row r="1258" spans="3:6" x14ac:dyDescent="0.3">
      <c r="C1258" s="1" t="str">
        <f>IF(C1257&lt;'Investment Calculator'!$C$8*'Investment Calculator'!$F$4,'SIP Schedule'!C1257+1,"")</f>
        <v/>
      </c>
      <c r="D1258" s="27" t="str">
        <f>IF(C1258&lt;='Investment Calculator'!$C$8*'Investment Calculator'!$F$4,'Investment Calculator'!$C$6,"")</f>
        <v/>
      </c>
      <c r="E1258" s="27" t="str">
        <f>IFERROR((F1257+D1258)*'Investment Calculator'!$C$7/'Investment Calculator'!$F$4,"")</f>
        <v/>
      </c>
      <c r="F1258" s="27" t="str">
        <f>IFERROR(ABS(FV('Investment Calculator'!$C$7/'Investment Calculator'!$F$4,'SIP Schedule'!C1258,'SIP Schedule'!D1258,,1)),"")</f>
        <v/>
      </c>
    </row>
    <row r="1259" spans="3:6" x14ac:dyDescent="0.3">
      <c r="C1259" s="1" t="str">
        <f>IF(C1258&lt;'Investment Calculator'!$C$8*'Investment Calculator'!$F$4,'SIP Schedule'!C1258+1,"")</f>
        <v/>
      </c>
      <c r="D1259" s="27" t="str">
        <f>IF(C1259&lt;='Investment Calculator'!$C$8*'Investment Calculator'!$F$4,'Investment Calculator'!$C$6,"")</f>
        <v/>
      </c>
      <c r="E1259" s="27" t="str">
        <f>IFERROR((F1258+D1259)*'Investment Calculator'!$C$7/'Investment Calculator'!$F$4,"")</f>
        <v/>
      </c>
      <c r="F1259" s="27" t="str">
        <f>IFERROR(ABS(FV('Investment Calculator'!$C$7/'Investment Calculator'!$F$4,'SIP Schedule'!C1259,'SIP Schedule'!D1259,,1)),"")</f>
        <v/>
      </c>
    </row>
    <row r="1260" spans="3:6" x14ac:dyDescent="0.3">
      <c r="C1260" s="1" t="str">
        <f>IF(C1259&lt;'Investment Calculator'!$C$8*'Investment Calculator'!$F$4,'SIP Schedule'!C1259+1,"")</f>
        <v/>
      </c>
      <c r="D1260" s="27" t="str">
        <f>IF(C1260&lt;='Investment Calculator'!$C$8*'Investment Calculator'!$F$4,'Investment Calculator'!$C$6,"")</f>
        <v/>
      </c>
      <c r="E1260" s="27" t="str">
        <f>IFERROR((F1259+D1260)*'Investment Calculator'!$C$7/'Investment Calculator'!$F$4,"")</f>
        <v/>
      </c>
      <c r="F1260" s="27" t="str">
        <f>IFERROR(ABS(FV('Investment Calculator'!$C$7/'Investment Calculator'!$F$4,'SIP Schedule'!C1260,'SIP Schedule'!D1260,,1)),"")</f>
        <v/>
      </c>
    </row>
    <row r="1261" spans="3:6" x14ac:dyDescent="0.3">
      <c r="C1261" s="1" t="str">
        <f>IF(C1260&lt;'Investment Calculator'!$C$8*'Investment Calculator'!$F$4,'SIP Schedule'!C1260+1,"")</f>
        <v/>
      </c>
      <c r="D1261" s="27" t="str">
        <f>IF(C1261&lt;='Investment Calculator'!$C$8*'Investment Calculator'!$F$4,'Investment Calculator'!$C$6,"")</f>
        <v/>
      </c>
      <c r="E1261" s="27" t="str">
        <f>IFERROR((F1260+D1261)*'Investment Calculator'!$C$7/'Investment Calculator'!$F$4,"")</f>
        <v/>
      </c>
      <c r="F1261" s="27" t="str">
        <f>IFERROR(ABS(FV('Investment Calculator'!$C$7/'Investment Calculator'!$F$4,'SIP Schedule'!C1261,'SIP Schedule'!D1261,,1)),"")</f>
        <v/>
      </c>
    </row>
    <row r="1262" spans="3:6" x14ac:dyDescent="0.3">
      <c r="C1262" s="1" t="str">
        <f>IF(C1261&lt;'Investment Calculator'!$C$8*'Investment Calculator'!$F$4,'SIP Schedule'!C1261+1,"")</f>
        <v/>
      </c>
      <c r="D1262" s="27" t="str">
        <f>IF(C1262&lt;='Investment Calculator'!$C$8*'Investment Calculator'!$F$4,'Investment Calculator'!$C$6,"")</f>
        <v/>
      </c>
      <c r="E1262" s="27" t="str">
        <f>IFERROR((F1261+D1262)*'Investment Calculator'!$C$7/'Investment Calculator'!$F$4,"")</f>
        <v/>
      </c>
      <c r="F1262" s="27" t="str">
        <f>IFERROR(ABS(FV('Investment Calculator'!$C$7/'Investment Calculator'!$F$4,'SIP Schedule'!C1262,'SIP Schedule'!D1262,,1)),"")</f>
        <v/>
      </c>
    </row>
    <row r="1263" spans="3:6" x14ac:dyDescent="0.3">
      <c r="C1263" s="1" t="str">
        <f>IF(C1262&lt;'Investment Calculator'!$C$8*'Investment Calculator'!$F$4,'SIP Schedule'!C1262+1,"")</f>
        <v/>
      </c>
      <c r="D1263" s="27" t="str">
        <f>IF(C1263&lt;='Investment Calculator'!$C$8*'Investment Calculator'!$F$4,'Investment Calculator'!$C$6,"")</f>
        <v/>
      </c>
      <c r="E1263" s="27" t="str">
        <f>IFERROR((F1262+D1263)*'Investment Calculator'!$C$7/'Investment Calculator'!$F$4,"")</f>
        <v/>
      </c>
      <c r="F1263" s="27" t="str">
        <f>IFERROR(ABS(FV('Investment Calculator'!$C$7/'Investment Calculator'!$F$4,'SIP Schedule'!C1263,'SIP Schedule'!D1263,,1)),"")</f>
        <v/>
      </c>
    </row>
    <row r="1264" spans="3:6" x14ac:dyDescent="0.3">
      <c r="C1264" s="1" t="str">
        <f>IF(C1263&lt;'Investment Calculator'!$C$8*'Investment Calculator'!$F$4,'SIP Schedule'!C1263+1,"")</f>
        <v/>
      </c>
      <c r="D1264" s="27" t="str">
        <f>IF(C1264&lt;='Investment Calculator'!$C$8*'Investment Calculator'!$F$4,'Investment Calculator'!$C$6,"")</f>
        <v/>
      </c>
      <c r="E1264" s="27" t="str">
        <f>IFERROR((F1263+D1264)*'Investment Calculator'!$C$7/'Investment Calculator'!$F$4,"")</f>
        <v/>
      </c>
      <c r="F1264" s="27" t="str">
        <f>IFERROR(ABS(FV('Investment Calculator'!$C$7/'Investment Calculator'!$F$4,'SIP Schedule'!C1264,'SIP Schedule'!D1264,,1)),"")</f>
        <v/>
      </c>
    </row>
    <row r="1265" spans="3:6" x14ac:dyDescent="0.3">
      <c r="C1265" s="1" t="str">
        <f>IF(C1264&lt;'Investment Calculator'!$C$8*'Investment Calculator'!$F$4,'SIP Schedule'!C1264+1,"")</f>
        <v/>
      </c>
      <c r="D1265" s="27" t="str">
        <f>IF(C1265&lt;='Investment Calculator'!$C$8*'Investment Calculator'!$F$4,'Investment Calculator'!$C$6,"")</f>
        <v/>
      </c>
      <c r="E1265" s="27" t="str">
        <f>IFERROR((F1264+D1265)*'Investment Calculator'!$C$7/'Investment Calculator'!$F$4,"")</f>
        <v/>
      </c>
      <c r="F1265" s="27" t="str">
        <f>IFERROR(ABS(FV('Investment Calculator'!$C$7/'Investment Calculator'!$F$4,'SIP Schedule'!C1265,'SIP Schedule'!D1265,,1)),"")</f>
        <v/>
      </c>
    </row>
    <row r="1266" spans="3:6" x14ac:dyDescent="0.3">
      <c r="C1266" s="1" t="str">
        <f>IF(C1265&lt;'Investment Calculator'!$C$8*'Investment Calculator'!$F$4,'SIP Schedule'!C1265+1,"")</f>
        <v/>
      </c>
      <c r="D1266" s="27" t="str">
        <f>IF(C1266&lt;='Investment Calculator'!$C$8*'Investment Calculator'!$F$4,'Investment Calculator'!$C$6,"")</f>
        <v/>
      </c>
      <c r="E1266" s="27" t="str">
        <f>IFERROR((F1265+D1266)*'Investment Calculator'!$C$7/'Investment Calculator'!$F$4,"")</f>
        <v/>
      </c>
      <c r="F1266" s="27" t="str">
        <f>IFERROR(ABS(FV('Investment Calculator'!$C$7/'Investment Calculator'!$F$4,'SIP Schedule'!C1266,'SIP Schedule'!D1266,,1)),"")</f>
        <v/>
      </c>
    </row>
    <row r="1267" spans="3:6" x14ac:dyDescent="0.3">
      <c r="C1267" s="1" t="str">
        <f>IF(C1266&lt;'Investment Calculator'!$C$8*'Investment Calculator'!$F$4,'SIP Schedule'!C1266+1,"")</f>
        <v/>
      </c>
      <c r="D1267" s="27" t="str">
        <f>IF(C1267&lt;='Investment Calculator'!$C$8*'Investment Calculator'!$F$4,'Investment Calculator'!$C$6,"")</f>
        <v/>
      </c>
      <c r="E1267" s="27" t="str">
        <f>IFERROR((F1266+D1267)*'Investment Calculator'!$C$7/'Investment Calculator'!$F$4,"")</f>
        <v/>
      </c>
      <c r="F1267" s="27" t="str">
        <f>IFERROR(ABS(FV('Investment Calculator'!$C$7/'Investment Calculator'!$F$4,'SIP Schedule'!C1267,'SIP Schedule'!D1267,,1)),"")</f>
        <v/>
      </c>
    </row>
    <row r="1268" spans="3:6" x14ac:dyDescent="0.3">
      <c r="C1268" s="1" t="str">
        <f>IF(C1267&lt;'Investment Calculator'!$C$8*'Investment Calculator'!$F$4,'SIP Schedule'!C1267+1,"")</f>
        <v/>
      </c>
      <c r="D1268" s="27" t="str">
        <f>IF(C1268&lt;='Investment Calculator'!$C$8*'Investment Calculator'!$F$4,'Investment Calculator'!$C$6,"")</f>
        <v/>
      </c>
      <c r="E1268" s="27" t="str">
        <f>IFERROR((F1267+D1268)*'Investment Calculator'!$C$7/'Investment Calculator'!$F$4,"")</f>
        <v/>
      </c>
      <c r="F1268" s="27" t="str">
        <f>IFERROR(ABS(FV('Investment Calculator'!$C$7/'Investment Calculator'!$F$4,'SIP Schedule'!C1268,'SIP Schedule'!D1268,,1)),"")</f>
        <v/>
      </c>
    </row>
    <row r="1269" spans="3:6" x14ac:dyDescent="0.3">
      <c r="C1269" s="1" t="str">
        <f>IF(C1268&lt;'Investment Calculator'!$C$8*'Investment Calculator'!$F$4,'SIP Schedule'!C1268+1,"")</f>
        <v/>
      </c>
      <c r="D1269" s="27" t="str">
        <f>IF(C1269&lt;='Investment Calculator'!$C$8*'Investment Calculator'!$F$4,'Investment Calculator'!$C$6,"")</f>
        <v/>
      </c>
      <c r="E1269" s="27" t="str">
        <f>IFERROR((F1268+D1269)*'Investment Calculator'!$C$7/'Investment Calculator'!$F$4,"")</f>
        <v/>
      </c>
      <c r="F1269" s="27" t="str">
        <f>IFERROR(ABS(FV('Investment Calculator'!$C$7/'Investment Calculator'!$F$4,'SIP Schedule'!C1269,'SIP Schedule'!D1269,,1)),"")</f>
        <v/>
      </c>
    </row>
    <row r="1270" spans="3:6" x14ac:dyDescent="0.3">
      <c r="C1270" s="1" t="str">
        <f>IF(C1269&lt;'Investment Calculator'!$C$8*'Investment Calculator'!$F$4,'SIP Schedule'!C1269+1,"")</f>
        <v/>
      </c>
      <c r="D1270" s="27" t="str">
        <f>IF(C1270&lt;='Investment Calculator'!$C$8*'Investment Calculator'!$F$4,'Investment Calculator'!$C$6,"")</f>
        <v/>
      </c>
      <c r="E1270" s="27" t="str">
        <f>IFERROR((F1269+D1270)*'Investment Calculator'!$C$7/'Investment Calculator'!$F$4,"")</f>
        <v/>
      </c>
      <c r="F1270" s="27" t="str">
        <f>IFERROR(ABS(FV('Investment Calculator'!$C$7/'Investment Calculator'!$F$4,'SIP Schedule'!C1270,'SIP Schedule'!D1270,,1)),"")</f>
        <v/>
      </c>
    </row>
    <row r="1271" spans="3:6" x14ac:dyDescent="0.3">
      <c r="C1271" s="1" t="str">
        <f>IF(C1270&lt;'Investment Calculator'!$C$8*'Investment Calculator'!$F$4,'SIP Schedule'!C1270+1,"")</f>
        <v/>
      </c>
      <c r="D1271" s="27" t="str">
        <f>IF(C1271&lt;='Investment Calculator'!$C$8*'Investment Calculator'!$F$4,'Investment Calculator'!$C$6,"")</f>
        <v/>
      </c>
      <c r="E1271" s="27" t="str">
        <f>IFERROR((F1270+D1271)*'Investment Calculator'!$C$7/'Investment Calculator'!$F$4,"")</f>
        <v/>
      </c>
      <c r="F1271" s="27" t="str">
        <f>IFERROR(ABS(FV('Investment Calculator'!$C$7/'Investment Calculator'!$F$4,'SIP Schedule'!C1271,'SIP Schedule'!D1271,,1)),"")</f>
        <v/>
      </c>
    </row>
    <row r="1272" spans="3:6" x14ac:dyDescent="0.3">
      <c r="C1272" s="1" t="str">
        <f>IF(C1271&lt;'Investment Calculator'!$C$8*'Investment Calculator'!$F$4,'SIP Schedule'!C1271+1,"")</f>
        <v/>
      </c>
      <c r="D1272" s="27" t="str">
        <f>IF(C1272&lt;='Investment Calculator'!$C$8*'Investment Calculator'!$F$4,'Investment Calculator'!$C$6,"")</f>
        <v/>
      </c>
      <c r="E1272" s="27" t="str">
        <f>IFERROR((F1271+D1272)*'Investment Calculator'!$C$7/'Investment Calculator'!$F$4,"")</f>
        <v/>
      </c>
      <c r="F1272" s="27" t="str">
        <f>IFERROR(ABS(FV('Investment Calculator'!$C$7/'Investment Calculator'!$F$4,'SIP Schedule'!C1272,'SIP Schedule'!D1272,,1)),"")</f>
        <v/>
      </c>
    </row>
    <row r="1273" spans="3:6" x14ac:dyDescent="0.3">
      <c r="C1273" s="1" t="str">
        <f>IF(C1272&lt;'Investment Calculator'!$C$8*'Investment Calculator'!$F$4,'SIP Schedule'!C1272+1,"")</f>
        <v/>
      </c>
      <c r="D1273" s="27" t="str">
        <f>IF(C1273&lt;='Investment Calculator'!$C$8*'Investment Calculator'!$F$4,'Investment Calculator'!$C$6,"")</f>
        <v/>
      </c>
      <c r="E1273" s="27" t="str">
        <f>IFERROR((F1272+D1273)*'Investment Calculator'!$C$7/'Investment Calculator'!$F$4,"")</f>
        <v/>
      </c>
      <c r="F1273" s="27" t="str">
        <f>IFERROR(ABS(FV('Investment Calculator'!$C$7/'Investment Calculator'!$F$4,'SIP Schedule'!C1273,'SIP Schedule'!D1273,,1)),"")</f>
        <v/>
      </c>
    </row>
    <row r="1274" spans="3:6" x14ac:dyDescent="0.3">
      <c r="C1274" s="1" t="str">
        <f>IF(C1273&lt;'Investment Calculator'!$C$8*'Investment Calculator'!$F$4,'SIP Schedule'!C1273+1,"")</f>
        <v/>
      </c>
      <c r="D1274" s="27" t="str">
        <f>IF(C1274&lt;='Investment Calculator'!$C$8*'Investment Calculator'!$F$4,'Investment Calculator'!$C$6,"")</f>
        <v/>
      </c>
      <c r="E1274" s="27" t="str">
        <f>IFERROR((F1273+D1274)*'Investment Calculator'!$C$7/'Investment Calculator'!$F$4,"")</f>
        <v/>
      </c>
      <c r="F1274" s="27" t="str">
        <f>IFERROR(ABS(FV('Investment Calculator'!$C$7/'Investment Calculator'!$F$4,'SIP Schedule'!C1274,'SIP Schedule'!D1274,,1)),"")</f>
        <v/>
      </c>
    </row>
    <row r="1275" spans="3:6" x14ac:dyDescent="0.3">
      <c r="C1275" s="1" t="str">
        <f>IF(C1274&lt;'Investment Calculator'!$C$8*'Investment Calculator'!$F$4,'SIP Schedule'!C1274+1,"")</f>
        <v/>
      </c>
      <c r="D1275" s="27" t="str">
        <f>IF(C1275&lt;='Investment Calculator'!$C$8*'Investment Calculator'!$F$4,'Investment Calculator'!$C$6,"")</f>
        <v/>
      </c>
      <c r="E1275" s="27" t="str">
        <f>IFERROR((F1274+D1275)*'Investment Calculator'!$C$7/'Investment Calculator'!$F$4,"")</f>
        <v/>
      </c>
      <c r="F1275" s="27" t="str">
        <f>IFERROR(ABS(FV('Investment Calculator'!$C$7/'Investment Calculator'!$F$4,'SIP Schedule'!C1275,'SIP Schedule'!D1275,,1)),"")</f>
        <v/>
      </c>
    </row>
    <row r="1276" spans="3:6" x14ac:dyDescent="0.3">
      <c r="C1276" s="1" t="str">
        <f>IF(C1275&lt;'Investment Calculator'!$C$8*'Investment Calculator'!$F$4,'SIP Schedule'!C1275+1,"")</f>
        <v/>
      </c>
      <c r="D1276" s="27" t="str">
        <f>IF(C1276&lt;='Investment Calculator'!$C$8*'Investment Calculator'!$F$4,'Investment Calculator'!$C$6,"")</f>
        <v/>
      </c>
      <c r="E1276" s="27" t="str">
        <f>IFERROR((F1275+D1276)*'Investment Calculator'!$C$7/'Investment Calculator'!$F$4,"")</f>
        <v/>
      </c>
      <c r="F1276" s="27" t="str">
        <f>IFERROR(ABS(FV('Investment Calculator'!$C$7/'Investment Calculator'!$F$4,'SIP Schedule'!C1276,'SIP Schedule'!D1276,,1)),"")</f>
        <v/>
      </c>
    </row>
    <row r="1277" spans="3:6" x14ac:dyDescent="0.3">
      <c r="C1277" s="1" t="str">
        <f>IF(C1276&lt;'Investment Calculator'!$C$8*'Investment Calculator'!$F$4,'SIP Schedule'!C1276+1,"")</f>
        <v/>
      </c>
      <c r="D1277" s="27" t="str">
        <f>IF(C1277&lt;='Investment Calculator'!$C$8*'Investment Calculator'!$F$4,'Investment Calculator'!$C$6,"")</f>
        <v/>
      </c>
      <c r="E1277" s="27" t="str">
        <f>IFERROR((F1276+D1277)*'Investment Calculator'!$C$7/'Investment Calculator'!$F$4,"")</f>
        <v/>
      </c>
      <c r="F1277" s="27" t="str">
        <f>IFERROR(ABS(FV('Investment Calculator'!$C$7/'Investment Calculator'!$F$4,'SIP Schedule'!C1277,'SIP Schedule'!D1277,,1)),"")</f>
        <v/>
      </c>
    </row>
    <row r="1278" spans="3:6" x14ac:dyDescent="0.3">
      <c r="C1278" s="1" t="str">
        <f>IF(C1277&lt;'Investment Calculator'!$C$8*'Investment Calculator'!$F$4,'SIP Schedule'!C1277+1,"")</f>
        <v/>
      </c>
      <c r="D1278" s="27" t="str">
        <f>IF(C1278&lt;='Investment Calculator'!$C$8*'Investment Calculator'!$F$4,'Investment Calculator'!$C$6,"")</f>
        <v/>
      </c>
      <c r="E1278" s="27" t="str">
        <f>IFERROR((F1277+D1278)*'Investment Calculator'!$C$7/'Investment Calculator'!$F$4,"")</f>
        <v/>
      </c>
      <c r="F1278" s="27" t="str">
        <f>IFERROR(ABS(FV('Investment Calculator'!$C$7/'Investment Calculator'!$F$4,'SIP Schedule'!C1278,'SIP Schedule'!D1278,,1)),"")</f>
        <v/>
      </c>
    </row>
    <row r="1279" spans="3:6" x14ac:dyDescent="0.3">
      <c r="C1279" s="1" t="str">
        <f>IF(C1278&lt;'Investment Calculator'!$C$8*'Investment Calculator'!$F$4,'SIP Schedule'!C1278+1,"")</f>
        <v/>
      </c>
      <c r="D1279" s="27" t="str">
        <f>IF(C1279&lt;='Investment Calculator'!$C$8*'Investment Calculator'!$F$4,'Investment Calculator'!$C$6,"")</f>
        <v/>
      </c>
      <c r="E1279" s="27" t="str">
        <f>IFERROR((F1278+D1279)*'Investment Calculator'!$C$7/'Investment Calculator'!$F$4,"")</f>
        <v/>
      </c>
      <c r="F1279" s="27" t="str">
        <f>IFERROR(ABS(FV('Investment Calculator'!$C$7/'Investment Calculator'!$F$4,'SIP Schedule'!C1279,'SIP Schedule'!D1279,,1)),"")</f>
        <v/>
      </c>
    </row>
    <row r="1280" spans="3:6" x14ac:dyDescent="0.3">
      <c r="C1280" s="1" t="str">
        <f>IF(C1279&lt;'Investment Calculator'!$C$8*'Investment Calculator'!$F$4,'SIP Schedule'!C1279+1,"")</f>
        <v/>
      </c>
      <c r="D1280" s="27" t="str">
        <f>IF(C1280&lt;='Investment Calculator'!$C$8*'Investment Calculator'!$F$4,'Investment Calculator'!$C$6,"")</f>
        <v/>
      </c>
      <c r="E1280" s="27" t="str">
        <f>IFERROR((F1279+D1280)*'Investment Calculator'!$C$7/'Investment Calculator'!$F$4,"")</f>
        <v/>
      </c>
      <c r="F1280" s="27" t="str">
        <f>IFERROR(ABS(FV('Investment Calculator'!$C$7/'Investment Calculator'!$F$4,'SIP Schedule'!C1280,'SIP Schedule'!D1280,,1)),"")</f>
        <v/>
      </c>
    </row>
    <row r="1281" spans="3:6" x14ac:dyDescent="0.3">
      <c r="C1281" s="1" t="str">
        <f>IF(C1280&lt;'Investment Calculator'!$C$8*'Investment Calculator'!$F$4,'SIP Schedule'!C1280+1,"")</f>
        <v/>
      </c>
      <c r="D1281" s="27" t="str">
        <f>IF(C1281&lt;='Investment Calculator'!$C$8*'Investment Calculator'!$F$4,'Investment Calculator'!$C$6,"")</f>
        <v/>
      </c>
      <c r="E1281" s="27" t="str">
        <f>IFERROR((F1280+D1281)*'Investment Calculator'!$C$7/'Investment Calculator'!$F$4,"")</f>
        <v/>
      </c>
      <c r="F1281" s="27" t="str">
        <f>IFERROR(ABS(FV('Investment Calculator'!$C$7/'Investment Calculator'!$F$4,'SIP Schedule'!C1281,'SIP Schedule'!D1281,,1)),"")</f>
        <v/>
      </c>
    </row>
    <row r="1282" spans="3:6" x14ac:dyDescent="0.3">
      <c r="C1282" s="1" t="str">
        <f>IF(C1281&lt;'Investment Calculator'!$C$8*'Investment Calculator'!$F$4,'SIP Schedule'!C1281+1,"")</f>
        <v/>
      </c>
      <c r="D1282" s="27" t="str">
        <f>IF(C1282&lt;='Investment Calculator'!$C$8*'Investment Calculator'!$F$4,'Investment Calculator'!$C$6,"")</f>
        <v/>
      </c>
      <c r="E1282" s="27" t="str">
        <f>IFERROR((F1281+D1282)*'Investment Calculator'!$C$7/'Investment Calculator'!$F$4,"")</f>
        <v/>
      </c>
      <c r="F1282" s="27" t="str">
        <f>IFERROR(ABS(FV('Investment Calculator'!$C$7/'Investment Calculator'!$F$4,'SIP Schedule'!C1282,'SIP Schedule'!D1282,,1)),"")</f>
        <v/>
      </c>
    </row>
    <row r="1283" spans="3:6" x14ac:dyDescent="0.3">
      <c r="C1283" s="1" t="str">
        <f>IF(C1282&lt;'Investment Calculator'!$C$8*'Investment Calculator'!$F$4,'SIP Schedule'!C1282+1,"")</f>
        <v/>
      </c>
      <c r="D1283" s="27" t="str">
        <f>IF(C1283&lt;='Investment Calculator'!$C$8*'Investment Calculator'!$F$4,'Investment Calculator'!$C$6,"")</f>
        <v/>
      </c>
      <c r="E1283" s="27" t="str">
        <f>IFERROR((F1282+D1283)*'Investment Calculator'!$C$7/'Investment Calculator'!$F$4,"")</f>
        <v/>
      </c>
      <c r="F1283" s="27" t="str">
        <f>IFERROR(ABS(FV('Investment Calculator'!$C$7/'Investment Calculator'!$F$4,'SIP Schedule'!C1283,'SIP Schedule'!D1283,,1)),"")</f>
        <v/>
      </c>
    </row>
    <row r="1284" spans="3:6" x14ac:dyDescent="0.3">
      <c r="C1284" s="1" t="str">
        <f>IF(C1283&lt;'Investment Calculator'!$C$8*'Investment Calculator'!$F$4,'SIP Schedule'!C1283+1,"")</f>
        <v/>
      </c>
      <c r="D1284" s="27" t="str">
        <f>IF(C1284&lt;='Investment Calculator'!$C$8*'Investment Calculator'!$F$4,'Investment Calculator'!$C$6,"")</f>
        <v/>
      </c>
      <c r="E1284" s="27" t="str">
        <f>IFERROR((F1283+D1284)*'Investment Calculator'!$C$7/'Investment Calculator'!$F$4,"")</f>
        <v/>
      </c>
      <c r="F1284" s="27" t="str">
        <f>IFERROR(ABS(FV('Investment Calculator'!$C$7/'Investment Calculator'!$F$4,'SIP Schedule'!C1284,'SIP Schedule'!D1284,,1)),"")</f>
        <v/>
      </c>
    </row>
    <row r="1285" spans="3:6" x14ac:dyDescent="0.3">
      <c r="C1285" s="1" t="str">
        <f>IF(C1284&lt;'Investment Calculator'!$C$8*'Investment Calculator'!$F$4,'SIP Schedule'!C1284+1,"")</f>
        <v/>
      </c>
      <c r="D1285" s="27" t="str">
        <f>IF(C1285&lt;='Investment Calculator'!$C$8*'Investment Calculator'!$F$4,'Investment Calculator'!$C$6,"")</f>
        <v/>
      </c>
      <c r="E1285" s="27" t="str">
        <f>IFERROR((F1284+D1285)*'Investment Calculator'!$C$7/'Investment Calculator'!$F$4,"")</f>
        <v/>
      </c>
      <c r="F1285" s="27" t="str">
        <f>IFERROR(ABS(FV('Investment Calculator'!$C$7/'Investment Calculator'!$F$4,'SIP Schedule'!C1285,'SIP Schedule'!D1285,,1)),"")</f>
        <v/>
      </c>
    </row>
    <row r="1286" spans="3:6" x14ac:dyDescent="0.3">
      <c r="C1286" s="1" t="str">
        <f>IF(C1285&lt;'Investment Calculator'!$C$8*'Investment Calculator'!$F$4,'SIP Schedule'!C1285+1,"")</f>
        <v/>
      </c>
      <c r="D1286" s="27" t="str">
        <f>IF(C1286&lt;='Investment Calculator'!$C$8*'Investment Calculator'!$F$4,'Investment Calculator'!$C$6,"")</f>
        <v/>
      </c>
      <c r="E1286" s="27" t="str">
        <f>IFERROR((F1285+D1286)*'Investment Calculator'!$C$7/'Investment Calculator'!$F$4,"")</f>
        <v/>
      </c>
      <c r="F1286" s="27" t="str">
        <f>IFERROR(ABS(FV('Investment Calculator'!$C$7/'Investment Calculator'!$F$4,'SIP Schedule'!C1286,'SIP Schedule'!D1286,,1)),"")</f>
        <v/>
      </c>
    </row>
    <row r="1287" spans="3:6" x14ac:dyDescent="0.3">
      <c r="C1287" s="1" t="str">
        <f>IF(C1286&lt;'Investment Calculator'!$C$8*'Investment Calculator'!$F$4,'SIP Schedule'!C1286+1,"")</f>
        <v/>
      </c>
      <c r="D1287" s="27" t="str">
        <f>IF(C1287&lt;='Investment Calculator'!$C$8*'Investment Calculator'!$F$4,'Investment Calculator'!$C$6,"")</f>
        <v/>
      </c>
      <c r="E1287" s="27" t="str">
        <f>IFERROR((F1286+D1287)*'Investment Calculator'!$C$7/'Investment Calculator'!$F$4,"")</f>
        <v/>
      </c>
      <c r="F1287" s="27" t="str">
        <f>IFERROR(ABS(FV('Investment Calculator'!$C$7/'Investment Calculator'!$F$4,'SIP Schedule'!C1287,'SIP Schedule'!D1287,,1)),"")</f>
        <v/>
      </c>
    </row>
    <row r="1288" spans="3:6" x14ac:dyDescent="0.3">
      <c r="C1288" s="1" t="str">
        <f>IF(C1287&lt;'Investment Calculator'!$C$8*'Investment Calculator'!$F$4,'SIP Schedule'!C1287+1,"")</f>
        <v/>
      </c>
      <c r="D1288" s="27" t="str">
        <f>IF(C1288&lt;='Investment Calculator'!$C$8*'Investment Calculator'!$F$4,'Investment Calculator'!$C$6,"")</f>
        <v/>
      </c>
      <c r="E1288" s="27" t="str">
        <f>IFERROR((F1287+D1288)*'Investment Calculator'!$C$7/'Investment Calculator'!$F$4,"")</f>
        <v/>
      </c>
      <c r="F1288" s="27" t="str">
        <f>IFERROR(ABS(FV('Investment Calculator'!$C$7/'Investment Calculator'!$F$4,'SIP Schedule'!C1288,'SIP Schedule'!D1288,,1)),"")</f>
        <v/>
      </c>
    </row>
    <row r="1289" spans="3:6" x14ac:dyDescent="0.3">
      <c r="C1289" s="1" t="str">
        <f>IF(C1288&lt;'Investment Calculator'!$C$8*'Investment Calculator'!$F$4,'SIP Schedule'!C1288+1,"")</f>
        <v/>
      </c>
      <c r="D1289" s="27" t="str">
        <f>IF(C1289&lt;='Investment Calculator'!$C$8*'Investment Calculator'!$F$4,'Investment Calculator'!$C$6,"")</f>
        <v/>
      </c>
      <c r="E1289" s="27" t="str">
        <f>IFERROR((F1288+D1289)*'Investment Calculator'!$C$7/'Investment Calculator'!$F$4,"")</f>
        <v/>
      </c>
      <c r="F1289" s="27" t="str">
        <f>IFERROR(ABS(FV('Investment Calculator'!$C$7/'Investment Calculator'!$F$4,'SIP Schedule'!C1289,'SIP Schedule'!D1289,,1)),"")</f>
        <v/>
      </c>
    </row>
    <row r="1290" spans="3:6" x14ac:dyDescent="0.3">
      <c r="C1290" s="1" t="str">
        <f>IF(C1289&lt;'Investment Calculator'!$C$8*'Investment Calculator'!$F$4,'SIP Schedule'!C1289+1,"")</f>
        <v/>
      </c>
      <c r="D1290" s="27" t="str">
        <f>IF(C1290&lt;='Investment Calculator'!$C$8*'Investment Calculator'!$F$4,'Investment Calculator'!$C$6,"")</f>
        <v/>
      </c>
      <c r="E1290" s="27" t="str">
        <f>IFERROR((F1289+D1290)*'Investment Calculator'!$C$7/'Investment Calculator'!$F$4,"")</f>
        <v/>
      </c>
      <c r="F1290" s="27" t="str">
        <f>IFERROR(ABS(FV('Investment Calculator'!$C$7/'Investment Calculator'!$F$4,'SIP Schedule'!C1290,'SIP Schedule'!D1290,,1)),"")</f>
        <v/>
      </c>
    </row>
    <row r="1291" spans="3:6" x14ac:dyDescent="0.3">
      <c r="C1291" s="1" t="str">
        <f>IF(C1290&lt;'Investment Calculator'!$C$8*'Investment Calculator'!$F$4,'SIP Schedule'!C1290+1,"")</f>
        <v/>
      </c>
      <c r="D1291" s="27" t="str">
        <f>IF(C1291&lt;='Investment Calculator'!$C$8*'Investment Calculator'!$F$4,'Investment Calculator'!$C$6,"")</f>
        <v/>
      </c>
      <c r="E1291" s="27" t="str">
        <f>IFERROR((F1290+D1291)*'Investment Calculator'!$C$7/'Investment Calculator'!$F$4,"")</f>
        <v/>
      </c>
      <c r="F1291" s="27" t="str">
        <f>IFERROR(ABS(FV('Investment Calculator'!$C$7/'Investment Calculator'!$F$4,'SIP Schedule'!C1291,'SIP Schedule'!D1291,,1)),"")</f>
        <v/>
      </c>
    </row>
    <row r="1292" spans="3:6" x14ac:dyDescent="0.3">
      <c r="C1292" s="1" t="str">
        <f>IF(C1291&lt;'Investment Calculator'!$C$8*'Investment Calculator'!$F$4,'SIP Schedule'!C1291+1,"")</f>
        <v/>
      </c>
      <c r="D1292" s="27" t="str">
        <f>IF(C1292&lt;='Investment Calculator'!$C$8*'Investment Calculator'!$F$4,'Investment Calculator'!$C$6,"")</f>
        <v/>
      </c>
      <c r="E1292" s="27" t="str">
        <f>IFERROR((F1291+D1292)*'Investment Calculator'!$C$7/'Investment Calculator'!$F$4,"")</f>
        <v/>
      </c>
      <c r="F1292" s="27" t="str">
        <f>IFERROR(ABS(FV('Investment Calculator'!$C$7/'Investment Calculator'!$F$4,'SIP Schedule'!C1292,'SIP Schedule'!D1292,,1)),"")</f>
        <v/>
      </c>
    </row>
    <row r="1293" spans="3:6" x14ac:dyDescent="0.3">
      <c r="C1293" s="1" t="str">
        <f>IF(C1292&lt;'Investment Calculator'!$C$8*'Investment Calculator'!$F$4,'SIP Schedule'!C1292+1,"")</f>
        <v/>
      </c>
      <c r="D1293" s="27" t="str">
        <f>IF(C1293&lt;='Investment Calculator'!$C$8*'Investment Calculator'!$F$4,'Investment Calculator'!$C$6,"")</f>
        <v/>
      </c>
      <c r="E1293" s="27" t="str">
        <f>IFERROR((F1292+D1293)*'Investment Calculator'!$C$7/'Investment Calculator'!$F$4,"")</f>
        <v/>
      </c>
      <c r="F1293" s="27" t="str">
        <f>IFERROR(ABS(FV('Investment Calculator'!$C$7/'Investment Calculator'!$F$4,'SIP Schedule'!C1293,'SIP Schedule'!D1293,,1)),"")</f>
        <v/>
      </c>
    </row>
    <row r="1294" spans="3:6" x14ac:dyDescent="0.3">
      <c r="C1294" s="1" t="str">
        <f>IF(C1293&lt;'Investment Calculator'!$C$8*'Investment Calculator'!$F$4,'SIP Schedule'!C1293+1,"")</f>
        <v/>
      </c>
      <c r="D1294" s="27" t="str">
        <f>IF(C1294&lt;='Investment Calculator'!$C$8*'Investment Calculator'!$F$4,'Investment Calculator'!$C$6,"")</f>
        <v/>
      </c>
      <c r="E1294" s="27" t="str">
        <f>IFERROR((F1293+D1294)*'Investment Calculator'!$C$7/'Investment Calculator'!$F$4,"")</f>
        <v/>
      </c>
      <c r="F1294" s="27" t="str">
        <f>IFERROR(ABS(FV('Investment Calculator'!$C$7/'Investment Calculator'!$F$4,'SIP Schedule'!C1294,'SIP Schedule'!D1294,,1)),"")</f>
        <v/>
      </c>
    </row>
    <row r="1295" spans="3:6" x14ac:dyDescent="0.3">
      <c r="C1295" s="1" t="str">
        <f>IF(C1294&lt;'Investment Calculator'!$C$8*'Investment Calculator'!$F$4,'SIP Schedule'!C1294+1,"")</f>
        <v/>
      </c>
      <c r="D1295" s="27" t="str">
        <f>IF(C1295&lt;='Investment Calculator'!$C$8*'Investment Calculator'!$F$4,'Investment Calculator'!$C$6,"")</f>
        <v/>
      </c>
      <c r="E1295" s="27" t="str">
        <f>IFERROR((F1294+D1295)*'Investment Calculator'!$C$7/'Investment Calculator'!$F$4,"")</f>
        <v/>
      </c>
      <c r="F1295" s="27" t="str">
        <f>IFERROR(ABS(FV('Investment Calculator'!$C$7/'Investment Calculator'!$F$4,'SIP Schedule'!C1295,'SIP Schedule'!D1295,,1)),"")</f>
        <v/>
      </c>
    </row>
    <row r="1296" spans="3:6" x14ac:dyDescent="0.3">
      <c r="C1296" s="1" t="str">
        <f>IF(C1295&lt;'Investment Calculator'!$C$8*'Investment Calculator'!$F$4,'SIP Schedule'!C1295+1,"")</f>
        <v/>
      </c>
      <c r="D1296" s="27" t="str">
        <f>IF(C1296&lt;='Investment Calculator'!$C$8*'Investment Calculator'!$F$4,'Investment Calculator'!$C$6,"")</f>
        <v/>
      </c>
      <c r="E1296" s="27" t="str">
        <f>IFERROR((F1295+D1296)*'Investment Calculator'!$C$7/'Investment Calculator'!$F$4,"")</f>
        <v/>
      </c>
      <c r="F1296" s="27" t="str">
        <f>IFERROR(ABS(FV('Investment Calculator'!$C$7/'Investment Calculator'!$F$4,'SIP Schedule'!C1296,'SIP Schedule'!D1296,,1)),"")</f>
        <v/>
      </c>
    </row>
    <row r="1297" spans="3:6" x14ac:dyDescent="0.3">
      <c r="C1297" s="1" t="str">
        <f>IF(C1296&lt;'Investment Calculator'!$C$8*'Investment Calculator'!$F$4,'SIP Schedule'!C1296+1,"")</f>
        <v/>
      </c>
      <c r="D1297" s="27" t="str">
        <f>IF(C1297&lt;='Investment Calculator'!$C$8*'Investment Calculator'!$F$4,'Investment Calculator'!$C$6,"")</f>
        <v/>
      </c>
      <c r="E1297" s="27" t="str">
        <f>IFERROR((F1296+D1297)*'Investment Calculator'!$C$7/'Investment Calculator'!$F$4,"")</f>
        <v/>
      </c>
      <c r="F1297" s="27" t="str">
        <f>IFERROR(ABS(FV('Investment Calculator'!$C$7/'Investment Calculator'!$F$4,'SIP Schedule'!C1297,'SIP Schedule'!D1297,,1)),"")</f>
        <v/>
      </c>
    </row>
    <row r="1298" spans="3:6" x14ac:dyDescent="0.3">
      <c r="C1298" s="1" t="str">
        <f>IF(C1297&lt;'Investment Calculator'!$C$8*'Investment Calculator'!$F$4,'SIP Schedule'!C1297+1,"")</f>
        <v/>
      </c>
      <c r="D1298" s="27" t="str">
        <f>IF(C1298&lt;='Investment Calculator'!$C$8*'Investment Calculator'!$F$4,'Investment Calculator'!$C$6,"")</f>
        <v/>
      </c>
      <c r="E1298" s="27" t="str">
        <f>IFERROR((F1297+D1298)*'Investment Calculator'!$C$7/'Investment Calculator'!$F$4,"")</f>
        <v/>
      </c>
      <c r="F1298" s="27" t="str">
        <f>IFERROR(ABS(FV('Investment Calculator'!$C$7/'Investment Calculator'!$F$4,'SIP Schedule'!C1298,'SIP Schedule'!D1298,,1)),"")</f>
        <v/>
      </c>
    </row>
    <row r="1299" spans="3:6" x14ac:dyDescent="0.3">
      <c r="C1299" s="1" t="str">
        <f>IF(C1298&lt;'Investment Calculator'!$C$8*'Investment Calculator'!$F$4,'SIP Schedule'!C1298+1,"")</f>
        <v/>
      </c>
      <c r="D1299" s="27" t="str">
        <f>IF(C1299&lt;='Investment Calculator'!$C$8*'Investment Calculator'!$F$4,'Investment Calculator'!$C$6,"")</f>
        <v/>
      </c>
      <c r="E1299" s="27" t="str">
        <f>IFERROR((F1298+D1299)*'Investment Calculator'!$C$7/'Investment Calculator'!$F$4,"")</f>
        <v/>
      </c>
      <c r="F1299" s="27" t="str">
        <f>IFERROR(ABS(FV('Investment Calculator'!$C$7/'Investment Calculator'!$F$4,'SIP Schedule'!C1299,'SIP Schedule'!D1299,,1)),"")</f>
        <v/>
      </c>
    </row>
    <row r="1300" spans="3:6" x14ac:dyDescent="0.3">
      <c r="C1300" s="1" t="str">
        <f>IF(C1299&lt;'Investment Calculator'!$C$8*'Investment Calculator'!$F$4,'SIP Schedule'!C1299+1,"")</f>
        <v/>
      </c>
      <c r="D1300" s="27" t="str">
        <f>IF(C1300&lt;='Investment Calculator'!$C$8*'Investment Calculator'!$F$4,'Investment Calculator'!$C$6,"")</f>
        <v/>
      </c>
      <c r="E1300" s="27" t="str">
        <f>IFERROR((F1299+D1300)*'Investment Calculator'!$C$7/'Investment Calculator'!$F$4,"")</f>
        <v/>
      </c>
      <c r="F1300" s="27" t="str">
        <f>IFERROR(ABS(FV('Investment Calculator'!$C$7/'Investment Calculator'!$F$4,'SIP Schedule'!C1300,'SIP Schedule'!D1300,,1)),"")</f>
        <v/>
      </c>
    </row>
    <row r="1301" spans="3:6" x14ac:dyDescent="0.3">
      <c r="C1301" s="1" t="str">
        <f>IF(C1300&lt;'Investment Calculator'!$C$8*'Investment Calculator'!$F$4,'SIP Schedule'!C1300+1,"")</f>
        <v/>
      </c>
      <c r="D1301" s="27" t="str">
        <f>IF(C1301&lt;='Investment Calculator'!$C$8*'Investment Calculator'!$F$4,'Investment Calculator'!$C$6,"")</f>
        <v/>
      </c>
      <c r="E1301" s="27" t="str">
        <f>IFERROR((F1300+D1301)*'Investment Calculator'!$C$7/'Investment Calculator'!$F$4,"")</f>
        <v/>
      </c>
      <c r="F1301" s="27" t="str">
        <f>IFERROR(ABS(FV('Investment Calculator'!$C$7/'Investment Calculator'!$F$4,'SIP Schedule'!C1301,'SIP Schedule'!D1301,,1)),"")</f>
        <v/>
      </c>
    </row>
    <row r="1302" spans="3:6" x14ac:dyDescent="0.3">
      <c r="C1302" s="1" t="str">
        <f>IF(C1301&lt;'Investment Calculator'!$C$8*'Investment Calculator'!$F$4,'SIP Schedule'!C1301+1,"")</f>
        <v/>
      </c>
      <c r="D1302" s="27" t="str">
        <f>IF(C1302&lt;='Investment Calculator'!$C$8*'Investment Calculator'!$F$4,'Investment Calculator'!$C$6,"")</f>
        <v/>
      </c>
      <c r="E1302" s="27" t="str">
        <f>IFERROR((F1301+D1302)*'Investment Calculator'!$C$7/'Investment Calculator'!$F$4,"")</f>
        <v/>
      </c>
      <c r="F1302" s="27" t="str">
        <f>IFERROR(ABS(FV('Investment Calculator'!$C$7/'Investment Calculator'!$F$4,'SIP Schedule'!C1302,'SIP Schedule'!D1302,,1)),"")</f>
        <v/>
      </c>
    </row>
    <row r="1303" spans="3:6" x14ac:dyDescent="0.3">
      <c r="C1303" s="1" t="str">
        <f>IF(C1302&lt;'Investment Calculator'!$C$8*'Investment Calculator'!$F$4,'SIP Schedule'!C1302+1,"")</f>
        <v/>
      </c>
      <c r="D1303" s="27" t="str">
        <f>IF(C1303&lt;='Investment Calculator'!$C$8*'Investment Calculator'!$F$4,'Investment Calculator'!$C$6,"")</f>
        <v/>
      </c>
      <c r="E1303" s="27" t="str">
        <f>IFERROR((F1302+D1303)*'Investment Calculator'!$C$7/'Investment Calculator'!$F$4,"")</f>
        <v/>
      </c>
      <c r="F1303" s="27" t="str">
        <f>IFERROR(ABS(FV('Investment Calculator'!$C$7/'Investment Calculator'!$F$4,'SIP Schedule'!C1303,'SIP Schedule'!D1303,,1)),"")</f>
        <v/>
      </c>
    </row>
    <row r="1304" spans="3:6" x14ac:dyDescent="0.3">
      <c r="C1304" s="1" t="str">
        <f>IF(C1303&lt;'Investment Calculator'!$C$8*'Investment Calculator'!$F$4,'SIP Schedule'!C1303+1,"")</f>
        <v/>
      </c>
      <c r="D1304" s="27" t="str">
        <f>IF(C1304&lt;='Investment Calculator'!$C$8*'Investment Calculator'!$F$4,'Investment Calculator'!$C$6,"")</f>
        <v/>
      </c>
      <c r="E1304" s="27" t="str">
        <f>IFERROR((F1303+D1304)*'Investment Calculator'!$C$7/'Investment Calculator'!$F$4,"")</f>
        <v/>
      </c>
      <c r="F1304" s="27" t="str">
        <f>IFERROR(ABS(FV('Investment Calculator'!$C$7/'Investment Calculator'!$F$4,'SIP Schedule'!C1304,'SIP Schedule'!D1304,,1)),"")</f>
        <v/>
      </c>
    </row>
    <row r="1305" spans="3:6" x14ac:dyDescent="0.3">
      <c r="C1305" s="1" t="str">
        <f>IF(C1304&lt;'Investment Calculator'!$C$8*'Investment Calculator'!$F$4,'SIP Schedule'!C1304+1,"")</f>
        <v/>
      </c>
      <c r="D1305" s="27" t="str">
        <f>IF(C1305&lt;='Investment Calculator'!$C$8*'Investment Calculator'!$F$4,'Investment Calculator'!$C$6,"")</f>
        <v/>
      </c>
      <c r="E1305" s="27" t="str">
        <f>IFERROR((F1304+D1305)*'Investment Calculator'!$C$7/'Investment Calculator'!$F$4,"")</f>
        <v/>
      </c>
      <c r="F1305" s="27" t="str">
        <f>IFERROR(ABS(FV('Investment Calculator'!$C$7/'Investment Calculator'!$F$4,'SIP Schedule'!C1305,'SIP Schedule'!D1305,,1)),"")</f>
        <v/>
      </c>
    </row>
    <row r="1306" spans="3:6" x14ac:dyDescent="0.3">
      <c r="C1306" s="1" t="str">
        <f>IF(C1305&lt;'Investment Calculator'!$C$8*'Investment Calculator'!$F$4,'SIP Schedule'!C1305+1,"")</f>
        <v/>
      </c>
      <c r="D1306" s="27" t="str">
        <f>IF(C1306&lt;='Investment Calculator'!$C$8*'Investment Calculator'!$F$4,'Investment Calculator'!$C$6,"")</f>
        <v/>
      </c>
      <c r="E1306" s="27" t="str">
        <f>IFERROR((F1305+D1306)*'Investment Calculator'!$C$7/'Investment Calculator'!$F$4,"")</f>
        <v/>
      </c>
      <c r="F1306" s="27" t="str">
        <f>IFERROR(ABS(FV('Investment Calculator'!$C$7/'Investment Calculator'!$F$4,'SIP Schedule'!C1306,'SIP Schedule'!D1306,,1)),"")</f>
        <v/>
      </c>
    </row>
    <row r="1307" spans="3:6" x14ac:dyDescent="0.3">
      <c r="C1307" s="1" t="str">
        <f>IF(C1306&lt;'Investment Calculator'!$C$8*'Investment Calculator'!$F$4,'SIP Schedule'!C1306+1,"")</f>
        <v/>
      </c>
      <c r="D1307" s="27" t="str">
        <f>IF(C1307&lt;='Investment Calculator'!$C$8*'Investment Calculator'!$F$4,'Investment Calculator'!$C$6,"")</f>
        <v/>
      </c>
      <c r="E1307" s="27" t="str">
        <f>IFERROR((F1306+D1307)*'Investment Calculator'!$C$7/'Investment Calculator'!$F$4,"")</f>
        <v/>
      </c>
      <c r="F1307" s="27" t="str">
        <f>IFERROR(ABS(FV('Investment Calculator'!$C$7/'Investment Calculator'!$F$4,'SIP Schedule'!C1307,'SIP Schedule'!D1307,,1)),"")</f>
        <v/>
      </c>
    </row>
    <row r="1308" spans="3:6" x14ac:dyDescent="0.3">
      <c r="C1308" s="1" t="str">
        <f>IF(C1307&lt;'Investment Calculator'!$C$8*'Investment Calculator'!$F$4,'SIP Schedule'!C1307+1,"")</f>
        <v/>
      </c>
      <c r="D1308" s="27" t="str">
        <f>IF(C1308&lt;='Investment Calculator'!$C$8*'Investment Calculator'!$F$4,'Investment Calculator'!$C$6,"")</f>
        <v/>
      </c>
      <c r="E1308" s="27" t="str">
        <f>IFERROR((F1307+D1308)*'Investment Calculator'!$C$7/'Investment Calculator'!$F$4,"")</f>
        <v/>
      </c>
      <c r="F1308" s="27" t="str">
        <f>IFERROR(ABS(FV('Investment Calculator'!$C$7/'Investment Calculator'!$F$4,'SIP Schedule'!C1308,'SIP Schedule'!D1308,,1)),"")</f>
        <v/>
      </c>
    </row>
    <row r="1309" spans="3:6" x14ac:dyDescent="0.3">
      <c r="C1309" s="1" t="str">
        <f>IF(C1308&lt;'Investment Calculator'!$C$8*'Investment Calculator'!$F$4,'SIP Schedule'!C1308+1,"")</f>
        <v/>
      </c>
      <c r="D1309" s="27" t="str">
        <f>IF(C1309&lt;='Investment Calculator'!$C$8*'Investment Calculator'!$F$4,'Investment Calculator'!$C$6,"")</f>
        <v/>
      </c>
      <c r="E1309" s="27" t="str">
        <f>IFERROR((F1308+D1309)*'Investment Calculator'!$C$7/'Investment Calculator'!$F$4,"")</f>
        <v/>
      </c>
      <c r="F1309" s="27" t="str">
        <f>IFERROR(ABS(FV('Investment Calculator'!$C$7/'Investment Calculator'!$F$4,'SIP Schedule'!C1309,'SIP Schedule'!D1309,,1)),"")</f>
        <v/>
      </c>
    </row>
    <row r="1310" spans="3:6" x14ac:dyDescent="0.3">
      <c r="C1310" s="1" t="str">
        <f>IF(C1309&lt;'Investment Calculator'!$C$8*'Investment Calculator'!$F$4,'SIP Schedule'!C1309+1,"")</f>
        <v/>
      </c>
      <c r="D1310" s="27" t="str">
        <f>IF(C1310&lt;='Investment Calculator'!$C$8*'Investment Calculator'!$F$4,'Investment Calculator'!$C$6,"")</f>
        <v/>
      </c>
      <c r="E1310" s="27" t="str">
        <f>IFERROR((F1309+D1310)*'Investment Calculator'!$C$7/'Investment Calculator'!$F$4,"")</f>
        <v/>
      </c>
      <c r="F1310" s="27" t="str">
        <f>IFERROR(ABS(FV('Investment Calculator'!$C$7/'Investment Calculator'!$F$4,'SIP Schedule'!C1310,'SIP Schedule'!D1310,,1)),"")</f>
        <v/>
      </c>
    </row>
    <row r="1311" spans="3:6" x14ac:dyDescent="0.3">
      <c r="C1311" s="1" t="str">
        <f>IF(C1310&lt;'Investment Calculator'!$C$8*'Investment Calculator'!$F$4,'SIP Schedule'!C1310+1,"")</f>
        <v/>
      </c>
      <c r="D1311" s="27" t="str">
        <f>IF(C1311&lt;='Investment Calculator'!$C$8*'Investment Calculator'!$F$4,'Investment Calculator'!$C$6,"")</f>
        <v/>
      </c>
      <c r="E1311" s="27" t="str">
        <f>IFERROR((F1310+D1311)*'Investment Calculator'!$C$7/'Investment Calculator'!$F$4,"")</f>
        <v/>
      </c>
      <c r="F1311" s="27" t="str">
        <f>IFERROR(ABS(FV('Investment Calculator'!$C$7/'Investment Calculator'!$F$4,'SIP Schedule'!C1311,'SIP Schedule'!D1311,,1)),"")</f>
        <v/>
      </c>
    </row>
    <row r="1312" spans="3:6" x14ac:dyDescent="0.3">
      <c r="C1312" s="1" t="str">
        <f>IF(C1311&lt;'Investment Calculator'!$C$8*'Investment Calculator'!$F$4,'SIP Schedule'!C1311+1,"")</f>
        <v/>
      </c>
      <c r="D1312" s="27" t="str">
        <f>IF(C1312&lt;='Investment Calculator'!$C$8*'Investment Calculator'!$F$4,'Investment Calculator'!$C$6,"")</f>
        <v/>
      </c>
      <c r="E1312" s="27" t="str">
        <f>IFERROR((F1311+D1312)*'Investment Calculator'!$C$7/'Investment Calculator'!$F$4,"")</f>
        <v/>
      </c>
      <c r="F1312" s="27" t="str">
        <f>IFERROR(ABS(FV('Investment Calculator'!$C$7/'Investment Calculator'!$F$4,'SIP Schedule'!C1312,'SIP Schedule'!D1312,,1)),"")</f>
        <v/>
      </c>
    </row>
    <row r="1313" spans="3:6" x14ac:dyDescent="0.3">
      <c r="C1313" s="1" t="str">
        <f>IF(C1312&lt;'Investment Calculator'!$C$8*'Investment Calculator'!$F$4,'SIP Schedule'!C1312+1,"")</f>
        <v/>
      </c>
      <c r="D1313" s="27" t="str">
        <f>IF(C1313&lt;='Investment Calculator'!$C$8*'Investment Calculator'!$F$4,'Investment Calculator'!$C$6,"")</f>
        <v/>
      </c>
      <c r="E1313" s="27" t="str">
        <f>IFERROR((F1312+D1313)*'Investment Calculator'!$C$7/'Investment Calculator'!$F$4,"")</f>
        <v/>
      </c>
      <c r="F1313" s="27" t="str">
        <f>IFERROR(ABS(FV('Investment Calculator'!$C$7/'Investment Calculator'!$F$4,'SIP Schedule'!C1313,'SIP Schedule'!D1313,,1)),"")</f>
        <v/>
      </c>
    </row>
    <row r="1314" spans="3:6" x14ac:dyDescent="0.3">
      <c r="C1314" s="1" t="str">
        <f>IF(C1313&lt;'Investment Calculator'!$C$8*'Investment Calculator'!$F$4,'SIP Schedule'!C1313+1,"")</f>
        <v/>
      </c>
      <c r="D1314" s="27" t="str">
        <f>IF(C1314&lt;='Investment Calculator'!$C$8*'Investment Calculator'!$F$4,'Investment Calculator'!$C$6,"")</f>
        <v/>
      </c>
      <c r="E1314" s="27" t="str">
        <f>IFERROR((F1313+D1314)*'Investment Calculator'!$C$7/'Investment Calculator'!$F$4,"")</f>
        <v/>
      </c>
      <c r="F1314" s="27" t="str">
        <f>IFERROR(ABS(FV('Investment Calculator'!$C$7/'Investment Calculator'!$F$4,'SIP Schedule'!C1314,'SIP Schedule'!D1314,,1)),"")</f>
        <v/>
      </c>
    </row>
    <row r="1315" spans="3:6" x14ac:dyDescent="0.3">
      <c r="C1315" s="1" t="str">
        <f>IF(C1314&lt;'Investment Calculator'!$C$8*'Investment Calculator'!$F$4,'SIP Schedule'!C1314+1,"")</f>
        <v/>
      </c>
      <c r="D1315" s="27" t="str">
        <f>IF(C1315&lt;='Investment Calculator'!$C$8*'Investment Calculator'!$F$4,'Investment Calculator'!$C$6,"")</f>
        <v/>
      </c>
      <c r="E1315" s="27" t="str">
        <f>IFERROR((F1314+D1315)*'Investment Calculator'!$C$7/'Investment Calculator'!$F$4,"")</f>
        <v/>
      </c>
      <c r="F1315" s="27" t="str">
        <f>IFERROR(ABS(FV('Investment Calculator'!$C$7/'Investment Calculator'!$F$4,'SIP Schedule'!C1315,'SIP Schedule'!D1315,,1)),"")</f>
        <v/>
      </c>
    </row>
    <row r="1316" spans="3:6" x14ac:dyDescent="0.3">
      <c r="C1316" s="1" t="str">
        <f>IF(C1315&lt;'Investment Calculator'!$C$8*'Investment Calculator'!$F$4,'SIP Schedule'!C1315+1,"")</f>
        <v/>
      </c>
      <c r="D1316" s="27" t="str">
        <f>IF(C1316&lt;='Investment Calculator'!$C$8*'Investment Calculator'!$F$4,'Investment Calculator'!$C$6,"")</f>
        <v/>
      </c>
      <c r="E1316" s="27" t="str">
        <f>IFERROR((F1315+D1316)*'Investment Calculator'!$C$7/'Investment Calculator'!$F$4,"")</f>
        <v/>
      </c>
      <c r="F1316" s="27" t="str">
        <f>IFERROR(ABS(FV('Investment Calculator'!$C$7/'Investment Calculator'!$F$4,'SIP Schedule'!C1316,'SIP Schedule'!D1316,,1)),"")</f>
        <v/>
      </c>
    </row>
    <row r="1317" spans="3:6" x14ac:dyDescent="0.3">
      <c r="C1317" s="1" t="str">
        <f>IF(C1316&lt;'Investment Calculator'!$C$8*'Investment Calculator'!$F$4,'SIP Schedule'!C1316+1,"")</f>
        <v/>
      </c>
      <c r="D1317" s="27" t="str">
        <f>IF(C1317&lt;='Investment Calculator'!$C$8*'Investment Calculator'!$F$4,'Investment Calculator'!$C$6,"")</f>
        <v/>
      </c>
      <c r="E1317" s="27" t="str">
        <f>IFERROR((F1316+D1317)*'Investment Calculator'!$C$7/'Investment Calculator'!$F$4,"")</f>
        <v/>
      </c>
      <c r="F1317" s="27" t="str">
        <f>IFERROR(ABS(FV('Investment Calculator'!$C$7/'Investment Calculator'!$F$4,'SIP Schedule'!C1317,'SIP Schedule'!D1317,,1)),"")</f>
        <v/>
      </c>
    </row>
    <row r="1318" spans="3:6" x14ac:dyDescent="0.3">
      <c r="C1318" s="1" t="str">
        <f>IF(C1317&lt;'Investment Calculator'!$C$8*'Investment Calculator'!$F$4,'SIP Schedule'!C1317+1,"")</f>
        <v/>
      </c>
      <c r="D1318" s="27" t="str">
        <f>IF(C1318&lt;='Investment Calculator'!$C$8*'Investment Calculator'!$F$4,'Investment Calculator'!$C$6,"")</f>
        <v/>
      </c>
      <c r="E1318" s="27" t="str">
        <f>IFERROR((F1317+D1318)*'Investment Calculator'!$C$7/'Investment Calculator'!$F$4,"")</f>
        <v/>
      </c>
      <c r="F1318" s="27" t="str">
        <f>IFERROR(ABS(FV('Investment Calculator'!$C$7/'Investment Calculator'!$F$4,'SIP Schedule'!C1318,'SIP Schedule'!D1318,,1)),"")</f>
        <v/>
      </c>
    </row>
    <row r="1319" spans="3:6" x14ac:dyDescent="0.3">
      <c r="C1319" s="1" t="str">
        <f>IF(C1318&lt;'Investment Calculator'!$C$8*'Investment Calculator'!$F$4,'SIP Schedule'!C1318+1,"")</f>
        <v/>
      </c>
      <c r="D1319" s="27" t="str">
        <f>IF(C1319&lt;='Investment Calculator'!$C$8*'Investment Calculator'!$F$4,'Investment Calculator'!$C$6,"")</f>
        <v/>
      </c>
      <c r="E1319" s="27" t="str">
        <f>IFERROR((F1318+D1319)*'Investment Calculator'!$C$7/'Investment Calculator'!$F$4,"")</f>
        <v/>
      </c>
      <c r="F1319" s="27" t="str">
        <f>IFERROR(ABS(FV('Investment Calculator'!$C$7/'Investment Calculator'!$F$4,'SIP Schedule'!C1319,'SIP Schedule'!D1319,,1)),"")</f>
        <v/>
      </c>
    </row>
    <row r="1320" spans="3:6" x14ac:dyDescent="0.3">
      <c r="C1320" s="1" t="str">
        <f>IF(C1319&lt;'Investment Calculator'!$C$8*'Investment Calculator'!$F$4,'SIP Schedule'!C1319+1,"")</f>
        <v/>
      </c>
      <c r="D1320" s="27" t="str">
        <f>IF(C1320&lt;='Investment Calculator'!$C$8*'Investment Calculator'!$F$4,'Investment Calculator'!$C$6,"")</f>
        <v/>
      </c>
      <c r="E1320" s="27" t="str">
        <f>IFERROR((F1319+D1320)*'Investment Calculator'!$C$7/'Investment Calculator'!$F$4,"")</f>
        <v/>
      </c>
      <c r="F1320" s="27" t="str">
        <f>IFERROR(ABS(FV('Investment Calculator'!$C$7/'Investment Calculator'!$F$4,'SIP Schedule'!C1320,'SIP Schedule'!D1320,,1)),"")</f>
        <v/>
      </c>
    </row>
    <row r="1321" spans="3:6" x14ac:dyDescent="0.3">
      <c r="C1321" s="1" t="str">
        <f>IF(C1320&lt;'Investment Calculator'!$C$8*'Investment Calculator'!$F$4,'SIP Schedule'!C1320+1,"")</f>
        <v/>
      </c>
      <c r="D1321" s="27" t="str">
        <f>IF(C1321&lt;='Investment Calculator'!$C$8*'Investment Calculator'!$F$4,'Investment Calculator'!$C$6,"")</f>
        <v/>
      </c>
      <c r="E1321" s="27" t="str">
        <f>IFERROR((F1320+D1321)*'Investment Calculator'!$C$7/'Investment Calculator'!$F$4,"")</f>
        <v/>
      </c>
      <c r="F1321" s="27" t="str">
        <f>IFERROR(ABS(FV('Investment Calculator'!$C$7/'Investment Calculator'!$F$4,'SIP Schedule'!C1321,'SIP Schedule'!D1321,,1)),"")</f>
        <v/>
      </c>
    </row>
    <row r="1322" spans="3:6" x14ac:dyDescent="0.3">
      <c r="C1322" s="1" t="str">
        <f>IF(C1321&lt;'Investment Calculator'!$C$8*'Investment Calculator'!$F$4,'SIP Schedule'!C1321+1,"")</f>
        <v/>
      </c>
      <c r="D1322" s="27" t="str">
        <f>IF(C1322&lt;='Investment Calculator'!$C$8*'Investment Calculator'!$F$4,'Investment Calculator'!$C$6,"")</f>
        <v/>
      </c>
      <c r="E1322" s="27" t="str">
        <f>IFERROR((F1321+D1322)*'Investment Calculator'!$C$7/'Investment Calculator'!$F$4,"")</f>
        <v/>
      </c>
      <c r="F1322" s="27" t="str">
        <f>IFERROR(ABS(FV('Investment Calculator'!$C$7/'Investment Calculator'!$F$4,'SIP Schedule'!C1322,'SIP Schedule'!D1322,,1)),"")</f>
        <v/>
      </c>
    </row>
    <row r="1323" spans="3:6" x14ac:dyDescent="0.3">
      <c r="C1323" s="1" t="str">
        <f>IF(C1322&lt;'Investment Calculator'!$C$8*'Investment Calculator'!$F$4,'SIP Schedule'!C1322+1,"")</f>
        <v/>
      </c>
      <c r="D1323" s="27" t="str">
        <f>IF(C1323&lt;='Investment Calculator'!$C$8*'Investment Calculator'!$F$4,'Investment Calculator'!$C$6,"")</f>
        <v/>
      </c>
      <c r="E1323" s="27" t="str">
        <f>IFERROR((F1322+D1323)*'Investment Calculator'!$C$7/'Investment Calculator'!$F$4,"")</f>
        <v/>
      </c>
      <c r="F1323" s="27" t="str">
        <f>IFERROR(ABS(FV('Investment Calculator'!$C$7/'Investment Calculator'!$F$4,'SIP Schedule'!C1323,'SIP Schedule'!D1323,,1)),"")</f>
        <v/>
      </c>
    </row>
    <row r="1324" spans="3:6" x14ac:dyDescent="0.3">
      <c r="C1324" s="1" t="str">
        <f>IF(C1323&lt;'Investment Calculator'!$C$8*'Investment Calculator'!$F$4,'SIP Schedule'!C1323+1,"")</f>
        <v/>
      </c>
      <c r="D1324" s="27" t="str">
        <f>IF(C1324&lt;='Investment Calculator'!$C$8*'Investment Calculator'!$F$4,'Investment Calculator'!$C$6,"")</f>
        <v/>
      </c>
      <c r="E1324" s="27" t="str">
        <f>IFERROR((F1323+D1324)*'Investment Calculator'!$C$7/'Investment Calculator'!$F$4,"")</f>
        <v/>
      </c>
      <c r="F1324" s="27" t="str">
        <f>IFERROR(ABS(FV('Investment Calculator'!$C$7/'Investment Calculator'!$F$4,'SIP Schedule'!C1324,'SIP Schedule'!D1324,,1)),"")</f>
        <v/>
      </c>
    </row>
    <row r="1325" spans="3:6" x14ac:dyDescent="0.3">
      <c r="C1325" s="1" t="str">
        <f>IF(C1324&lt;'Investment Calculator'!$C$8*'Investment Calculator'!$F$4,'SIP Schedule'!C1324+1,"")</f>
        <v/>
      </c>
      <c r="D1325" s="27" t="str">
        <f>IF(C1325&lt;='Investment Calculator'!$C$8*'Investment Calculator'!$F$4,'Investment Calculator'!$C$6,"")</f>
        <v/>
      </c>
      <c r="E1325" s="27" t="str">
        <f>IFERROR((F1324+D1325)*'Investment Calculator'!$C$7/'Investment Calculator'!$F$4,"")</f>
        <v/>
      </c>
      <c r="F1325" s="27" t="str">
        <f>IFERROR(ABS(FV('Investment Calculator'!$C$7/'Investment Calculator'!$F$4,'SIP Schedule'!C1325,'SIP Schedule'!D1325,,1)),"")</f>
        <v/>
      </c>
    </row>
    <row r="1326" spans="3:6" x14ac:dyDescent="0.3">
      <c r="C1326" s="1" t="str">
        <f>IF(C1325&lt;'Investment Calculator'!$C$8*'Investment Calculator'!$F$4,'SIP Schedule'!C1325+1,"")</f>
        <v/>
      </c>
      <c r="D1326" s="27" t="str">
        <f>IF(C1326&lt;='Investment Calculator'!$C$8*'Investment Calculator'!$F$4,'Investment Calculator'!$C$6,"")</f>
        <v/>
      </c>
      <c r="E1326" s="27" t="str">
        <f>IFERROR((F1325+D1326)*'Investment Calculator'!$C$7/'Investment Calculator'!$F$4,"")</f>
        <v/>
      </c>
      <c r="F1326" s="27" t="str">
        <f>IFERROR(ABS(FV('Investment Calculator'!$C$7/'Investment Calculator'!$F$4,'SIP Schedule'!C1326,'SIP Schedule'!D1326,,1)),"")</f>
        <v/>
      </c>
    </row>
    <row r="1327" spans="3:6" x14ac:dyDescent="0.3">
      <c r="C1327" s="1" t="str">
        <f>IF(C1326&lt;'Investment Calculator'!$C$8*'Investment Calculator'!$F$4,'SIP Schedule'!C1326+1,"")</f>
        <v/>
      </c>
      <c r="D1327" s="27" t="str">
        <f>IF(C1327&lt;='Investment Calculator'!$C$8*'Investment Calculator'!$F$4,'Investment Calculator'!$C$6,"")</f>
        <v/>
      </c>
      <c r="E1327" s="27" t="str">
        <f>IFERROR((F1326+D1327)*'Investment Calculator'!$C$7/'Investment Calculator'!$F$4,"")</f>
        <v/>
      </c>
      <c r="F1327" s="27" t="str">
        <f>IFERROR(ABS(FV('Investment Calculator'!$C$7/'Investment Calculator'!$F$4,'SIP Schedule'!C1327,'SIP Schedule'!D1327,,1)),"")</f>
        <v/>
      </c>
    </row>
    <row r="1328" spans="3:6" x14ac:dyDescent="0.3">
      <c r="C1328" s="1" t="str">
        <f>IF(C1327&lt;'Investment Calculator'!$C$8*'Investment Calculator'!$F$4,'SIP Schedule'!C1327+1,"")</f>
        <v/>
      </c>
      <c r="D1328" s="27" t="str">
        <f>IF(C1328&lt;='Investment Calculator'!$C$8*'Investment Calculator'!$F$4,'Investment Calculator'!$C$6,"")</f>
        <v/>
      </c>
      <c r="E1328" s="27" t="str">
        <f>IFERROR((F1327+D1328)*'Investment Calculator'!$C$7/'Investment Calculator'!$F$4,"")</f>
        <v/>
      </c>
      <c r="F1328" s="27" t="str">
        <f>IFERROR(ABS(FV('Investment Calculator'!$C$7/'Investment Calculator'!$F$4,'SIP Schedule'!C1328,'SIP Schedule'!D1328,,1)),"")</f>
        <v/>
      </c>
    </row>
    <row r="1329" spans="3:6" x14ac:dyDescent="0.3">
      <c r="C1329" s="1" t="str">
        <f>IF(C1328&lt;'Investment Calculator'!$C$8*'Investment Calculator'!$F$4,'SIP Schedule'!C1328+1,"")</f>
        <v/>
      </c>
      <c r="D1329" s="27" t="str">
        <f>IF(C1329&lt;='Investment Calculator'!$C$8*'Investment Calculator'!$F$4,'Investment Calculator'!$C$6,"")</f>
        <v/>
      </c>
      <c r="E1329" s="27" t="str">
        <f>IFERROR((F1328+D1329)*'Investment Calculator'!$C$7/'Investment Calculator'!$F$4,"")</f>
        <v/>
      </c>
      <c r="F1329" s="27" t="str">
        <f>IFERROR(ABS(FV('Investment Calculator'!$C$7/'Investment Calculator'!$F$4,'SIP Schedule'!C1329,'SIP Schedule'!D1329,,1)),"")</f>
        <v/>
      </c>
    </row>
    <row r="1330" spans="3:6" x14ac:dyDescent="0.3">
      <c r="C1330" s="1" t="str">
        <f>IF(C1329&lt;'Investment Calculator'!$C$8*'Investment Calculator'!$F$4,'SIP Schedule'!C1329+1,"")</f>
        <v/>
      </c>
      <c r="D1330" s="27" t="str">
        <f>IF(C1330&lt;='Investment Calculator'!$C$8*'Investment Calculator'!$F$4,'Investment Calculator'!$C$6,"")</f>
        <v/>
      </c>
      <c r="E1330" s="27" t="str">
        <f>IFERROR((F1329+D1330)*'Investment Calculator'!$C$7/'Investment Calculator'!$F$4,"")</f>
        <v/>
      </c>
      <c r="F1330" s="27" t="str">
        <f>IFERROR(ABS(FV('Investment Calculator'!$C$7/'Investment Calculator'!$F$4,'SIP Schedule'!C1330,'SIP Schedule'!D1330,,1)),"")</f>
        <v/>
      </c>
    </row>
    <row r="1331" spans="3:6" x14ac:dyDescent="0.3">
      <c r="C1331" s="1" t="str">
        <f>IF(C1330&lt;'Investment Calculator'!$C$8*'Investment Calculator'!$F$4,'SIP Schedule'!C1330+1,"")</f>
        <v/>
      </c>
      <c r="D1331" s="27" t="str">
        <f>IF(C1331&lt;='Investment Calculator'!$C$8*'Investment Calculator'!$F$4,'Investment Calculator'!$C$6,"")</f>
        <v/>
      </c>
      <c r="E1331" s="27" t="str">
        <f>IFERROR((F1330+D1331)*'Investment Calculator'!$C$7/'Investment Calculator'!$F$4,"")</f>
        <v/>
      </c>
      <c r="F1331" s="27" t="str">
        <f>IFERROR(ABS(FV('Investment Calculator'!$C$7/'Investment Calculator'!$F$4,'SIP Schedule'!C1331,'SIP Schedule'!D1331,,1)),"")</f>
        <v/>
      </c>
    </row>
    <row r="1332" spans="3:6" x14ac:dyDescent="0.3">
      <c r="C1332" s="1" t="str">
        <f>IF(C1331&lt;'Investment Calculator'!$C$8*'Investment Calculator'!$F$4,'SIP Schedule'!C1331+1,"")</f>
        <v/>
      </c>
      <c r="D1332" s="27" t="str">
        <f>IF(C1332&lt;='Investment Calculator'!$C$8*'Investment Calculator'!$F$4,'Investment Calculator'!$C$6,"")</f>
        <v/>
      </c>
      <c r="E1332" s="27" t="str">
        <f>IFERROR((F1331+D1332)*'Investment Calculator'!$C$7/'Investment Calculator'!$F$4,"")</f>
        <v/>
      </c>
      <c r="F1332" s="27" t="str">
        <f>IFERROR(ABS(FV('Investment Calculator'!$C$7/'Investment Calculator'!$F$4,'SIP Schedule'!C1332,'SIP Schedule'!D1332,,1)),"")</f>
        <v/>
      </c>
    </row>
    <row r="1333" spans="3:6" x14ac:dyDescent="0.3">
      <c r="C1333" s="1" t="str">
        <f>IF(C1332&lt;'Investment Calculator'!$C$8*'Investment Calculator'!$F$4,'SIP Schedule'!C1332+1,"")</f>
        <v/>
      </c>
      <c r="D1333" s="27" t="str">
        <f>IF(C1333&lt;='Investment Calculator'!$C$8*'Investment Calculator'!$F$4,'Investment Calculator'!$C$6,"")</f>
        <v/>
      </c>
      <c r="E1333" s="27" t="str">
        <f>IFERROR((F1332+D1333)*'Investment Calculator'!$C$7/'Investment Calculator'!$F$4,"")</f>
        <v/>
      </c>
      <c r="F1333" s="27" t="str">
        <f>IFERROR(ABS(FV('Investment Calculator'!$C$7/'Investment Calculator'!$F$4,'SIP Schedule'!C1333,'SIP Schedule'!D1333,,1)),"")</f>
        <v/>
      </c>
    </row>
    <row r="1334" spans="3:6" x14ac:dyDescent="0.3">
      <c r="C1334" s="1" t="str">
        <f>IF(C1333&lt;'Investment Calculator'!$C$8*'Investment Calculator'!$F$4,'SIP Schedule'!C1333+1,"")</f>
        <v/>
      </c>
      <c r="D1334" s="27" t="str">
        <f>IF(C1334&lt;='Investment Calculator'!$C$8*'Investment Calculator'!$F$4,'Investment Calculator'!$C$6,"")</f>
        <v/>
      </c>
      <c r="E1334" s="27" t="str">
        <f>IFERROR((F1333+D1334)*'Investment Calculator'!$C$7/'Investment Calculator'!$F$4,"")</f>
        <v/>
      </c>
      <c r="F1334" s="27" t="str">
        <f>IFERROR(ABS(FV('Investment Calculator'!$C$7/'Investment Calculator'!$F$4,'SIP Schedule'!C1334,'SIP Schedule'!D1334,,1)),"")</f>
        <v/>
      </c>
    </row>
    <row r="1335" spans="3:6" x14ac:dyDescent="0.3">
      <c r="C1335" s="1" t="str">
        <f>IF(C1334&lt;'Investment Calculator'!$C$8*'Investment Calculator'!$F$4,'SIP Schedule'!C1334+1,"")</f>
        <v/>
      </c>
      <c r="D1335" s="27" t="str">
        <f>IF(C1335&lt;='Investment Calculator'!$C$8*'Investment Calculator'!$F$4,'Investment Calculator'!$C$6,"")</f>
        <v/>
      </c>
      <c r="E1335" s="27" t="str">
        <f>IFERROR((F1334+D1335)*'Investment Calculator'!$C$7/'Investment Calculator'!$F$4,"")</f>
        <v/>
      </c>
      <c r="F1335" s="27" t="str">
        <f>IFERROR(ABS(FV('Investment Calculator'!$C$7/'Investment Calculator'!$F$4,'SIP Schedule'!C1335,'SIP Schedule'!D1335,,1)),"")</f>
        <v/>
      </c>
    </row>
    <row r="1336" spans="3:6" x14ac:dyDescent="0.3">
      <c r="C1336" s="1" t="str">
        <f>IF(C1335&lt;'Investment Calculator'!$C$8*'Investment Calculator'!$F$4,'SIP Schedule'!C1335+1,"")</f>
        <v/>
      </c>
      <c r="D1336" s="27" t="str">
        <f>IF(C1336&lt;='Investment Calculator'!$C$8*'Investment Calculator'!$F$4,'Investment Calculator'!$C$6,"")</f>
        <v/>
      </c>
      <c r="E1336" s="27" t="str">
        <f>IFERROR((F1335+D1336)*'Investment Calculator'!$C$7/'Investment Calculator'!$F$4,"")</f>
        <v/>
      </c>
      <c r="F1336" s="27" t="str">
        <f>IFERROR(ABS(FV('Investment Calculator'!$C$7/'Investment Calculator'!$F$4,'SIP Schedule'!C1336,'SIP Schedule'!D1336,,1)),"")</f>
        <v/>
      </c>
    </row>
    <row r="1337" spans="3:6" x14ac:dyDescent="0.3">
      <c r="C1337" s="1" t="str">
        <f>IF(C1336&lt;'Investment Calculator'!$C$8*'Investment Calculator'!$F$4,'SIP Schedule'!C1336+1,"")</f>
        <v/>
      </c>
      <c r="D1337" s="27" t="str">
        <f>IF(C1337&lt;='Investment Calculator'!$C$8*'Investment Calculator'!$F$4,'Investment Calculator'!$C$6,"")</f>
        <v/>
      </c>
      <c r="E1337" s="27" t="str">
        <f>IFERROR((F1336+D1337)*'Investment Calculator'!$C$7/'Investment Calculator'!$F$4,"")</f>
        <v/>
      </c>
      <c r="F1337" s="27" t="str">
        <f>IFERROR(ABS(FV('Investment Calculator'!$C$7/'Investment Calculator'!$F$4,'SIP Schedule'!C1337,'SIP Schedule'!D1337,,1)),"")</f>
        <v/>
      </c>
    </row>
    <row r="1338" spans="3:6" x14ac:dyDescent="0.3">
      <c r="C1338" s="1" t="str">
        <f>IF(C1337&lt;'Investment Calculator'!$C$8*'Investment Calculator'!$F$4,'SIP Schedule'!C1337+1,"")</f>
        <v/>
      </c>
      <c r="D1338" s="27" t="str">
        <f>IF(C1338&lt;='Investment Calculator'!$C$8*'Investment Calculator'!$F$4,'Investment Calculator'!$C$6,"")</f>
        <v/>
      </c>
      <c r="E1338" s="27" t="str">
        <f>IFERROR((F1337+D1338)*'Investment Calculator'!$C$7/'Investment Calculator'!$F$4,"")</f>
        <v/>
      </c>
      <c r="F1338" s="27" t="str">
        <f>IFERROR(ABS(FV('Investment Calculator'!$C$7/'Investment Calculator'!$F$4,'SIP Schedule'!C1338,'SIP Schedule'!D1338,,1)),"")</f>
        <v/>
      </c>
    </row>
    <row r="1339" spans="3:6" x14ac:dyDescent="0.3">
      <c r="C1339" s="1" t="str">
        <f>IF(C1338&lt;'Investment Calculator'!$C$8*'Investment Calculator'!$F$4,'SIP Schedule'!C1338+1,"")</f>
        <v/>
      </c>
      <c r="D1339" s="27" t="str">
        <f>IF(C1339&lt;='Investment Calculator'!$C$8*'Investment Calculator'!$F$4,'Investment Calculator'!$C$6,"")</f>
        <v/>
      </c>
      <c r="E1339" s="27" t="str">
        <f>IFERROR((F1338+D1339)*'Investment Calculator'!$C$7/'Investment Calculator'!$F$4,"")</f>
        <v/>
      </c>
      <c r="F1339" s="27" t="str">
        <f>IFERROR(ABS(FV('Investment Calculator'!$C$7/'Investment Calculator'!$F$4,'SIP Schedule'!C1339,'SIP Schedule'!D1339,,1)),"")</f>
        <v/>
      </c>
    </row>
    <row r="1340" spans="3:6" x14ac:dyDescent="0.3">
      <c r="C1340" s="1" t="str">
        <f>IF(C1339&lt;'Investment Calculator'!$C$8*'Investment Calculator'!$F$4,'SIP Schedule'!C1339+1,"")</f>
        <v/>
      </c>
      <c r="D1340" s="27" t="str">
        <f>IF(C1340&lt;='Investment Calculator'!$C$8*'Investment Calculator'!$F$4,'Investment Calculator'!$C$6,"")</f>
        <v/>
      </c>
      <c r="E1340" s="27" t="str">
        <f>IFERROR((F1339+D1340)*'Investment Calculator'!$C$7/'Investment Calculator'!$F$4,"")</f>
        <v/>
      </c>
      <c r="F1340" s="27" t="str">
        <f>IFERROR(ABS(FV('Investment Calculator'!$C$7/'Investment Calculator'!$F$4,'SIP Schedule'!C1340,'SIP Schedule'!D1340,,1)),"")</f>
        <v/>
      </c>
    </row>
    <row r="1341" spans="3:6" x14ac:dyDescent="0.3">
      <c r="C1341" s="1" t="str">
        <f>IF(C1340&lt;'Investment Calculator'!$C$8*'Investment Calculator'!$F$4,'SIP Schedule'!C1340+1,"")</f>
        <v/>
      </c>
      <c r="D1341" s="27" t="str">
        <f>IF(C1341&lt;='Investment Calculator'!$C$8*'Investment Calculator'!$F$4,'Investment Calculator'!$C$6,"")</f>
        <v/>
      </c>
      <c r="E1341" s="27" t="str">
        <f>IFERROR((F1340+D1341)*'Investment Calculator'!$C$7/'Investment Calculator'!$F$4,"")</f>
        <v/>
      </c>
      <c r="F1341" s="27" t="str">
        <f>IFERROR(ABS(FV('Investment Calculator'!$C$7/'Investment Calculator'!$F$4,'SIP Schedule'!C1341,'SIP Schedule'!D1341,,1)),"")</f>
        <v/>
      </c>
    </row>
    <row r="1342" spans="3:6" x14ac:dyDescent="0.3">
      <c r="C1342" s="1" t="str">
        <f>IF(C1341&lt;'Investment Calculator'!$C$8*'Investment Calculator'!$F$4,'SIP Schedule'!C1341+1,"")</f>
        <v/>
      </c>
      <c r="D1342" s="27" t="str">
        <f>IF(C1342&lt;='Investment Calculator'!$C$8*'Investment Calculator'!$F$4,'Investment Calculator'!$C$6,"")</f>
        <v/>
      </c>
      <c r="E1342" s="27" t="str">
        <f>IFERROR((F1341+D1342)*'Investment Calculator'!$C$7/'Investment Calculator'!$F$4,"")</f>
        <v/>
      </c>
      <c r="F1342" s="27" t="str">
        <f>IFERROR(ABS(FV('Investment Calculator'!$C$7/'Investment Calculator'!$F$4,'SIP Schedule'!C1342,'SIP Schedule'!D1342,,1)),"")</f>
        <v/>
      </c>
    </row>
    <row r="1343" spans="3:6" x14ac:dyDescent="0.3">
      <c r="C1343" s="1" t="str">
        <f>IF(C1342&lt;'Investment Calculator'!$C$8*'Investment Calculator'!$F$4,'SIP Schedule'!C1342+1,"")</f>
        <v/>
      </c>
      <c r="D1343" s="27" t="str">
        <f>IF(C1343&lt;='Investment Calculator'!$C$8*'Investment Calculator'!$F$4,'Investment Calculator'!$C$6,"")</f>
        <v/>
      </c>
      <c r="E1343" s="27" t="str">
        <f>IFERROR((F1342+D1343)*'Investment Calculator'!$C$7/'Investment Calculator'!$F$4,"")</f>
        <v/>
      </c>
      <c r="F1343" s="27" t="str">
        <f>IFERROR(ABS(FV('Investment Calculator'!$C$7/'Investment Calculator'!$F$4,'SIP Schedule'!C1343,'SIP Schedule'!D1343,,1)),"")</f>
        <v/>
      </c>
    </row>
    <row r="1344" spans="3:6" x14ac:dyDescent="0.3">
      <c r="C1344" s="1" t="str">
        <f>IF(C1343&lt;'Investment Calculator'!$C$8*'Investment Calculator'!$F$4,'SIP Schedule'!C1343+1,"")</f>
        <v/>
      </c>
      <c r="D1344" s="27" t="str">
        <f>IF(C1344&lt;='Investment Calculator'!$C$8*'Investment Calculator'!$F$4,'Investment Calculator'!$C$6,"")</f>
        <v/>
      </c>
      <c r="E1344" s="27" t="str">
        <f>IFERROR((F1343+D1344)*'Investment Calculator'!$C$7/'Investment Calculator'!$F$4,"")</f>
        <v/>
      </c>
      <c r="F1344" s="27" t="str">
        <f>IFERROR(ABS(FV('Investment Calculator'!$C$7/'Investment Calculator'!$F$4,'SIP Schedule'!C1344,'SIP Schedule'!D1344,,1)),"")</f>
        <v/>
      </c>
    </row>
    <row r="1345" spans="3:6" x14ac:dyDescent="0.3">
      <c r="C1345" s="1" t="str">
        <f>IF(C1344&lt;'Investment Calculator'!$C$8*'Investment Calculator'!$F$4,'SIP Schedule'!C1344+1,"")</f>
        <v/>
      </c>
      <c r="D1345" s="27" t="str">
        <f>IF(C1345&lt;='Investment Calculator'!$C$8*'Investment Calculator'!$F$4,'Investment Calculator'!$C$6,"")</f>
        <v/>
      </c>
      <c r="E1345" s="27" t="str">
        <f>IFERROR((F1344+D1345)*'Investment Calculator'!$C$7/'Investment Calculator'!$F$4,"")</f>
        <v/>
      </c>
      <c r="F1345" s="27" t="str">
        <f>IFERROR(ABS(FV('Investment Calculator'!$C$7/'Investment Calculator'!$F$4,'SIP Schedule'!C1345,'SIP Schedule'!D1345,,1)),"")</f>
        <v/>
      </c>
    </row>
    <row r="1346" spans="3:6" x14ac:dyDescent="0.3">
      <c r="C1346" s="1" t="str">
        <f>IF(C1345&lt;'Investment Calculator'!$C$8*'Investment Calculator'!$F$4,'SIP Schedule'!C1345+1,"")</f>
        <v/>
      </c>
      <c r="D1346" s="27" t="str">
        <f>IF(C1346&lt;='Investment Calculator'!$C$8*'Investment Calculator'!$F$4,'Investment Calculator'!$C$6,"")</f>
        <v/>
      </c>
      <c r="E1346" s="27" t="str">
        <f>IFERROR((F1345+D1346)*'Investment Calculator'!$C$7/'Investment Calculator'!$F$4,"")</f>
        <v/>
      </c>
      <c r="F1346" s="27" t="str">
        <f>IFERROR(ABS(FV('Investment Calculator'!$C$7/'Investment Calculator'!$F$4,'SIP Schedule'!C1346,'SIP Schedule'!D1346,,1)),"")</f>
        <v/>
      </c>
    </row>
    <row r="1347" spans="3:6" x14ac:dyDescent="0.3">
      <c r="C1347" s="1" t="str">
        <f>IF(C1346&lt;'Investment Calculator'!$C$8*'Investment Calculator'!$F$4,'SIP Schedule'!C1346+1,"")</f>
        <v/>
      </c>
      <c r="D1347" s="27" t="str">
        <f>IF(C1347&lt;='Investment Calculator'!$C$8*'Investment Calculator'!$F$4,'Investment Calculator'!$C$6,"")</f>
        <v/>
      </c>
      <c r="E1347" s="27" t="str">
        <f>IFERROR((F1346+D1347)*'Investment Calculator'!$C$7/'Investment Calculator'!$F$4,"")</f>
        <v/>
      </c>
      <c r="F1347" s="27" t="str">
        <f>IFERROR(ABS(FV('Investment Calculator'!$C$7/'Investment Calculator'!$F$4,'SIP Schedule'!C1347,'SIP Schedule'!D1347,,1)),"")</f>
        <v/>
      </c>
    </row>
    <row r="1348" spans="3:6" x14ac:dyDescent="0.3">
      <c r="C1348" s="1" t="str">
        <f>IF(C1347&lt;'Investment Calculator'!$C$8*'Investment Calculator'!$F$4,'SIP Schedule'!C1347+1,"")</f>
        <v/>
      </c>
      <c r="D1348" s="27" t="str">
        <f>IF(C1348&lt;='Investment Calculator'!$C$8*'Investment Calculator'!$F$4,'Investment Calculator'!$C$6,"")</f>
        <v/>
      </c>
      <c r="E1348" s="27" t="str">
        <f>IFERROR((F1347+D1348)*'Investment Calculator'!$C$7/'Investment Calculator'!$F$4,"")</f>
        <v/>
      </c>
      <c r="F1348" s="27" t="str">
        <f>IFERROR(ABS(FV('Investment Calculator'!$C$7/'Investment Calculator'!$F$4,'SIP Schedule'!C1348,'SIP Schedule'!D1348,,1)),"")</f>
        <v/>
      </c>
    </row>
    <row r="1349" spans="3:6" x14ac:dyDescent="0.3">
      <c r="C1349" s="1" t="str">
        <f>IF(C1348&lt;'Investment Calculator'!$C$8*'Investment Calculator'!$F$4,'SIP Schedule'!C1348+1,"")</f>
        <v/>
      </c>
      <c r="D1349" s="27" t="str">
        <f>IF(C1349&lt;='Investment Calculator'!$C$8*'Investment Calculator'!$F$4,'Investment Calculator'!$C$6,"")</f>
        <v/>
      </c>
      <c r="E1349" s="27" t="str">
        <f>IFERROR((F1348+D1349)*'Investment Calculator'!$C$7/'Investment Calculator'!$F$4,"")</f>
        <v/>
      </c>
      <c r="F1349" s="27" t="str">
        <f>IFERROR(ABS(FV('Investment Calculator'!$C$7/'Investment Calculator'!$F$4,'SIP Schedule'!C1349,'SIP Schedule'!D1349,,1)),"")</f>
        <v/>
      </c>
    </row>
    <row r="1350" spans="3:6" x14ac:dyDescent="0.3">
      <c r="C1350" s="1" t="str">
        <f>IF(C1349&lt;'Investment Calculator'!$C$8*'Investment Calculator'!$F$4,'SIP Schedule'!C1349+1,"")</f>
        <v/>
      </c>
      <c r="D1350" s="27" t="str">
        <f>IF(C1350&lt;='Investment Calculator'!$C$8*'Investment Calculator'!$F$4,'Investment Calculator'!$C$6,"")</f>
        <v/>
      </c>
      <c r="E1350" s="27" t="str">
        <f>IFERROR((F1349+D1350)*'Investment Calculator'!$C$7/'Investment Calculator'!$F$4,"")</f>
        <v/>
      </c>
      <c r="F1350" s="27" t="str">
        <f>IFERROR(ABS(FV('Investment Calculator'!$C$7/'Investment Calculator'!$F$4,'SIP Schedule'!C1350,'SIP Schedule'!D1350,,1)),"")</f>
        <v/>
      </c>
    </row>
    <row r="1351" spans="3:6" x14ac:dyDescent="0.3">
      <c r="C1351" s="1" t="str">
        <f>IF(C1350&lt;'Investment Calculator'!$C$8*'Investment Calculator'!$F$4,'SIP Schedule'!C1350+1,"")</f>
        <v/>
      </c>
      <c r="D1351" s="27" t="str">
        <f>IF(C1351&lt;='Investment Calculator'!$C$8*'Investment Calculator'!$F$4,'Investment Calculator'!$C$6,"")</f>
        <v/>
      </c>
      <c r="E1351" s="27" t="str">
        <f>IFERROR((F1350+D1351)*'Investment Calculator'!$C$7/'Investment Calculator'!$F$4,"")</f>
        <v/>
      </c>
      <c r="F1351" s="27" t="str">
        <f>IFERROR(ABS(FV('Investment Calculator'!$C$7/'Investment Calculator'!$F$4,'SIP Schedule'!C1351,'SIP Schedule'!D1351,,1)),"")</f>
        <v/>
      </c>
    </row>
    <row r="1352" spans="3:6" x14ac:dyDescent="0.3">
      <c r="C1352" s="1" t="str">
        <f>IF(C1351&lt;'Investment Calculator'!$C$8*'Investment Calculator'!$F$4,'SIP Schedule'!C1351+1,"")</f>
        <v/>
      </c>
      <c r="D1352" s="27" t="str">
        <f>IF(C1352&lt;='Investment Calculator'!$C$8*'Investment Calculator'!$F$4,'Investment Calculator'!$C$6,"")</f>
        <v/>
      </c>
      <c r="E1352" s="27" t="str">
        <f>IFERROR((F1351+D1352)*'Investment Calculator'!$C$7/'Investment Calculator'!$F$4,"")</f>
        <v/>
      </c>
      <c r="F1352" s="27" t="str">
        <f>IFERROR(ABS(FV('Investment Calculator'!$C$7/'Investment Calculator'!$F$4,'SIP Schedule'!C1352,'SIP Schedule'!D1352,,1)),"")</f>
        <v/>
      </c>
    </row>
    <row r="1353" spans="3:6" x14ac:dyDescent="0.3">
      <c r="C1353" s="1" t="str">
        <f>IF(C1352&lt;'Investment Calculator'!$C$8*'Investment Calculator'!$F$4,'SIP Schedule'!C1352+1,"")</f>
        <v/>
      </c>
      <c r="D1353" s="27" t="str">
        <f>IF(C1353&lt;='Investment Calculator'!$C$8*'Investment Calculator'!$F$4,'Investment Calculator'!$C$6,"")</f>
        <v/>
      </c>
      <c r="E1353" s="27" t="str">
        <f>IFERROR((F1352+D1353)*'Investment Calculator'!$C$7/'Investment Calculator'!$F$4,"")</f>
        <v/>
      </c>
      <c r="F1353" s="27" t="str">
        <f>IFERROR(ABS(FV('Investment Calculator'!$C$7/'Investment Calculator'!$F$4,'SIP Schedule'!C1353,'SIP Schedule'!D1353,,1)),"")</f>
        <v/>
      </c>
    </row>
    <row r="1354" spans="3:6" x14ac:dyDescent="0.3">
      <c r="C1354" s="1" t="str">
        <f>IF(C1353&lt;'Investment Calculator'!$C$8*'Investment Calculator'!$F$4,'SIP Schedule'!C1353+1,"")</f>
        <v/>
      </c>
      <c r="D1354" s="27" t="str">
        <f>IF(C1354&lt;='Investment Calculator'!$C$8*'Investment Calculator'!$F$4,'Investment Calculator'!$C$6,"")</f>
        <v/>
      </c>
      <c r="E1354" s="27" t="str">
        <f>IFERROR((F1353+D1354)*'Investment Calculator'!$C$7/'Investment Calculator'!$F$4,"")</f>
        <v/>
      </c>
      <c r="F1354" s="27" t="str">
        <f>IFERROR(ABS(FV('Investment Calculator'!$C$7/'Investment Calculator'!$F$4,'SIP Schedule'!C1354,'SIP Schedule'!D1354,,1)),"")</f>
        <v/>
      </c>
    </row>
    <row r="1355" spans="3:6" x14ac:dyDescent="0.3">
      <c r="C1355" s="1" t="str">
        <f>IF(C1354&lt;'Investment Calculator'!$C$8*'Investment Calculator'!$F$4,'SIP Schedule'!C1354+1,"")</f>
        <v/>
      </c>
      <c r="D1355" s="27" t="str">
        <f>IF(C1355&lt;='Investment Calculator'!$C$8*'Investment Calculator'!$F$4,'Investment Calculator'!$C$6,"")</f>
        <v/>
      </c>
      <c r="E1355" s="27" t="str">
        <f>IFERROR((F1354+D1355)*'Investment Calculator'!$C$7/'Investment Calculator'!$F$4,"")</f>
        <v/>
      </c>
      <c r="F1355" s="27" t="str">
        <f>IFERROR(ABS(FV('Investment Calculator'!$C$7/'Investment Calculator'!$F$4,'SIP Schedule'!C1355,'SIP Schedule'!D1355,,1)),"")</f>
        <v/>
      </c>
    </row>
    <row r="1356" spans="3:6" x14ac:dyDescent="0.3">
      <c r="C1356" s="1" t="str">
        <f>IF(C1355&lt;'Investment Calculator'!$C$8*'Investment Calculator'!$F$4,'SIP Schedule'!C1355+1,"")</f>
        <v/>
      </c>
      <c r="D1356" s="27" t="str">
        <f>IF(C1356&lt;='Investment Calculator'!$C$8*'Investment Calculator'!$F$4,'Investment Calculator'!$C$6,"")</f>
        <v/>
      </c>
      <c r="E1356" s="27" t="str">
        <f>IFERROR((F1355+D1356)*'Investment Calculator'!$C$7/'Investment Calculator'!$F$4,"")</f>
        <v/>
      </c>
      <c r="F1356" s="27" t="str">
        <f>IFERROR(ABS(FV('Investment Calculator'!$C$7/'Investment Calculator'!$F$4,'SIP Schedule'!C1356,'SIP Schedule'!D1356,,1)),"")</f>
        <v/>
      </c>
    </row>
    <row r="1357" spans="3:6" x14ac:dyDescent="0.3">
      <c r="C1357" s="1" t="str">
        <f>IF(C1356&lt;'Investment Calculator'!$C$8*'Investment Calculator'!$F$4,'SIP Schedule'!C1356+1,"")</f>
        <v/>
      </c>
      <c r="D1357" s="27" t="str">
        <f>IF(C1357&lt;='Investment Calculator'!$C$8*'Investment Calculator'!$F$4,'Investment Calculator'!$C$6,"")</f>
        <v/>
      </c>
      <c r="E1357" s="27" t="str">
        <f>IFERROR((F1356+D1357)*'Investment Calculator'!$C$7/'Investment Calculator'!$F$4,"")</f>
        <v/>
      </c>
      <c r="F1357" s="27" t="str">
        <f>IFERROR(ABS(FV('Investment Calculator'!$C$7/'Investment Calculator'!$F$4,'SIP Schedule'!C1357,'SIP Schedule'!D1357,,1)),"")</f>
        <v/>
      </c>
    </row>
    <row r="1358" spans="3:6" x14ac:dyDescent="0.3">
      <c r="C1358" s="1" t="str">
        <f>IF(C1357&lt;'Investment Calculator'!$C$8*'Investment Calculator'!$F$4,'SIP Schedule'!C1357+1,"")</f>
        <v/>
      </c>
      <c r="D1358" s="27" t="str">
        <f>IF(C1358&lt;='Investment Calculator'!$C$8*'Investment Calculator'!$F$4,'Investment Calculator'!$C$6,"")</f>
        <v/>
      </c>
      <c r="E1358" s="27" t="str">
        <f>IFERROR((F1357+D1358)*'Investment Calculator'!$C$7/'Investment Calculator'!$F$4,"")</f>
        <v/>
      </c>
      <c r="F1358" s="27" t="str">
        <f>IFERROR(ABS(FV('Investment Calculator'!$C$7/'Investment Calculator'!$F$4,'SIP Schedule'!C1358,'SIP Schedule'!D1358,,1)),"")</f>
        <v/>
      </c>
    </row>
    <row r="1359" spans="3:6" x14ac:dyDescent="0.3">
      <c r="C1359" s="1" t="str">
        <f>IF(C1358&lt;'Investment Calculator'!$C$8*'Investment Calculator'!$F$4,'SIP Schedule'!C1358+1,"")</f>
        <v/>
      </c>
      <c r="D1359" s="27" t="str">
        <f>IF(C1359&lt;='Investment Calculator'!$C$8*'Investment Calculator'!$F$4,'Investment Calculator'!$C$6,"")</f>
        <v/>
      </c>
      <c r="E1359" s="27" t="str">
        <f>IFERROR((F1358+D1359)*'Investment Calculator'!$C$7/'Investment Calculator'!$F$4,"")</f>
        <v/>
      </c>
      <c r="F1359" s="27" t="str">
        <f>IFERROR(ABS(FV('Investment Calculator'!$C$7/'Investment Calculator'!$F$4,'SIP Schedule'!C1359,'SIP Schedule'!D1359,,1)),"")</f>
        <v/>
      </c>
    </row>
    <row r="1360" spans="3:6" x14ac:dyDescent="0.3">
      <c r="C1360" s="1" t="str">
        <f>IF(C1359&lt;'Investment Calculator'!$C$8*'Investment Calculator'!$F$4,'SIP Schedule'!C1359+1,"")</f>
        <v/>
      </c>
      <c r="D1360" s="27" t="str">
        <f>IF(C1360&lt;='Investment Calculator'!$C$8*'Investment Calculator'!$F$4,'Investment Calculator'!$C$6,"")</f>
        <v/>
      </c>
      <c r="E1360" s="27" t="str">
        <f>IFERROR((F1359+D1360)*'Investment Calculator'!$C$7/'Investment Calculator'!$F$4,"")</f>
        <v/>
      </c>
      <c r="F1360" s="27" t="str">
        <f>IFERROR(ABS(FV('Investment Calculator'!$C$7/'Investment Calculator'!$F$4,'SIP Schedule'!C1360,'SIP Schedule'!D1360,,1)),"")</f>
        <v/>
      </c>
    </row>
    <row r="1361" spans="3:6" x14ac:dyDescent="0.3">
      <c r="C1361" s="1" t="str">
        <f>IF(C1360&lt;'Investment Calculator'!$C$8*'Investment Calculator'!$F$4,'SIP Schedule'!C1360+1,"")</f>
        <v/>
      </c>
      <c r="D1361" s="27" t="str">
        <f>IF(C1361&lt;='Investment Calculator'!$C$8*'Investment Calculator'!$F$4,'Investment Calculator'!$C$6,"")</f>
        <v/>
      </c>
      <c r="E1361" s="27" t="str">
        <f>IFERROR((F1360+D1361)*'Investment Calculator'!$C$7/'Investment Calculator'!$F$4,"")</f>
        <v/>
      </c>
      <c r="F1361" s="27" t="str">
        <f>IFERROR(ABS(FV('Investment Calculator'!$C$7/'Investment Calculator'!$F$4,'SIP Schedule'!C1361,'SIP Schedule'!D1361,,1)),"")</f>
        <v/>
      </c>
    </row>
    <row r="1362" spans="3:6" x14ac:dyDescent="0.3">
      <c r="C1362" s="1" t="str">
        <f>IF(C1361&lt;'Investment Calculator'!$C$8*'Investment Calculator'!$F$4,'SIP Schedule'!C1361+1,"")</f>
        <v/>
      </c>
      <c r="D1362" s="27" t="str">
        <f>IF(C1362&lt;='Investment Calculator'!$C$8*'Investment Calculator'!$F$4,'Investment Calculator'!$C$6,"")</f>
        <v/>
      </c>
      <c r="E1362" s="27" t="str">
        <f>IFERROR((F1361+D1362)*'Investment Calculator'!$C$7/'Investment Calculator'!$F$4,"")</f>
        <v/>
      </c>
      <c r="F1362" s="27" t="str">
        <f>IFERROR(ABS(FV('Investment Calculator'!$C$7/'Investment Calculator'!$F$4,'SIP Schedule'!C1362,'SIP Schedule'!D1362,,1)),"")</f>
        <v/>
      </c>
    </row>
    <row r="1363" spans="3:6" x14ac:dyDescent="0.3">
      <c r="C1363" s="1" t="str">
        <f>IF(C1362&lt;'Investment Calculator'!$C$8*'Investment Calculator'!$F$4,'SIP Schedule'!C1362+1,"")</f>
        <v/>
      </c>
      <c r="D1363" s="27" t="str">
        <f>IF(C1363&lt;='Investment Calculator'!$C$8*'Investment Calculator'!$F$4,'Investment Calculator'!$C$6,"")</f>
        <v/>
      </c>
      <c r="E1363" s="27" t="str">
        <f>IFERROR((F1362+D1363)*'Investment Calculator'!$C$7/'Investment Calculator'!$F$4,"")</f>
        <v/>
      </c>
      <c r="F1363" s="27" t="str">
        <f>IFERROR(ABS(FV('Investment Calculator'!$C$7/'Investment Calculator'!$F$4,'SIP Schedule'!C1363,'SIP Schedule'!D1363,,1)),"")</f>
        <v/>
      </c>
    </row>
    <row r="1364" spans="3:6" x14ac:dyDescent="0.3">
      <c r="C1364" s="1" t="str">
        <f>IF(C1363&lt;'Investment Calculator'!$C$8*'Investment Calculator'!$F$4,'SIP Schedule'!C1363+1,"")</f>
        <v/>
      </c>
      <c r="D1364" s="27" t="str">
        <f>IF(C1364&lt;='Investment Calculator'!$C$8*'Investment Calculator'!$F$4,'Investment Calculator'!$C$6,"")</f>
        <v/>
      </c>
      <c r="E1364" s="27" t="str">
        <f>IFERROR((F1363+D1364)*'Investment Calculator'!$C$7/'Investment Calculator'!$F$4,"")</f>
        <v/>
      </c>
      <c r="F1364" s="27" t="str">
        <f>IFERROR(ABS(FV('Investment Calculator'!$C$7/'Investment Calculator'!$F$4,'SIP Schedule'!C1364,'SIP Schedule'!D1364,,1)),"")</f>
        <v/>
      </c>
    </row>
    <row r="1365" spans="3:6" x14ac:dyDescent="0.3">
      <c r="C1365" s="1" t="str">
        <f>IF(C1364&lt;'Investment Calculator'!$C$8*'Investment Calculator'!$F$4,'SIP Schedule'!C1364+1,"")</f>
        <v/>
      </c>
      <c r="D1365" s="27" t="str">
        <f>IF(C1365&lt;='Investment Calculator'!$C$8*'Investment Calculator'!$F$4,'Investment Calculator'!$C$6,"")</f>
        <v/>
      </c>
      <c r="E1365" s="27" t="str">
        <f>IFERROR((F1364+D1365)*'Investment Calculator'!$C$7/'Investment Calculator'!$F$4,"")</f>
        <v/>
      </c>
      <c r="F1365" s="27" t="str">
        <f>IFERROR(ABS(FV('Investment Calculator'!$C$7/'Investment Calculator'!$F$4,'SIP Schedule'!C1365,'SIP Schedule'!D1365,,1)),"")</f>
        <v/>
      </c>
    </row>
    <row r="1366" spans="3:6" x14ac:dyDescent="0.3">
      <c r="C1366" s="1" t="str">
        <f>IF(C1365&lt;'Investment Calculator'!$C$8*'Investment Calculator'!$F$4,'SIP Schedule'!C1365+1,"")</f>
        <v/>
      </c>
      <c r="D1366" s="27" t="str">
        <f>IF(C1366&lt;='Investment Calculator'!$C$8*'Investment Calculator'!$F$4,'Investment Calculator'!$C$6,"")</f>
        <v/>
      </c>
      <c r="E1366" s="27" t="str">
        <f>IFERROR((F1365+D1366)*'Investment Calculator'!$C$7/'Investment Calculator'!$F$4,"")</f>
        <v/>
      </c>
      <c r="F1366" s="27" t="str">
        <f>IFERROR(ABS(FV('Investment Calculator'!$C$7/'Investment Calculator'!$F$4,'SIP Schedule'!C1366,'SIP Schedule'!D1366,,1)),"")</f>
        <v/>
      </c>
    </row>
    <row r="1367" spans="3:6" x14ac:dyDescent="0.3">
      <c r="C1367" s="1" t="str">
        <f>IF(C1366&lt;'Investment Calculator'!$C$8*'Investment Calculator'!$F$4,'SIP Schedule'!C1366+1,"")</f>
        <v/>
      </c>
      <c r="D1367" s="27" t="str">
        <f>IF(C1367&lt;='Investment Calculator'!$C$8*'Investment Calculator'!$F$4,'Investment Calculator'!$C$6,"")</f>
        <v/>
      </c>
      <c r="E1367" s="27" t="str">
        <f>IFERROR((F1366+D1367)*'Investment Calculator'!$C$7/'Investment Calculator'!$F$4,"")</f>
        <v/>
      </c>
      <c r="F1367" s="27" t="str">
        <f>IFERROR(ABS(FV('Investment Calculator'!$C$7/'Investment Calculator'!$F$4,'SIP Schedule'!C1367,'SIP Schedule'!D1367,,1)),"")</f>
        <v/>
      </c>
    </row>
    <row r="1368" spans="3:6" x14ac:dyDescent="0.3">
      <c r="C1368" s="1" t="str">
        <f>IF(C1367&lt;'Investment Calculator'!$C$8*'Investment Calculator'!$F$4,'SIP Schedule'!C1367+1,"")</f>
        <v/>
      </c>
      <c r="D1368" s="27" t="str">
        <f>IF(C1368&lt;='Investment Calculator'!$C$8*'Investment Calculator'!$F$4,'Investment Calculator'!$C$6,"")</f>
        <v/>
      </c>
      <c r="E1368" s="27" t="str">
        <f>IFERROR((F1367+D1368)*'Investment Calculator'!$C$7/'Investment Calculator'!$F$4,"")</f>
        <v/>
      </c>
      <c r="F1368" s="27" t="str">
        <f>IFERROR(ABS(FV('Investment Calculator'!$C$7/'Investment Calculator'!$F$4,'SIP Schedule'!C1368,'SIP Schedule'!D1368,,1)),"")</f>
        <v/>
      </c>
    </row>
    <row r="1369" spans="3:6" x14ac:dyDescent="0.3">
      <c r="C1369" s="1" t="str">
        <f>IF(C1368&lt;'Investment Calculator'!$C$8*'Investment Calculator'!$F$4,'SIP Schedule'!C1368+1,"")</f>
        <v/>
      </c>
      <c r="D1369" s="27" t="str">
        <f>IF(C1369&lt;='Investment Calculator'!$C$8*'Investment Calculator'!$F$4,'Investment Calculator'!$C$6,"")</f>
        <v/>
      </c>
      <c r="E1369" s="27" t="str">
        <f>IFERROR((F1368+D1369)*'Investment Calculator'!$C$7/'Investment Calculator'!$F$4,"")</f>
        <v/>
      </c>
      <c r="F1369" s="27" t="str">
        <f>IFERROR(ABS(FV('Investment Calculator'!$C$7/'Investment Calculator'!$F$4,'SIP Schedule'!C1369,'SIP Schedule'!D1369,,1)),"")</f>
        <v/>
      </c>
    </row>
    <row r="1370" spans="3:6" x14ac:dyDescent="0.3">
      <c r="C1370" s="1" t="str">
        <f>IF(C1369&lt;'Investment Calculator'!$C$8*'Investment Calculator'!$F$4,'SIP Schedule'!C1369+1,"")</f>
        <v/>
      </c>
      <c r="D1370" s="27" t="str">
        <f>IF(C1370&lt;='Investment Calculator'!$C$8*'Investment Calculator'!$F$4,'Investment Calculator'!$C$6,"")</f>
        <v/>
      </c>
      <c r="E1370" s="27" t="str">
        <f>IFERROR((F1369+D1370)*'Investment Calculator'!$C$7/'Investment Calculator'!$F$4,"")</f>
        <v/>
      </c>
      <c r="F1370" s="27" t="str">
        <f>IFERROR(ABS(FV('Investment Calculator'!$C$7/'Investment Calculator'!$F$4,'SIP Schedule'!C1370,'SIP Schedule'!D1370,,1)),"")</f>
        <v/>
      </c>
    </row>
    <row r="1371" spans="3:6" x14ac:dyDescent="0.3">
      <c r="C1371" s="1" t="str">
        <f>IF(C1370&lt;'Investment Calculator'!$C$8*'Investment Calculator'!$F$4,'SIP Schedule'!C1370+1,"")</f>
        <v/>
      </c>
      <c r="D1371" s="27" t="str">
        <f>IF(C1371&lt;='Investment Calculator'!$C$8*'Investment Calculator'!$F$4,'Investment Calculator'!$C$6,"")</f>
        <v/>
      </c>
      <c r="E1371" s="27" t="str">
        <f>IFERROR((F1370+D1371)*'Investment Calculator'!$C$7/'Investment Calculator'!$F$4,"")</f>
        <v/>
      </c>
      <c r="F1371" s="27" t="str">
        <f>IFERROR(ABS(FV('Investment Calculator'!$C$7/'Investment Calculator'!$F$4,'SIP Schedule'!C1371,'SIP Schedule'!D1371,,1)),"")</f>
        <v/>
      </c>
    </row>
    <row r="1372" spans="3:6" x14ac:dyDescent="0.3">
      <c r="C1372" s="1" t="str">
        <f>IF(C1371&lt;'Investment Calculator'!$C$8*'Investment Calculator'!$F$4,'SIP Schedule'!C1371+1,"")</f>
        <v/>
      </c>
      <c r="D1372" s="27" t="str">
        <f>IF(C1372&lt;='Investment Calculator'!$C$8*'Investment Calculator'!$F$4,'Investment Calculator'!$C$6,"")</f>
        <v/>
      </c>
      <c r="E1372" s="27" t="str">
        <f>IFERROR((F1371+D1372)*'Investment Calculator'!$C$7/'Investment Calculator'!$F$4,"")</f>
        <v/>
      </c>
      <c r="F1372" s="27" t="str">
        <f>IFERROR(ABS(FV('Investment Calculator'!$C$7/'Investment Calculator'!$F$4,'SIP Schedule'!C1372,'SIP Schedule'!D1372,,1)),"")</f>
        <v/>
      </c>
    </row>
    <row r="1373" spans="3:6" x14ac:dyDescent="0.3">
      <c r="C1373" s="1" t="str">
        <f>IF(C1372&lt;'Investment Calculator'!$C$8*'Investment Calculator'!$F$4,'SIP Schedule'!C1372+1,"")</f>
        <v/>
      </c>
      <c r="D1373" s="27" t="str">
        <f>IF(C1373&lt;='Investment Calculator'!$C$8*'Investment Calculator'!$F$4,'Investment Calculator'!$C$6,"")</f>
        <v/>
      </c>
      <c r="E1373" s="27" t="str">
        <f>IFERROR((F1372+D1373)*'Investment Calculator'!$C$7/'Investment Calculator'!$F$4,"")</f>
        <v/>
      </c>
      <c r="F1373" s="27" t="str">
        <f>IFERROR(ABS(FV('Investment Calculator'!$C$7/'Investment Calculator'!$F$4,'SIP Schedule'!C1373,'SIP Schedule'!D1373,,1)),"")</f>
        <v/>
      </c>
    </row>
    <row r="1374" spans="3:6" x14ac:dyDescent="0.3">
      <c r="C1374" s="1" t="str">
        <f>IF(C1373&lt;'Investment Calculator'!$C$8*'Investment Calculator'!$F$4,'SIP Schedule'!C1373+1,"")</f>
        <v/>
      </c>
      <c r="D1374" s="27" t="str">
        <f>IF(C1374&lt;='Investment Calculator'!$C$8*'Investment Calculator'!$F$4,'Investment Calculator'!$C$6,"")</f>
        <v/>
      </c>
      <c r="E1374" s="27" t="str">
        <f>IFERROR((F1373+D1374)*'Investment Calculator'!$C$7/'Investment Calculator'!$F$4,"")</f>
        <v/>
      </c>
      <c r="F1374" s="27" t="str">
        <f>IFERROR(ABS(FV('Investment Calculator'!$C$7/'Investment Calculator'!$F$4,'SIP Schedule'!C1374,'SIP Schedule'!D1374,,1)),"")</f>
        <v/>
      </c>
    </row>
    <row r="1375" spans="3:6" x14ac:dyDescent="0.3">
      <c r="C1375" s="1" t="str">
        <f>IF(C1374&lt;'Investment Calculator'!$C$8*'Investment Calculator'!$F$4,'SIP Schedule'!C1374+1,"")</f>
        <v/>
      </c>
      <c r="D1375" s="27" t="str">
        <f>IF(C1375&lt;='Investment Calculator'!$C$8*'Investment Calculator'!$F$4,'Investment Calculator'!$C$6,"")</f>
        <v/>
      </c>
      <c r="E1375" s="27" t="str">
        <f>IFERROR((F1374+D1375)*'Investment Calculator'!$C$7/'Investment Calculator'!$F$4,"")</f>
        <v/>
      </c>
      <c r="F1375" s="27" t="str">
        <f>IFERROR(ABS(FV('Investment Calculator'!$C$7/'Investment Calculator'!$F$4,'SIP Schedule'!C1375,'SIP Schedule'!D1375,,1)),"")</f>
        <v/>
      </c>
    </row>
    <row r="1376" spans="3:6" x14ac:dyDescent="0.3">
      <c r="C1376" s="1" t="str">
        <f>IF(C1375&lt;'Investment Calculator'!$C$8*'Investment Calculator'!$F$4,'SIP Schedule'!C1375+1,"")</f>
        <v/>
      </c>
      <c r="D1376" s="27" t="str">
        <f>IF(C1376&lt;='Investment Calculator'!$C$8*'Investment Calculator'!$F$4,'Investment Calculator'!$C$6,"")</f>
        <v/>
      </c>
      <c r="E1376" s="27" t="str">
        <f>IFERROR((F1375+D1376)*'Investment Calculator'!$C$7/'Investment Calculator'!$F$4,"")</f>
        <v/>
      </c>
      <c r="F1376" s="27" t="str">
        <f>IFERROR(ABS(FV('Investment Calculator'!$C$7/'Investment Calculator'!$F$4,'SIP Schedule'!C1376,'SIP Schedule'!D1376,,1)),"")</f>
        <v/>
      </c>
    </row>
    <row r="1377" spans="3:6" x14ac:dyDescent="0.3">
      <c r="C1377" s="1" t="str">
        <f>IF(C1376&lt;'Investment Calculator'!$C$8*'Investment Calculator'!$F$4,'SIP Schedule'!C1376+1,"")</f>
        <v/>
      </c>
      <c r="D1377" s="27" t="str">
        <f>IF(C1377&lt;='Investment Calculator'!$C$8*'Investment Calculator'!$F$4,'Investment Calculator'!$C$6,"")</f>
        <v/>
      </c>
      <c r="E1377" s="27" t="str">
        <f>IFERROR((F1376+D1377)*'Investment Calculator'!$C$7/'Investment Calculator'!$F$4,"")</f>
        <v/>
      </c>
      <c r="F1377" s="27" t="str">
        <f>IFERROR(ABS(FV('Investment Calculator'!$C$7/'Investment Calculator'!$F$4,'SIP Schedule'!C1377,'SIP Schedule'!D1377,,1)),"")</f>
        <v/>
      </c>
    </row>
    <row r="1378" spans="3:6" x14ac:dyDescent="0.3">
      <c r="C1378" s="1" t="str">
        <f>IF(C1377&lt;'Investment Calculator'!$C$8*'Investment Calculator'!$F$4,'SIP Schedule'!C1377+1,"")</f>
        <v/>
      </c>
      <c r="D1378" s="27" t="str">
        <f>IF(C1378&lt;='Investment Calculator'!$C$8*'Investment Calculator'!$F$4,'Investment Calculator'!$C$6,"")</f>
        <v/>
      </c>
      <c r="E1378" s="27" t="str">
        <f>IFERROR((F1377+D1378)*'Investment Calculator'!$C$7/'Investment Calculator'!$F$4,"")</f>
        <v/>
      </c>
      <c r="F1378" s="27" t="str">
        <f>IFERROR(ABS(FV('Investment Calculator'!$C$7/'Investment Calculator'!$F$4,'SIP Schedule'!C1378,'SIP Schedule'!D1378,,1)),"")</f>
        <v/>
      </c>
    </row>
    <row r="1379" spans="3:6" x14ac:dyDescent="0.3">
      <c r="C1379" s="1" t="str">
        <f>IF(C1378&lt;'Investment Calculator'!$C$8*'Investment Calculator'!$F$4,'SIP Schedule'!C1378+1,"")</f>
        <v/>
      </c>
      <c r="D1379" s="27" t="str">
        <f>IF(C1379&lt;='Investment Calculator'!$C$8*'Investment Calculator'!$F$4,'Investment Calculator'!$C$6,"")</f>
        <v/>
      </c>
      <c r="E1379" s="27" t="str">
        <f>IFERROR((F1378+D1379)*'Investment Calculator'!$C$7/'Investment Calculator'!$F$4,"")</f>
        <v/>
      </c>
      <c r="F1379" s="27" t="str">
        <f>IFERROR(ABS(FV('Investment Calculator'!$C$7/'Investment Calculator'!$F$4,'SIP Schedule'!C1379,'SIP Schedule'!D1379,,1)),"")</f>
        <v/>
      </c>
    </row>
    <row r="1380" spans="3:6" x14ac:dyDescent="0.3">
      <c r="C1380" s="1" t="str">
        <f>IF(C1379&lt;'Investment Calculator'!$C$8*'Investment Calculator'!$F$4,'SIP Schedule'!C1379+1,"")</f>
        <v/>
      </c>
      <c r="D1380" s="27" t="str">
        <f>IF(C1380&lt;='Investment Calculator'!$C$8*'Investment Calculator'!$F$4,'Investment Calculator'!$C$6,"")</f>
        <v/>
      </c>
      <c r="E1380" s="27" t="str">
        <f>IFERROR((F1379+D1380)*'Investment Calculator'!$C$7/'Investment Calculator'!$F$4,"")</f>
        <v/>
      </c>
      <c r="F1380" s="27" t="str">
        <f>IFERROR(ABS(FV('Investment Calculator'!$C$7/'Investment Calculator'!$F$4,'SIP Schedule'!C1380,'SIP Schedule'!D1380,,1)),"")</f>
        <v/>
      </c>
    </row>
    <row r="1381" spans="3:6" x14ac:dyDescent="0.3">
      <c r="C1381" s="1" t="str">
        <f>IF(C1380&lt;'Investment Calculator'!$C$8*'Investment Calculator'!$F$4,'SIP Schedule'!C1380+1,"")</f>
        <v/>
      </c>
      <c r="D1381" s="27" t="str">
        <f>IF(C1381&lt;='Investment Calculator'!$C$8*'Investment Calculator'!$F$4,'Investment Calculator'!$C$6,"")</f>
        <v/>
      </c>
      <c r="E1381" s="27" t="str">
        <f>IFERROR((F1380+D1381)*'Investment Calculator'!$C$7/'Investment Calculator'!$F$4,"")</f>
        <v/>
      </c>
      <c r="F1381" s="27" t="str">
        <f>IFERROR(ABS(FV('Investment Calculator'!$C$7/'Investment Calculator'!$F$4,'SIP Schedule'!C1381,'SIP Schedule'!D1381,,1)),"")</f>
        <v/>
      </c>
    </row>
    <row r="1382" spans="3:6" x14ac:dyDescent="0.3">
      <c r="C1382" s="1" t="str">
        <f>IF(C1381&lt;'Investment Calculator'!$C$8*'Investment Calculator'!$F$4,'SIP Schedule'!C1381+1,"")</f>
        <v/>
      </c>
      <c r="D1382" s="27" t="str">
        <f>IF(C1382&lt;='Investment Calculator'!$C$8*'Investment Calculator'!$F$4,'Investment Calculator'!$C$6,"")</f>
        <v/>
      </c>
      <c r="E1382" s="27" t="str">
        <f>IFERROR((F1381+D1382)*'Investment Calculator'!$C$7/'Investment Calculator'!$F$4,"")</f>
        <v/>
      </c>
      <c r="F1382" s="27" t="str">
        <f>IFERROR(ABS(FV('Investment Calculator'!$C$7/'Investment Calculator'!$F$4,'SIP Schedule'!C1382,'SIP Schedule'!D1382,,1)),"")</f>
        <v/>
      </c>
    </row>
    <row r="1383" spans="3:6" x14ac:dyDescent="0.3">
      <c r="C1383" s="1" t="str">
        <f>IF(C1382&lt;'Investment Calculator'!$C$8*'Investment Calculator'!$F$4,'SIP Schedule'!C1382+1,"")</f>
        <v/>
      </c>
      <c r="D1383" s="27" t="str">
        <f>IF(C1383&lt;='Investment Calculator'!$C$8*'Investment Calculator'!$F$4,'Investment Calculator'!$C$6,"")</f>
        <v/>
      </c>
      <c r="E1383" s="27" t="str">
        <f>IFERROR((F1382+D1383)*'Investment Calculator'!$C$7/'Investment Calculator'!$F$4,"")</f>
        <v/>
      </c>
      <c r="F1383" s="27" t="str">
        <f>IFERROR(ABS(FV('Investment Calculator'!$C$7/'Investment Calculator'!$F$4,'SIP Schedule'!C1383,'SIP Schedule'!D1383,,1)),"")</f>
        <v/>
      </c>
    </row>
    <row r="1384" spans="3:6" x14ac:dyDescent="0.3">
      <c r="C1384" s="1" t="str">
        <f>IF(C1383&lt;'Investment Calculator'!$C$8*'Investment Calculator'!$F$4,'SIP Schedule'!C1383+1,"")</f>
        <v/>
      </c>
      <c r="D1384" s="27" t="str">
        <f>IF(C1384&lt;='Investment Calculator'!$C$8*'Investment Calculator'!$F$4,'Investment Calculator'!$C$6,"")</f>
        <v/>
      </c>
      <c r="E1384" s="27" t="str">
        <f>IFERROR((F1383+D1384)*'Investment Calculator'!$C$7/'Investment Calculator'!$F$4,"")</f>
        <v/>
      </c>
      <c r="F1384" s="27" t="str">
        <f>IFERROR(ABS(FV('Investment Calculator'!$C$7/'Investment Calculator'!$F$4,'SIP Schedule'!C1384,'SIP Schedule'!D1384,,1)),"")</f>
        <v/>
      </c>
    </row>
    <row r="1385" spans="3:6" x14ac:dyDescent="0.3">
      <c r="C1385" s="1" t="str">
        <f>IF(C1384&lt;'Investment Calculator'!$C$8*'Investment Calculator'!$F$4,'SIP Schedule'!C1384+1,"")</f>
        <v/>
      </c>
      <c r="D1385" s="27" t="str">
        <f>IF(C1385&lt;='Investment Calculator'!$C$8*'Investment Calculator'!$F$4,'Investment Calculator'!$C$6,"")</f>
        <v/>
      </c>
      <c r="E1385" s="27" t="str">
        <f>IFERROR((F1384+D1385)*'Investment Calculator'!$C$7/'Investment Calculator'!$F$4,"")</f>
        <v/>
      </c>
      <c r="F1385" s="27" t="str">
        <f>IFERROR(ABS(FV('Investment Calculator'!$C$7/'Investment Calculator'!$F$4,'SIP Schedule'!C1385,'SIP Schedule'!D1385,,1)),"")</f>
        <v/>
      </c>
    </row>
    <row r="1386" spans="3:6" x14ac:dyDescent="0.3">
      <c r="C1386" s="1" t="str">
        <f>IF(C1385&lt;'Investment Calculator'!$C$8*'Investment Calculator'!$F$4,'SIP Schedule'!C1385+1,"")</f>
        <v/>
      </c>
      <c r="D1386" s="27" t="str">
        <f>IF(C1386&lt;='Investment Calculator'!$C$8*'Investment Calculator'!$F$4,'Investment Calculator'!$C$6,"")</f>
        <v/>
      </c>
      <c r="E1386" s="27" t="str">
        <f>IFERROR((F1385+D1386)*'Investment Calculator'!$C$7/'Investment Calculator'!$F$4,"")</f>
        <v/>
      </c>
      <c r="F1386" s="27" t="str">
        <f>IFERROR(ABS(FV('Investment Calculator'!$C$7/'Investment Calculator'!$F$4,'SIP Schedule'!C1386,'SIP Schedule'!D1386,,1)),"")</f>
        <v/>
      </c>
    </row>
    <row r="1387" spans="3:6" x14ac:dyDescent="0.3">
      <c r="C1387" s="1" t="str">
        <f>IF(C1386&lt;'Investment Calculator'!$C$8*'Investment Calculator'!$F$4,'SIP Schedule'!C1386+1,"")</f>
        <v/>
      </c>
      <c r="D1387" s="27" t="str">
        <f>IF(C1387&lt;='Investment Calculator'!$C$8*'Investment Calculator'!$F$4,'Investment Calculator'!$C$6,"")</f>
        <v/>
      </c>
      <c r="E1387" s="27" t="str">
        <f>IFERROR((F1386+D1387)*'Investment Calculator'!$C$7/'Investment Calculator'!$F$4,"")</f>
        <v/>
      </c>
      <c r="F1387" s="27" t="str">
        <f>IFERROR(ABS(FV('Investment Calculator'!$C$7/'Investment Calculator'!$F$4,'SIP Schedule'!C1387,'SIP Schedule'!D1387,,1)),"")</f>
        <v/>
      </c>
    </row>
    <row r="1388" spans="3:6" x14ac:dyDescent="0.3">
      <c r="C1388" s="1" t="str">
        <f>IF(C1387&lt;'Investment Calculator'!$C$8*'Investment Calculator'!$F$4,'SIP Schedule'!C1387+1,"")</f>
        <v/>
      </c>
      <c r="D1388" s="27" t="str">
        <f>IF(C1388&lt;='Investment Calculator'!$C$8*'Investment Calculator'!$F$4,'Investment Calculator'!$C$6,"")</f>
        <v/>
      </c>
      <c r="E1388" s="27" t="str">
        <f>IFERROR((F1387+D1388)*'Investment Calculator'!$C$7/'Investment Calculator'!$F$4,"")</f>
        <v/>
      </c>
      <c r="F1388" s="27" t="str">
        <f>IFERROR(ABS(FV('Investment Calculator'!$C$7/'Investment Calculator'!$F$4,'SIP Schedule'!C1388,'SIP Schedule'!D1388,,1)),"")</f>
        <v/>
      </c>
    </row>
    <row r="1389" spans="3:6" x14ac:dyDescent="0.3">
      <c r="C1389" s="1" t="str">
        <f>IF(C1388&lt;'Investment Calculator'!$C$8*'Investment Calculator'!$F$4,'SIP Schedule'!C1388+1,"")</f>
        <v/>
      </c>
      <c r="D1389" s="27" t="str">
        <f>IF(C1389&lt;='Investment Calculator'!$C$8*'Investment Calculator'!$F$4,'Investment Calculator'!$C$6,"")</f>
        <v/>
      </c>
      <c r="E1389" s="27" t="str">
        <f>IFERROR((F1388+D1389)*'Investment Calculator'!$C$7/'Investment Calculator'!$F$4,"")</f>
        <v/>
      </c>
      <c r="F1389" s="27" t="str">
        <f>IFERROR(ABS(FV('Investment Calculator'!$C$7/'Investment Calculator'!$F$4,'SIP Schedule'!C1389,'SIP Schedule'!D1389,,1)),"")</f>
        <v/>
      </c>
    </row>
    <row r="1390" spans="3:6" x14ac:dyDescent="0.3">
      <c r="C1390" s="1" t="str">
        <f>IF(C1389&lt;'Investment Calculator'!$C$8*'Investment Calculator'!$F$4,'SIP Schedule'!C1389+1,"")</f>
        <v/>
      </c>
      <c r="D1390" s="27" t="str">
        <f>IF(C1390&lt;='Investment Calculator'!$C$8*'Investment Calculator'!$F$4,'Investment Calculator'!$C$6,"")</f>
        <v/>
      </c>
      <c r="E1390" s="27" t="str">
        <f>IFERROR((F1389+D1390)*'Investment Calculator'!$C$7/'Investment Calculator'!$F$4,"")</f>
        <v/>
      </c>
      <c r="F1390" s="27" t="str">
        <f>IFERROR(ABS(FV('Investment Calculator'!$C$7/'Investment Calculator'!$F$4,'SIP Schedule'!C1390,'SIP Schedule'!D1390,,1)),"")</f>
        <v/>
      </c>
    </row>
    <row r="1391" spans="3:6" x14ac:dyDescent="0.3">
      <c r="C1391" s="1" t="str">
        <f>IF(C1390&lt;'Investment Calculator'!$C$8*'Investment Calculator'!$F$4,'SIP Schedule'!C1390+1,"")</f>
        <v/>
      </c>
      <c r="D1391" s="27" t="str">
        <f>IF(C1391&lt;='Investment Calculator'!$C$8*'Investment Calculator'!$F$4,'Investment Calculator'!$C$6,"")</f>
        <v/>
      </c>
      <c r="E1391" s="27" t="str">
        <f>IFERROR((F1390+D1391)*'Investment Calculator'!$C$7/'Investment Calculator'!$F$4,"")</f>
        <v/>
      </c>
      <c r="F1391" s="27" t="str">
        <f>IFERROR(ABS(FV('Investment Calculator'!$C$7/'Investment Calculator'!$F$4,'SIP Schedule'!C1391,'SIP Schedule'!D1391,,1)),"")</f>
        <v/>
      </c>
    </row>
    <row r="1392" spans="3:6" x14ac:dyDescent="0.3">
      <c r="C1392" s="1" t="str">
        <f>IF(C1391&lt;'Investment Calculator'!$C$8*'Investment Calculator'!$F$4,'SIP Schedule'!C1391+1,"")</f>
        <v/>
      </c>
      <c r="D1392" s="27" t="str">
        <f>IF(C1392&lt;='Investment Calculator'!$C$8*'Investment Calculator'!$F$4,'Investment Calculator'!$C$6,"")</f>
        <v/>
      </c>
      <c r="E1392" s="27" t="str">
        <f>IFERROR((F1391+D1392)*'Investment Calculator'!$C$7/'Investment Calculator'!$F$4,"")</f>
        <v/>
      </c>
      <c r="F1392" s="27" t="str">
        <f>IFERROR(ABS(FV('Investment Calculator'!$C$7/'Investment Calculator'!$F$4,'SIP Schedule'!C1392,'SIP Schedule'!D1392,,1)),"")</f>
        <v/>
      </c>
    </row>
    <row r="1393" spans="3:6" x14ac:dyDescent="0.3">
      <c r="C1393" s="1" t="str">
        <f>IF(C1392&lt;'Investment Calculator'!$C$8*'Investment Calculator'!$F$4,'SIP Schedule'!C1392+1,"")</f>
        <v/>
      </c>
      <c r="D1393" s="27" t="str">
        <f>IF(C1393&lt;='Investment Calculator'!$C$8*'Investment Calculator'!$F$4,'Investment Calculator'!$C$6,"")</f>
        <v/>
      </c>
      <c r="E1393" s="27" t="str">
        <f>IFERROR((F1392+D1393)*'Investment Calculator'!$C$7/'Investment Calculator'!$F$4,"")</f>
        <v/>
      </c>
      <c r="F1393" s="27" t="str">
        <f>IFERROR(ABS(FV('Investment Calculator'!$C$7/'Investment Calculator'!$F$4,'SIP Schedule'!C1393,'SIP Schedule'!D1393,,1)),"")</f>
        <v/>
      </c>
    </row>
    <row r="1394" spans="3:6" x14ac:dyDescent="0.3">
      <c r="C1394" s="1" t="str">
        <f>IF(C1393&lt;'Investment Calculator'!$C$8*'Investment Calculator'!$F$4,'SIP Schedule'!C1393+1,"")</f>
        <v/>
      </c>
      <c r="D1394" s="27" t="str">
        <f>IF(C1394&lt;='Investment Calculator'!$C$8*'Investment Calculator'!$F$4,'Investment Calculator'!$C$6,"")</f>
        <v/>
      </c>
      <c r="E1394" s="27" t="str">
        <f>IFERROR((F1393+D1394)*'Investment Calculator'!$C$7/'Investment Calculator'!$F$4,"")</f>
        <v/>
      </c>
      <c r="F1394" s="27" t="str">
        <f>IFERROR(ABS(FV('Investment Calculator'!$C$7/'Investment Calculator'!$F$4,'SIP Schedule'!C1394,'SIP Schedule'!D1394,,1)),"")</f>
        <v/>
      </c>
    </row>
    <row r="1395" spans="3:6" x14ac:dyDescent="0.3">
      <c r="C1395" s="1" t="str">
        <f>IF(C1394&lt;'Investment Calculator'!$C$8*'Investment Calculator'!$F$4,'SIP Schedule'!C1394+1,"")</f>
        <v/>
      </c>
      <c r="D1395" s="27" t="str">
        <f>IF(C1395&lt;='Investment Calculator'!$C$8*'Investment Calculator'!$F$4,'Investment Calculator'!$C$6,"")</f>
        <v/>
      </c>
      <c r="E1395" s="27" t="str">
        <f>IFERROR((F1394+D1395)*'Investment Calculator'!$C$7/'Investment Calculator'!$F$4,"")</f>
        <v/>
      </c>
      <c r="F1395" s="27" t="str">
        <f>IFERROR(ABS(FV('Investment Calculator'!$C$7/'Investment Calculator'!$F$4,'SIP Schedule'!C1395,'SIP Schedule'!D1395,,1)),"")</f>
        <v/>
      </c>
    </row>
    <row r="1396" spans="3:6" x14ac:dyDescent="0.3">
      <c r="C1396" s="1" t="str">
        <f>IF(C1395&lt;'Investment Calculator'!$C$8*'Investment Calculator'!$F$4,'SIP Schedule'!C1395+1,"")</f>
        <v/>
      </c>
      <c r="D1396" s="27" t="str">
        <f>IF(C1396&lt;='Investment Calculator'!$C$8*'Investment Calculator'!$F$4,'Investment Calculator'!$C$6,"")</f>
        <v/>
      </c>
      <c r="E1396" s="27" t="str">
        <f>IFERROR((F1395+D1396)*'Investment Calculator'!$C$7/'Investment Calculator'!$F$4,"")</f>
        <v/>
      </c>
      <c r="F1396" s="27" t="str">
        <f>IFERROR(ABS(FV('Investment Calculator'!$C$7/'Investment Calculator'!$F$4,'SIP Schedule'!C1396,'SIP Schedule'!D1396,,1)),"")</f>
        <v/>
      </c>
    </row>
    <row r="1397" spans="3:6" x14ac:dyDescent="0.3">
      <c r="C1397" s="1" t="str">
        <f>IF(C1396&lt;'Investment Calculator'!$C$8*'Investment Calculator'!$F$4,'SIP Schedule'!C1396+1,"")</f>
        <v/>
      </c>
      <c r="D1397" s="27" t="str">
        <f>IF(C1397&lt;='Investment Calculator'!$C$8*'Investment Calculator'!$F$4,'Investment Calculator'!$C$6,"")</f>
        <v/>
      </c>
      <c r="E1397" s="27" t="str">
        <f>IFERROR((F1396+D1397)*'Investment Calculator'!$C$7/'Investment Calculator'!$F$4,"")</f>
        <v/>
      </c>
      <c r="F1397" s="27" t="str">
        <f>IFERROR(ABS(FV('Investment Calculator'!$C$7/'Investment Calculator'!$F$4,'SIP Schedule'!C1397,'SIP Schedule'!D1397,,1)),"")</f>
        <v/>
      </c>
    </row>
    <row r="1398" spans="3:6" x14ac:dyDescent="0.3">
      <c r="C1398" s="1" t="str">
        <f>IF(C1397&lt;'Investment Calculator'!$C$8*'Investment Calculator'!$F$4,'SIP Schedule'!C1397+1,"")</f>
        <v/>
      </c>
      <c r="D1398" s="27" t="str">
        <f>IF(C1398&lt;='Investment Calculator'!$C$8*'Investment Calculator'!$F$4,'Investment Calculator'!$C$6,"")</f>
        <v/>
      </c>
      <c r="E1398" s="27" t="str">
        <f>IFERROR((F1397+D1398)*'Investment Calculator'!$C$7/'Investment Calculator'!$F$4,"")</f>
        <v/>
      </c>
      <c r="F1398" s="27" t="str">
        <f>IFERROR(ABS(FV('Investment Calculator'!$C$7/'Investment Calculator'!$F$4,'SIP Schedule'!C1398,'SIP Schedule'!D1398,,1)),"")</f>
        <v/>
      </c>
    </row>
    <row r="1399" spans="3:6" x14ac:dyDescent="0.3">
      <c r="C1399" s="1" t="str">
        <f>IF(C1398&lt;'Investment Calculator'!$C$8*'Investment Calculator'!$F$4,'SIP Schedule'!C1398+1,"")</f>
        <v/>
      </c>
      <c r="D1399" s="27" t="str">
        <f>IF(C1399&lt;='Investment Calculator'!$C$8*'Investment Calculator'!$F$4,'Investment Calculator'!$C$6,"")</f>
        <v/>
      </c>
      <c r="E1399" s="27" t="str">
        <f>IFERROR((F1398+D1399)*'Investment Calculator'!$C$7/'Investment Calculator'!$F$4,"")</f>
        <v/>
      </c>
      <c r="F1399" s="27" t="str">
        <f>IFERROR(ABS(FV('Investment Calculator'!$C$7/'Investment Calculator'!$F$4,'SIP Schedule'!C1399,'SIP Schedule'!D1399,,1)),"")</f>
        <v/>
      </c>
    </row>
    <row r="1400" spans="3:6" x14ac:dyDescent="0.3">
      <c r="C1400" s="1" t="str">
        <f>IF(C1399&lt;'Investment Calculator'!$C$8*'Investment Calculator'!$F$4,'SIP Schedule'!C1399+1,"")</f>
        <v/>
      </c>
      <c r="D1400" s="27" t="str">
        <f>IF(C1400&lt;='Investment Calculator'!$C$8*'Investment Calculator'!$F$4,'Investment Calculator'!$C$6,"")</f>
        <v/>
      </c>
      <c r="E1400" s="27" t="str">
        <f>IFERROR((F1399+D1400)*'Investment Calculator'!$C$7/'Investment Calculator'!$F$4,"")</f>
        <v/>
      </c>
      <c r="F1400" s="27" t="str">
        <f>IFERROR(ABS(FV('Investment Calculator'!$C$7/'Investment Calculator'!$F$4,'SIP Schedule'!C1400,'SIP Schedule'!D1400,,1)),"")</f>
        <v/>
      </c>
    </row>
    <row r="1401" spans="3:6" x14ac:dyDescent="0.3">
      <c r="C1401" s="1" t="str">
        <f>IF(C1400&lt;'Investment Calculator'!$C$8*'Investment Calculator'!$F$4,'SIP Schedule'!C1400+1,"")</f>
        <v/>
      </c>
      <c r="D1401" s="27" t="str">
        <f>IF(C1401&lt;='Investment Calculator'!$C$8*'Investment Calculator'!$F$4,'Investment Calculator'!$C$6,"")</f>
        <v/>
      </c>
      <c r="E1401" s="27" t="str">
        <f>IFERROR((F1400+D1401)*'Investment Calculator'!$C$7/'Investment Calculator'!$F$4,"")</f>
        <v/>
      </c>
      <c r="F1401" s="27" t="str">
        <f>IFERROR(ABS(FV('Investment Calculator'!$C$7/'Investment Calculator'!$F$4,'SIP Schedule'!C1401,'SIP Schedule'!D1401,,1)),"")</f>
        <v/>
      </c>
    </row>
    <row r="1402" spans="3:6" x14ac:dyDescent="0.3">
      <c r="C1402" s="1" t="str">
        <f>IF(C1401&lt;'Investment Calculator'!$C$8*'Investment Calculator'!$F$4,'SIP Schedule'!C1401+1,"")</f>
        <v/>
      </c>
      <c r="D1402" s="27" t="str">
        <f>IF(C1402&lt;='Investment Calculator'!$C$8*'Investment Calculator'!$F$4,'Investment Calculator'!$C$6,"")</f>
        <v/>
      </c>
      <c r="E1402" s="27" t="str">
        <f>IFERROR((F1401+D1402)*'Investment Calculator'!$C$7/'Investment Calculator'!$F$4,"")</f>
        <v/>
      </c>
      <c r="F1402" s="27" t="str">
        <f>IFERROR(ABS(FV('Investment Calculator'!$C$7/'Investment Calculator'!$F$4,'SIP Schedule'!C1402,'SIP Schedule'!D1402,,1)),"")</f>
        <v/>
      </c>
    </row>
    <row r="1403" spans="3:6" x14ac:dyDescent="0.3">
      <c r="C1403" s="1" t="str">
        <f>IF(C1402&lt;'Investment Calculator'!$C$8*'Investment Calculator'!$F$4,'SIP Schedule'!C1402+1,"")</f>
        <v/>
      </c>
      <c r="D1403" s="27" t="str">
        <f>IF(C1403&lt;='Investment Calculator'!$C$8*'Investment Calculator'!$F$4,'Investment Calculator'!$C$6,"")</f>
        <v/>
      </c>
      <c r="E1403" s="27" t="str">
        <f>IFERROR((F1402+D1403)*'Investment Calculator'!$C$7/'Investment Calculator'!$F$4,"")</f>
        <v/>
      </c>
      <c r="F1403" s="27" t="str">
        <f>IFERROR(ABS(FV('Investment Calculator'!$C$7/'Investment Calculator'!$F$4,'SIP Schedule'!C1403,'SIP Schedule'!D1403,,1)),"")</f>
        <v/>
      </c>
    </row>
    <row r="1404" spans="3:6" x14ac:dyDescent="0.3">
      <c r="C1404" s="1" t="str">
        <f>IF(C1403&lt;'Investment Calculator'!$C$8*'Investment Calculator'!$F$4,'SIP Schedule'!C1403+1,"")</f>
        <v/>
      </c>
      <c r="D1404" s="27" t="str">
        <f>IF(C1404&lt;='Investment Calculator'!$C$8*'Investment Calculator'!$F$4,'Investment Calculator'!$C$6,"")</f>
        <v/>
      </c>
      <c r="E1404" s="27" t="str">
        <f>IFERROR((F1403+D1404)*'Investment Calculator'!$C$7/'Investment Calculator'!$F$4,"")</f>
        <v/>
      </c>
      <c r="F1404" s="27" t="str">
        <f>IFERROR(ABS(FV('Investment Calculator'!$C$7/'Investment Calculator'!$F$4,'SIP Schedule'!C1404,'SIP Schedule'!D1404,,1)),"")</f>
        <v/>
      </c>
    </row>
    <row r="1405" spans="3:6" x14ac:dyDescent="0.3">
      <c r="C1405" s="1" t="str">
        <f>IF(C1404&lt;'Investment Calculator'!$C$8*'Investment Calculator'!$F$4,'SIP Schedule'!C1404+1,"")</f>
        <v/>
      </c>
      <c r="D1405" s="27" t="str">
        <f>IF(C1405&lt;='Investment Calculator'!$C$8*'Investment Calculator'!$F$4,'Investment Calculator'!$C$6,"")</f>
        <v/>
      </c>
      <c r="E1405" s="27" t="str">
        <f>IFERROR((F1404+D1405)*'Investment Calculator'!$C$7/'Investment Calculator'!$F$4,"")</f>
        <v/>
      </c>
      <c r="F1405" s="27" t="str">
        <f>IFERROR(ABS(FV('Investment Calculator'!$C$7/'Investment Calculator'!$F$4,'SIP Schedule'!C1405,'SIP Schedule'!D1405,,1)),"")</f>
        <v/>
      </c>
    </row>
    <row r="1406" spans="3:6" x14ac:dyDescent="0.3">
      <c r="C1406" s="1" t="str">
        <f>IF(C1405&lt;'Investment Calculator'!$C$8*'Investment Calculator'!$F$4,'SIP Schedule'!C1405+1,"")</f>
        <v/>
      </c>
      <c r="D1406" s="27" t="str">
        <f>IF(C1406&lt;='Investment Calculator'!$C$8*'Investment Calculator'!$F$4,'Investment Calculator'!$C$6,"")</f>
        <v/>
      </c>
      <c r="E1406" s="27" t="str">
        <f>IFERROR((F1405+D1406)*'Investment Calculator'!$C$7/'Investment Calculator'!$F$4,"")</f>
        <v/>
      </c>
      <c r="F1406" s="27" t="str">
        <f>IFERROR(ABS(FV('Investment Calculator'!$C$7/'Investment Calculator'!$F$4,'SIP Schedule'!C1406,'SIP Schedule'!D1406,,1)),"")</f>
        <v/>
      </c>
    </row>
    <row r="1407" spans="3:6" x14ac:dyDescent="0.3">
      <c r="C1407" s="1" t="str">
        <f>IF(C1406&lt;'Investment Calculator'!$C$8*'Investment Calculator'!$F$4,'SIP Schedule'!C1406+1,"")</f>
        <v/>
      </c>
      <c r="D1407" s="27" t="str">
        <f>IF(C1407&lt;='Investment Calculator'!$C$8*'Investment Calculator'!$F$4,'Investment Calculator'!$C$6,"")</f>
        <v/>
      </c>
      <c r="E1407" s="27" t="str">
        <f>IFERROR((F1406+D1407)*'Investment Calculator'!$C$7/'Investment Calculator'!$F$4,"")</f>
        <v/>
      </c>
      <c r="F1407" s="27" t="str">
        <f>IFERROR(ABS(FV('Investment Calculator'!$C$7/'Investment Calculator'!$F$4,'SIP Schedule'!C1407,'SIP Schedule'!D1407,,1)),"")</f>
        <v/>
      </c>
    </row>
    <row r="1408" spans="3:6" x14ac:dyDescent="0.3">
      <c r="C1408" s="1" t="str">
        <f>IF(C1407&lt;'Investment Calculator'!$C$8*'Investment Calculator'!$F$4,'SIP Schedule'!C1407+1,"")</f>
        <v/>
      </c>
      <c r="D1408" s="27" t="str">
        <f>IF(C1408&lt;='Investment Calculator'!$C$8*'Investment Calculator'!$F$4,'Investment Calculator'!$C$6,"")</f>
        <v/>
      </c>
      <c r="E1408" s="27" t="str">
        <f>IFERROR((F1407+D1408)*'Investment Calculator'!$C$7/'Investment Calculator'!$F$4,"")</f>
        <v/>
      </c>
      <c r="F1408" s="27" t="str">
        <f>IFERROR(ABS(FV('Investment Calculator'!$C$7/'Investment Calculator'!$F$4,'SIP Schedule'!C1408,'SIP Schedule'!D1408,,1)),"")</f>
        <v/>
      </c>
    </row>
    <row r="1409" spans="3:6" x14ac:dyDescent="0.3">
      <c r="C1409" s="1" t="str">
        <f>IF(C1408&lt;'Investment Calculator'!$C$8*'Investment Calculator'!$F$4,'SIP Schedule'!C1408+1,"")</f>
        <v/>
      </c>
      <c r="D1409" s="27" t="str">
        <f>IF(C1409&lt;='Investment Calculator'!$C$8*'Investment Calculator'!$F$4,'Investment Calculator'!$C$6,"")</f>
        <v/>
      </c>
      <c r="E1409" s="27" t="str">
        <f>IFERROR((F1408+D1409)*'Investment Calculator'!$C$7/'Investment Calculator'!$F$4,"")</f>
        <v/>
      </c>
      <c r="F1409" s="27" t="str">
        <f>IFERROR(ABS(FV('Investment Calculator'!$C$7/'Investment Calculator'!$F$4,'SIP Schedule'!C1409,'SIP Schedule'!D1409,,1)),"")</f>
        <v/>
      </c>
    </row>
    <row r="1410" spans="3:6" x14ac:dyDescent="0.3">
      <c r="C1410" s="1" t="str">
        <f>IF(C1409&lt;'Investment Calculator'!$C$8*'Investment Calculator'!$F$4,'SIP Schedule'!C1409+1,"")</f>
        <v/>
      </c>
      <c r="D1410" s="27" t="str">
        <f>IF(C1410&lt;='Investment Calculator'!$C$8*'Investment Calculator'!$F$4,'Investment Calculator'!$C$6,"")</f>
        <v/>
      </c>
      <c r="E1410" s="27" t="str">
        <f>IFERROR((F1409+D1410)*'Investment Calculator'!$C$7/'Investment Calculator'!$F$4,"")</f>
        <v/>
      </c>
      <c r="F1410" s="27" t="str">
        <f>IFERROR(ABS(FV('Investment Calculator'!$C$7/'Investment Calculator'!$F$4,'SIP Schedule'!C1410,'SIP Schedule'!D1410,,1)),"")</f>
        <v/>
      </c>
    </row>
    <row r="1411" spans="3:6" x14ac:dyDescent="0.3">
      <c r="C1411" s="1" t="str">
        <f>IF(C1410&lt;'Investment Calculator'!$C$8*'Investment Calculator'!$F$4,'SIP Schedule'!C1410+1,"")</f>
        <v/>
      </c>
      <c r="D1411" s="27" t="str">
        <f>IF(C1411&lt;='Investment Calculator'!$C$8*'Investment Calculator'!$F$4,'Investment Calculator'!$C$6,"")</f>
        <v/>
      </c>
      <c r="E1411" s="27" t="str">
        <f>IFERROR((F1410+D1411)*'Investment Calculator'!$C$7/'Investment Calculator'!$F$4,"")</f>
        <v/>
      </c>
      <c r="F1411" s="27" t="str">
        <f>IFERROR(ABS(FV('Investment Calculator'!$C$7/'Investment Calculator'!$F$4,'SIP Schedule'!C1411,'SIP Schedule'!D1411,,1)),"")</f>
        <v/>
      </c>
    </row>
    <row r="1412" spans="3:6" x14ac:dyDescent="0.3">
      <c r="C1412" s="1" t="str">
        <f>IF(C1411&lt;'Investment Calculator'!$C$8*'Investment Calculator'!$F$4,'SIP Schedule'!C1411+1,"")</f>
        <v/>
      </c>
      <c r="D1412" s="27" t="str">
        <f>IF(C1412&lt;='Investment Calculator'!$C$8*'Investment Calculator'!$F$4,'Investment Calculator'!$C$6,"")</f>
        <v/>
      </c>
      <c r="E1412" s="27" t="str">
        <f>IFERROR((F1411+D1412)*'Investment Calculator'!$C$7/'Investment Calculator'!$F$4,"")</f>
        <v/>
      </c>
      <c r="F1412" s="27" t="str">
        <f>IFERROR(ABS(FV('Investment Calculator'!$C$7/'Investment Calculator'!$F$4,'SIP Schedule'!C1412,'SIP Schedule'!D1412,,1)),"")</f>
        <v/>
      </c>
    </row>
    <row r="1413" spans="3:6" x14ac:dyDescent="0.3">
      <c r="C1413" s="1" t="str">
        <f>IF(C1412&lt;'Investment Calculator'!$C$8*'Investment Calculator'!$F$4,'SIP Schedule'!C1412+1,"")</f>
        <v/>
      </c>
      <c r="D1413" s="27" t="str">
        <f>IF(C1413&lt;='Investment Calculator'!$C$8*'Investment Calculator'!$F$4,'Investment Calculator'!$C$6,"")</f>
        <v/>
      </c>
      <c r="E1413" s="27" t="str">
        <f>IFERROR((F1412+D1413)*'Investment Calculator'!$C$7/'Investment Calculator'!$F$4,"")</f>
        <v/>
      </c>
      <c r="F1413" s="27" t="str">
        <f>IFERROR(ABS(FV('Investment Calculator'!$C$7/'Investment Calculator'!$F$4,'SIP Schedule'!C1413,'SIP Schedule'!D1413,,1)),"")</f>
        <v/>
      </c>
    </row>
    <row r="1414" spans="3:6" x14ac:dyDescent="0.3">
      <c r="C1414" s="1" t="str">
        <f>IF(C1413&lt;'Investment Calculator'!$C$8*'Investment Calculator'!$F$4,'SIP Schedule'!C1413+1,"")</f>
        <v/>
      </c>
      <c r="D1414" s="27" t="str">
        <f>IF(C1414&lt;='Investment Calculator'!$C$8*'Investment Calculator'!$F$4,'Investment Calculator'!$C$6,"")</f>
        <v/>
      </c>
      <c r="E1414" s="27" t="str">
        <f>IFERROR((F1413+D1414)*'Investment Calculator'!$C$7/'Investment Calculator'!$F$4,"")</f>
        <v/>
      </c>
      <c r="F1414" s="27" t="str">
        <f>IFERROR(ABS(FV('Investment Calculator'!$C$7/'Investment Calculator'!$F$4,'SIP Schedule'!C1414,'SIP Schedule'!D1414,,1)),"")</f>
        <v/>
      </c>
    </row>
    <row r="1415" spans="3:6" x14ac:dyDescent="0.3">
      <c r="C1415" s="1" t="str">
        <f>IF(C1414&lt;'Investment Calculator'!$C$8*'Investment Calculator'!$F$4,'SIP Schedule'!C1414+1,"")</f>
        <v/>
      </c>
      <c r="D1415" s="27" t="str">
        <f>IF(C1415&lt;='Investment Calculator'!$C$8*'Investment Calculator'!$F$4,'Investment Calculator'!$C$6,"")</f>
        <v/>
      </c>
      <c r="E1415" s="27" t="str">
        <f>IFERROR((F1414+D1415)*'Investment Calculator'!$C$7/'Investment Calculator'!$F$4,"")</f>
        <v/>
      </c>
      <c r="F1415" s="27" t="str">
        <f>IFERROR(ABS(FV('Investment Calculator'!$C$7/'Investment Calculator'!$F$4,'SIP Schedule'!C1415,'SIP Schedule'!D1415,,1)),"")</f>
        <v/>
      </c>
    </row>
    <row r="1416" spans="3:6" x14ac:dyDescent="0.3">
      <c r="C1416" s="1" t="str">
        <f>IF(C1415&lt;'Investment Calculator'!$C$8*'Investment Calculator'!$F$4,'SIP Schedule'!C1415+1,"")</f>
        <v/>
      </c>
      <c r="D1416" s="27" t="str">
        <f>IF(C1416&lt;='Investment Calculator'!$C$8*'Investment Calculator'!$F$4,'Investment Calculator'!$C$6,"")</f>
        <v/>
      </c>
      <c r="E1416" s="27" t="str">
        <f>IFERROR((F1415+D1416)*'Investment Calculator'!$C$7/'Investment Calculator'!$F$4,"")</f>
        <v/>
      </c>
      <c r="F1416" s="27" t="str">
        <f>IFERROR(ABS(FV('Investment Calculator'!$C$7/'Investment Calculator'!$F$4,'SIP Schedule'!C1416,'SIP Schedule'!D1416,,1)),"")</f>
        <v/>
      </c>
    </row>
    <row r="1417" spans="3:6" x14ac:dyDescent="0.3">
      <c r="C1417" s="1" t="str">
        <f>IF(C1416&lt;'Investment Calculator'!$C$8*'Investment Calculator'!$F$4,'SIP Schedule'!C1416+1,"")</f>
        <v/>
      </c>
      <c r="D1417" s="27" t="str">
        <f>IF(C1417&lt;='Investment Calculator'!$C$8*'Investment Calculator'!$F$4,'Investment Calculator'!$C$6,"")</f>
        <v/>
      </c>
      <c r="E1417" s="27" t="str">
        <f>IFERROR((F1416+D1417)*'Investment Calculator'!$C$7/'Investment Calculator'!$F$4,"")</f>
        <v/>
      </c>
      <c r="F1417" s="27" t="str">
        <f>IFERROR(ABS(FV('Investment Calculator'!$C$7/'Investment Calculator'!$F$4,'SIP Schedule'!C1417,'SIP Schedule'!D1417,,1)),"")</f>
        <v/>
      </c>
    </row>
    <row r="1418" spans="3:6" x14ac:dyDescent="0.3">
      <c r="C1418" s="1" t="str">
        <f>IF(C1417&lt;'Investment Calculator'!$C$8*'Investment Calculator'!$F$4,'SIP Schedule'!C1417+1,"")</f>
        <v/>
      </c>
      <c r="D1418" s="27" t="str">
        <f>IF(C1418&lt;='Investment Calculator'!$C$8*'Investment Calculator'!$F$4,'Investment Calculator'!$C$6,"")</f>
        <v/>
      </c>
      <c r="E1418" s="27" t="str">
        <f>IFERROR((F1417+D1418)*'Investment Calculator'!$C$7/'Investment Calculator'!$F$4,"")</f>
        <v/>
      </c>
      <c r="F1418" s="27" t="str">
        <f>IFERROR(ABS(FV('Investment Calculator'!$C$7/'Investment Calculator'!$F$4,'SIP Schedule'!C1418,'SIP Schedule'!D1418,,1)),"")</f>
        <v/>
      </c>
    </row>
    <row r="1419" spans="3:6" x14ac:dyDescent="0.3">
      <c r="C1419" s="1" t="str">
        <f>IF(C1418&lt;'Investment Calculator'!$C$8*'Investment Calculator'!$F$4,'SIP Schedule'!C1418+1,"")</f>
        <v/>
      </c>
      <c r="D1419" s="27" t="str">
        <f>IF(C1419&lt;='Investment Calculator'!$C$8*'Investment Calculator'!$F$4,'Investment Calculator'!$C$6,"")</f>
        <v/>
      </c>
      <c r="E1419" s="27" t="str">
        <f>IFERROR((F1418+D1419)*'Investment Calculator'!$C$7/'Investment Calculator'!$F$4,"")</f>
        <v/>
      </c>
      <c r="F1419" s="27" t="str">
        <f>IFERROR(ABS(FV('Investment Calculator'!$C$7/'Investment Calculator'!$F$4,'SIP Schedule'!C1419,'SIP Schedule'!D1419,,1)),"")</f>
        <v/>
      </c>
    </row>
    <row r="1420" spans="3:6" x14ac:dyDescent="0.3">
      <c r="C1420" s="1" t="str">
        <f>IF(C1419&lt;'Investment Calculator'!$C$8*'Investment Calculator'!$F$4,'SIP Schedule'!C1419+1,"")</f>
        <v/>
      </c>
      <c r="D1420" s="27" t="str">
        <f>IF(C1420&lt;='Investment Calculator'!$C$8*'Investment Calculator'!$F$4,'Investment Calculator'!$C$6,"")</f>
        <v/>
      </c>
      <c r="E1420" s="27" t="str">
        <f>IFERROR((F1419+D1420)*'Investment Calculator'!$C$7/'Investment Calculator'!$F$4,"")</f>
        <v/>
      </c>
      <c r="F1420" s="27" t="str">
        <f>IFERROR(ABS(FV('Investment Calculator'!$C$7/'Investment Calculator'!$F$4,'SIP Schedule'!C1420,'SIP Schedule'!D1420,,1)),"")</f>
        <v/>
      </c>
    </row>
    <row r="1421" spans="3:6" x14ac:dyDescent="0.3">
      <c r="C1421" s="1" t="str">
        <f>IF(C1420&lt;'Investment Calculator'!$C$8*'Investment Calculator'!$F$4,'SIP Schedule'!C1420+1,"")</f>
        <v/>
      </c>
      <c r="D1421" s="27" t="str">
        <f>IF(C1421&lt;='Investment Calculator'!$C$8*'Investment Calculator'!$F$4,'Investment Calculator'!$C$6,"")</f>
        <v/>
      </c>
      <c r="E1421" s="27" t="str">
        <f>IFERROR((F1420+D1421)*'Investment Calculator'!$C$7/'Investment Calculator'!$F$4,"")</f>
        <v/>
      </c>
      <c r="F1421" s="27" t="str">
        <f>IFERROR(ABS(FV('Investment Calculator'!$C$7/'Investment Calculator'!$F$4,'SIP Schedule'!C1421,'SIP Schedule'!D1421,,1)),"")</f>
        <v/>
      </c>
    </row>
    <row r="1422" spans="3:6" x14ac:dyDescent="0.3">
      <c r="C1422" s="1" t="str">
        <f>IF(C1421&lt;'Investment Calculator'!$C$8*'Investment Calculator'!$F$4,'SIP Schedule'!C1421+1,"")</f>
        <v/>
      </c>
      <c r="D1422" s="27" t="str">
        <f>IF(C1422&lt;='Investment Calculator'!$C$8*'Investment Calculator'!$F$4,'Investment Calculator'!$C$6,"")</f>
        <v/>
      </c>
      <c r="E1422" s="27" t="str">
        <f>IFERROR((F1421+D1422)*'Investment Calculator'!$C$7/'Investment Calculator'!$F$4,"")</f>
        <v/>
      </c>
      <c r="F1422" s="27" t="str">
        <f>IFERROR(ABS(FV('Investment Calculator'!$C$7/'Investment Calculator'!$F$4,'SIP Schedule'!C1422,'SIP Schedule'!D1422,,1)),"")</f>
        <v/>
      </c>
    </row>
    <row r="1423" spans="3:6" x14ac:dyDescent="0.3">
      <c r="C1423" s="1" t="str">
        <f>IF(C1422&lt;'Investment Calculator'!$C$8*'Investment Calculator'!$F$4,'SIP Schedule'!C1422+1,"")</f>
        <v/>
      </c>
      <c r="D1423" s="27" t="str">
        <f>IF(C1423&lt;='Investment Calculator'!$C$8*'Investment Calculator'!$F$4,'Investment Calculator'!$C$6,"")</f>
        <v/>
      </c>
      <c r="E1423" s="27" t="str">
        <f>IFERROR((F1422+D1423)*'Investment Calculator'!$C$7/'Investment Calculator'!$F$4,"")</f>
        <v/>
      </c>
      <c r="F1423" s="27" t="str">
        <f>IFERROR(ABS(FV('Investment Calculator'!$C$7/'Investment Calculator'!$F$4,'SIP Schedule'!C1423,'SIP Schedule'!D1423,,1)),"")</f>
        <v/>
      </c>
    </row>
    <row r="1424" spans="3:6" x14ac:dyDescent="0.3">
      <c r="C1424" s="1" t="str">
        <f>IF(C1423&lt;'Investment Calculator'!$C$8*'Investment Calculator'!$F$4,'SIP Schedule'!C1423+1,"")</f>
        <v/>
      </c>
      <c r="D1424" s="27" t="str">
        <f>IF(C1424&lt;='Investment Calculator'!$C$8*'Investment Calculator'!$F$4,'Investment Calculator'!$C$6,"")</f>
        <v/>
      </c>
      <c r="E1424" s="27" t="str">
        <f>IFERROR((F1423+D1424)*'Investment Calculator'!$C$7/'Investment Calculator'!$F$4,"")</f>
        <v/>
      </c>
      <c r="F1424" s="27" t="str">
        <f>IFERROR(ABS(FV('Investment Calculator'!$C$7/'Investment Calculator'!$F$4,'SIP Schedule'!C1424,'SIP Schedule'!D1424,,1)),"")</f>
        <v/>
      </c>
    </row>
    <row r="1425" spans="3:6" x14ac:dyDescent="0.3">
      <c r="C1425" s="1" t="str">
        <f>IF(C1424&lt;'Investment Calculator'!$C$8*'Investment Calculator'!$F$4,'SIP Schedule'!C1424+1,"")</f>
        <v/>
      </c>
      <c r="D1425" s="27" t="str">
        <f>IF(C1425&lt;='Investment Calculator'!$C$8*'Investment Calculator'!$F$4,'Investment Calculator'!$C$6,"")</f>
        <v/>
      </c>
      <c r="E1425" s="27" t="str">
        <f>IFERROR((F1424+D1425)*'Investment Calculator'!$C$7/'Investment Calculator'!$F$4,"")</f>
        <v/>
      </c>
      <c r="F1425" s="27" t="str">
        <f>IFERROR(ABS(FV('Investment Calculator'!$C$7/'Investment Calculator'!$F$4,'SIP Schedule'!C1425,'SIP Schedule'!D1425,,1)),"")</f>
        <v/>
      </c>
    </row>
    <row r="1426" spans="3:6" x14ac:dyDescent="0.3">
      <c r="C1426" s="1" t="str">
        <f>IF(C1425&lt;'Investment Calculator'!$C$8*'Investment Calculator'!$F$4,'SIP Schedule'!C1425+1,"")</f>
        <v/>
      </c>
      <c r="D1426" s="27" t="str">
        <f>IF(C1426&lt;='Investment Calculator'!$C$8*'Investment Calculator'!$F$4,'Investment Calculator'!$C$6,"")</f>
        <v/>
      </c>
      <c r="E1426" s="27" t="str">
        <f>IFERROR((F1425+D1426)*'Investment Calculator'!$C$7/'Investment Calculator'!$F$4,"")</f>
        <v/>
      </c>
      <c r="F1426" s="27" t="str">
        <f>IFERROR(ABS(FV('Investment Calculator'!$C$7/'Investment Calculator'!$F$4,'SIP Schedule'!C1426,'SIP Schedule'!D1426,,1)),"")</f>
        <v/>
      </c>
    </row>
    <row r="1427" spans="3:6" x14ac:dyDescent="0.3">
      <c r="C1427" s="1" t="str">
        <f>IF(C1426&lt;'Investment Calculator'!$C$8*'Investment Calculator'!$F$4,'SIP Schedule'!C1426+1,"")</f>
        <v/>
      </c>
      <c r="D1427" s="27" t="str">
        <f>IF(C1427&lt;='Investment Calculator'!$C$8*'Investment Calculator'!$F$4,'Investment Calculator'!$C$6,"")</f>
        <v/>
      </c>
      <c r="E1427" s="27" t="str">
        <f>IFERROR((F1426+D1427)*'Investment Calculator'!$C$7/'Investment Calculator'!$F$4,"")</f>
        <v/>
      </c>
      <c r="F1427" s="27" t="str">
        <f>IFERROR(ABS(FV('Investment Calculator'!$C$7/'Investment Calculator'!$F$4,'SIP Schedule'!C1427,'SIP Schedule'!D1427,,1)),"")</f>
        <v/>
      </c>
    </row>
    <row r="1428" spans="3:6" x14ac:dyDescent="0.3">
      <c r="C1428" s="1" t="str">
        <f>IF(C1427&lt;'Investment Calculator'!$C$8*'Investment Calculator'!$F$4,'SIP Schedule'!C1427+1,"")</f>
        <v/>
      </c>
      <c r="D1428" s="27" t="str">
        <f>IF(C1428&lt;='Investment Calculator'!$C$8*'Investment Calculator'!$F$4,'Investment Calculator'!$C$6,"")</f>
        <v/>
      </c>
      <c r="E1428" s="27" t="str">
        <f>IFERROR((F1427+D1428)*'Investment Calculator'!$C$7/'Investment Calculator'!$F$4,"")</f>
        <v/>
      </c>
      <c r="F1428" s="27" t="str">
        <f>IFERROR(ABS(FV('Investment Calculator'!$C$7/'Investment Calculator'!$F$4,'SIP Schedule'!C1428,'SIP Schedule'!D1428,,1)),"")</f>
        <v/>
      </c>
    </row>
    <row r="1429" spans="3:6" x14ac:dyDescent="0.3">
      <c r="C1429" s="1" t="str">
        <f>IF(C1428&lt;'Investment Calculator'!$C$8*'Investment Calculator'!$F$4,'SIP Schedule'!C1428+1,"")</f>
        <v/>
      </c>
      <c r="D1429" s="27" t="str">
        <f>IF(C1429&lt;='Investment Calculator'!$C$8*'Investment Calculator'!$F$4,'Investment Calculator'!$C$6,"")</f>
        <v/>
      </c>
      <c r="E1429" s="27" t="str">
        <f>IFERROR((F1428+D1429)*'Investment Calculator'!$C$7/'Investment Calculator'!$F$4,"")</f>
        <v/>
      </c>
      <c r="F1429" s="27" t="str">
        <f>IFERROR(ABS(FV('Investment Calculator'!$C$7/'Investment Calculator'!$F$4,'SIP Schedule'!C1429,'SIP Schedule'!D1429,,1)),"")</f>
        <v/>
      </c>
    </row>
    <row r="1430" spans="3:6" x14ac:dyDescent="0.3">
      <c r="C1430" s="1" t="str">
        <f>IF(C1429&lt;'Investment Calculator'!$C$8*'Investment Calculator'!$F$4,'SIP Schedule'!C1429+1,"")</f>
        <v/>
      </c>
      <c r="D1430" s="27" t="str">
        <f>IF(C1430&lt;='Investment Calculator'!$C$8*'Investment Calculator'!$F$4,'Investment Calculator'!$C$6,"")</f>
        <v/>
      </c>
      <c r="E1430" s="27" t="str">
        <f>IFERROR((F1429+D1430)*'Investment Calculator'!$C$7/'Investment Calculator'!$F$4,"")</f>
        <v/>
      </c>
      <c r="F1430" s="27" t="str">
        <f>IFERROR(ABS(FV('Investment Calculator'!$C$7/'Investment Calculator'!$F$4,'SIP Schedule'!C1430,'SIP Schedule'!D1430,,1)),"")</f>
        <v/>
      </c>
    </row>
    <row r="1431" spans="3:6" x14ac:dyDescent="0.3">
      <c r="C1431" s="1" t="str">
        <f>IF(C1430&lt;'Investment Calculator'!$C$8*'Investment Calculator'!$F$4,'SIP Schedule'!C1430+1,"")</f>
        <v/>
      </c>
      <c r="D1431" s="27" t="str">
        <f>IF(C1431&lt;='Investment Calculator'!$C$8*'Investment Calculator'!$F$4,'Investment Calculator'!$C$6,"")</f>
        <v/>
      </c>
      <c r="E1431" s="27" t="str">
        <f>IFERROR((F1430+D1431)*'Investment Calculator'!$C$7/'Investment Calculator'!$F$4,"")</f>
        <v/>
      </c>
      <c r="F1431" s="27" t="str">
        <f>IFERROR(ABS(FV('Investment Calculator'!$C$7/'Investment Calculator'!$F$4,'SIP Schedule'!C1431,'SIP Schedule'!D1431,,1)),"")</f>
        <v/>
      </c>
    </row>
    <row r="1432" spans="3:6" x14ac:dyDescent="0.3">
      <c r="C1432" s="1" t="str">
        <f>IF(C1431&lt;'Investment Calculator'!$C$8*'Investment Calculator'!$F$4,'SIP Schedule'!C1431+1,"")</f>
        <v/>
      </c>
      <c r="D1432" s="27" t="str">
        <f>IF(C1432&lt;='Investment Calculator'!$C$8*'Investment Calculator'!$F$4,'Investment Calculator'!$C$6,"")</f>
        <v/>
      </c>
      <c r="E1432" s="27" t="str">
        <f>IFERROR((F1431+D1432)*'Investment Calculator'!$C$7/'Investment Calculator'!$F$4,"")</f>
        <v/>
      </c>
      <c r="F1432" s="27" t="str">
        <f>IFERROR(ABS(FV('Investment Calculator'!$C$7/'Investment Calculator'!$F$4,'SIP Schedule'!C1432,'SIP Schedule'!D1432,,1)),"")</f>
        <v/>
      </c>
    </row>
    <row r="1433" spans="3:6" x14ac:dyDescent="0.3">
      <c r="C1433" s="1" t="str">
        <f>IF(C1432&lt;'Investment Calculator'!$C$8*'Investment Calculator'!$F$4,'SIP Schedule'!C1432+1,"")</f>
        <v/>
      </c>
      <c r="D1433" s="27" t="str">
        <f>IF(C1433&lt;='Investment Calculator'!$C$8*'Investment Calculator'!$F$4,'Investment Calculator'!$C$6,"")</f>
        <v/>
      </c>
      <c r="E1433" s="27" t="str">
        <f>IFERROR((F1432+D1433)*'Investment Calculator'!$C$7/'Investment Calculator'!$F$4,"")</f>
        <v/>
      </c>
      <c r="F1433" s="27" t="str">
        <f>IFERROR(ABS(FV('Investment Calculator'!$C$7/'Investment Calculator'!$F$4,'SIP Schedule'!C1433,'SIP Schedule'!D1433,,1)),"")</f>
        <v/>
      </c>
    </row>
    <row r="1434" spans="3:6" x14ac:dyDescent="0.3">
      <c r="C1434" s="1" t="str">
        <f>IF(C1433&lt;'Investment Calculator'!$C$8*'Investment Calculator'!$F$4,'SIP Schedule'!C1433+1,"")</f>
        <v/>
      </c>
      <c r="D1434" s="27" t="str">
        <f>IF(C1434&lt;='Investment Calculator'!$C$8*'Investment Calculator'!$F$4,'Investment Calculator'!$C$6,"")</f>
        <v/>
      </c>
      <c r="E1434" s="27" t="str">
        <f>IFERROR((F1433+D1434)*'Investment Calculator'!$C$7/'Investment Calculator'!$F$4,"")</f>
        <v/>
      </c>
      <c r="F1434" s="27" t="str">
        <f>IFERROR(ABS(FV('Investment Calculator'!$C$7/'Investment Calculator'!$F$4,'SIP Schedule'!C1434,'SIP Schedule'!D1434,,1)),"")</f>
        <v/>
      </c>
    </row>
    <row r="1435" spans="3:6" x14ac:dyDescent="0.3">
      <c r="C1435" s="1" t="str">
        <f>IF(C1434&lt;'Investment Calculator'!$C$8*'Investment Calculator'!$F$4,'SIP Schedule'!C1434+1,"")</f>
        <v/>
      </c>
      <c r="D1435" s="27" t="str">
        <f>IF(C1435&lt;='Investment Calculator'!$C$8*'Investment Calculator'!$F$4,'Investment Calculator'!$C$6,"")</f>
        <v/>
      </c>
      <c r="E1435" s="27" t="str">
        <f>IFERROR((F1434+D1435)*'Investment Calculator'!$C$7/'Investment Calculator'!$F$4,"")</f>
        <v/>
      </c>
      <c r="F1435" s="27" t="str">
        <f>IFERROR(ABS(FV('Investment Calculator'!$C$7/'Investment Calculator'!$F$4,'SIP Schedule'!C1435,'SIP Schedule'!D1435,,1)),"")</f>
        <v/>
      </c>
    </row>
    <row r="1436" spans="3:6" x14ac:dyDescent="0.3">
      <c r="C1436" s="1" t="str">
        <f>IF(C1435&lt;'Investment Calculator'!$C$8*'Investment Calculator'!$F$4,'SIP Schedule'!C1435+1,"")</f>
        <v/>
      </c>
      <c r="D1436" s="27" t="str">
        <f>IF(C1436&lt;='Investment Calculator'!$C$8*'Investment Calculator'!$F$4,'Investment Calculator'!$C$6,"")</f>
        <v/>
      </c>
      <c r="E1436" s="27" t="str">
        <f>IFERROR((F1435+D1436)*'Investment Calculator'!$C$7/'Investment Calculator'!$F$4,"")</f>
        <v/>
      </c>
      <c r="F1436" s="27" t="str">
        <f>IFERROR(ABS(FV('Investment Calculator'!$C$7/'Investment Calculator'!$F$4,'SIP Schedule'!C1436,'SIP Schedule'!D1436,,1)),"")</f>
        <v/>
      </c>
    </row>
    <row r="1437" spans="3:6" x14ac:dyDescent="0.3">
      <c r="C1437" s="1" t="str">
        <f>IF(C1436&lt;'Investment Calculator'!$C$8*'Investment Calculator'!$F$4,'SIP Schedule'!C1436+1,"")</f>
        <v/>
      </c>
      <c r="D1437" s="27" t="str">
        <f>IF(C1437&lt;='Investment Calculator'!$C$8*'Investment Calculator'!$F$4,'Investment Calculator'!$C$6,"")</f>
        <v/>
      </c>
      <c r="E1437" s="27" t="str">
        <f>IFERROR((F1436+D1437)*'Investment Calculator'!$C$7/'Investment Calculator'!$F$4,"")</f>
        <v/>
      </c>
      <c r="F1437" s="27" t="str">
        <f>IFERROR(ABS(FV('Investment Calculator'!$C$7/'Investment Calculator'!$F$4,'SIP Schedule'!C1437,'SIP Schedule'!D1437,,1)),"")</f>
        <v/>
      </c>
    </row>
    <row r="1438" spans="3:6" x14ac:dyDescent="0.3">
      <c r="C1438" s="1" t="str">
        <f>IF(C1437&lt;'Investment Calculator'!$C$8*'Investment Calculator'!$F$4,'SIP Schedule'!C1437+1,"")</f>
        <v/>
      </c>
      <c r="D1438" s="27" t="str">
        <f>IF(C1438&lt;='Investment Calculator'!$C$8*'Investment Calculator'!$F$4,'Investment Calculator'!$C$6,"")</f>
        <v/>
      </c>
      <c r="E1438" s="27" t="str">
        <f>IFERROR((F1437+D1438)*'Investment Calculator'!$C$7/'Investment Calculator'!$F$4,"")</f>
        <v/>
      </c>
      <c r="F1438" s="27" t="str">
        <f>IFERROR(ABS(FV('Investment Calculator'!$C$7/'Investment Calculator'!$F$4,'SIP Schedule'!C1438,'SIP Schedule'!D1438,,1)),"")</f>
        <v/>
      </c>
    </row>
    <row r="1439" spans="3:6" x14ac:dyDescent="0.3">
      <c r="C1439" s="1" t="str">
        <f>IF(C1438&lt;'Investment Calculator'!$C$8*'Investment Calculator'!$F$4,'SIP Schedule'!C1438+1,"")</f>
        <v/>
      </c>
      <c r="D1439" s="27" t="str">
        <f>IF(C1439&lt;='Investment Calculator'!$C$8*'Investment Calculator'!$F$4,'Investment Calculator'!$C$6,"")</f>
        <v/>
      </c>
      <c r="E1439" s="27" t="str">
        <f>IFERROR((F1438+D1439)*'Investment Calculator'!$C$7/'Investment Calculator'!$F$4,"")</f>
        <v/>
      </c>
      <c r="F1439" s="27" t="str">
        <f>IFERROR(ABS(FV('Investment Calculator'!$C$7/'Investment Calculator'!$F$4,'SIP Schedule'!C1439,'SIP Schedule'!D1439,,1)),"")</f>
        <v/>
      </c>
    </row>
    <row r="1440" spans="3:6" x14ac:dyDescent="0.3">
      <c r="C1440" s="1" t="str">
        <f>IF(C1439&lt;'Investment Calculator'!$C$8*'Investment Calculator'!$F$4,'SIP Schedule'!C1439+1,"")</f>
        <v/>
      </c>
      <c r="D1440" s="27" t="str">
        <f>IF(C1440&lt;='Investment Calculator'!$C$8*'Investment Calculator'!$F$4,'Investment Calculator'!$C$6,"")</f>
        <v/>
      </c>
      <c r="E1440" s="27" t="str">
        <f>IFERROR((F1439+D1440)*'Investment Calculator'!$C$7/'Investment Calculator'!$F$4,"")</f>
        <v/>
      </c>
      <c r="F1440" s="27" t="str">
        <f>IFERROR(ABS(FV('Investment Calculator'!$C$7/'Investment Calculator'!$F$4,'SIP Schedule'!C1440,'SIP Schedule'!D1440,,1)),"")</f>
        <v/>
      </c>
    </row>
    <row r="1441" spans="3:6" x14ac:dyDescent="0.3">
      <c r="C1441" s="1" t="str">
        <f>IF(C1440&lt;'Investment Calculator'!$C$8*'Investment Calculator'!$F$4,'SIP Schedule'!C1440+1,"")</f>
        <v/>
      </c>
      <c r="D1441" s="27" t="str">
        <f>IF(C1441&lt;='Investment Calculator'!$C$8*'Investment Calculator'!$F$4,'Investment Calculator'!$C$6,"")</f>
        <v/>
      </c>
      <c r="E1441" s="27" t="str">
        <f>IFERROR((F1440+D1441)*'Investment Calculator'!$C$7/'Investment Calculator'!$F$4,"")</f>
        <v/>
      </c>
      <c r="F1441" s="27" t="str">
        <f>IFERROR(ABS(FV('Investment Calculator'!$C$7/'Investment Calculator'!$F$4,'SIP Schedule'!C1441,'SIP Schedule'!D1441,,1)),"")</f>
        <v/>
      </c>
    </row>
    <row r="1442" spans="3:6" x14ac:dyDescent="0.3">
      <c r="C1442" s="1" t="str">
        <f>IF(C1441&lt;'Investment Calculator'!$C$8*'Investment Calculator'!$F$4,'SIP Schedule'!C1441+1,"")</f>
        <v/>
      </c>
      <c r="D1442" s="27" t="str">
        <f>IF(C1442&lt;='Investment Calculator'!$C$8*'Investment Calculator'!$F$4,'Investment Calculator'!$C$6,"")</f>
        <v/>
      </c>
      <c r="E1442" s="27" t="str">
        <f>IFERROR((F1441+D1442)*'Investment Calculator'!$C$7/'Investment Calculator'!$F$4,"")</f>
        <v/>
      </c>
      <c r="F1442" s="27" t="str">
        <f>IFERROR(ABS(FV('Investment Calculator'!$C$7/'Investment Calculator'!$F$4,'SIP Schedule'!C1442,'SIP Schedule'!D1442,,1)),"")</f>
        <v/>
      </c>
    </row>
    <row r="1443" spans="3:6" x14ac:dyDescent="0.3">
      <c r="C1443" s="1" t="str">
        <f>IF(C1442&lt;'Investment Calculator'!$C$8*'Investment Calculator'!$F$4,'SIP Schedule'!C1442+1,"")</f>
        <v/>
      </c>
      <c r="D1443" s="27" t="str">
        <f>IF(C1443&lt;='Investment Calculator'!$C$8*'Investment Calculator'!$F$4,'Investment Calculator'!$C$6,"")</f>
        <v/>
      </c>
      <c r="E1443" s="27" t="str">
        <f>IFERROR((F1442+D1443)*'Investment Calculator'!$C$7/'Investment Calculator'!$F$4,"")</f>
        <v/>
      </c>
      <c r="F1443" s="27" t="str">
        <f>IFERROR(ABS(FV('Investment Calculator'!$C$7/'Investment Calculator'!$F$4,'SIP Schedule'!C1443,'SIP Schedule'!D1443,,1)),"")</f>
        <v/>
      </c>
    </row>
    <row r="1444" spans="3:6" x14ac:dyDescent="0.3">
      <c r="C1444" s="1" t="str">
        <f>IF(C1443&lt;'Investment Calculator'!$C$8*'Investment Calculator'!$F$4,'SIP Schedule'!C1443+1,"")</f>
        <v/>
      </c>
      <c r="D1444" s="27" t="str">
        <f>IF(C1444&lt;='Investment Calculator'!$C$8*'Investment Calculator'!$F$4,'Investment Calculator'!$C$6,"")</f>
        <v/>
      </c>
      <c r="E1444" s="27" t="str">
        <f>IFERROR((F1443+D1444)*'Investment Calculator'!$C$7/'Investment Calculator'!$F$4,"")</f>
        <v/>
      </c>
      <c r="F1444" s="27" t="str">
        <f>IFERROR(ABS(FV('Investment Calculator'!$C$7/'Investment Calculator'!$F$4,'SIP Schedule'!C1444,'SIP Schedule'!D1444,,1)),"")</f>
        <v/>
      </c>
    </row>
    <row r="1445" spans="3:6" x14ac:dyDescent="0.3">
      <c r="C1445" s="1" t="str">
        <f>IF(C1444&lt;'Investment Calculator'!$C$8*'Investment Calculator'!$F$4,'SIP Schedule'!C1444+1,"")</f>
        <v/>
      </c>
      <c r="D1445" s="27" t="str">
        <f>IF(C1445&lt;='Investment Calculator'!$C$8*'Investment Calculator'!$F$4,'Investment Calculator'!$C$6,"")</f>
        <v/>
      </c>
      <c r="E1445" s="27" t="str">
        <f>IFERROR((F1444+D1445)*'Investment Calculator'!$C$7/'Investment Calculator'!$F$4,"")</f>
        <v/>
      </c>
      <c r="F1445" s="27" t="str">
        <f>IFERROR(ABS(FV('Investment Calculator'!$C$7/'Investment Calculator'!$F$4,'SIP Schedule'!C1445,'SIP Schedule'!D1445,,1)),"")</f>
        <v/>
      </c>
    </row>
    <row r="1446" spans="3:6" x14ac:dyDescent="0.3">
      <c r="C1446" s="1" t="str">
        <f>IF(C1445&lt;'Investment Calculator'!$C$8*'Investment Calculator'!$F$4,'SIP Schedule'!C1445+1,"")</f>
        <v/>
      </c>
      <c r="D1446" s="27" t="str">
        <f>IF(C1446&lt;='Investment Calculator'!$C$8*'Investment Calculator'!$F$4,'Investment Calculator'!$C$6,"")</f>
        <v/>
      </c>
      <c r="E1446" s="27" t="str">
        <f>IFERROR((F1445+D1446)*'Investment Calculator'!$C$7/'Investment Calculator'!$F$4,"")</f>
        <v/>
      </c>
      <c r="F1446" s="27" t="str">
        <f>IFERROR(ABS(FV('Investment Calculator'!$C$7/'Investment Calculator'!$F$4,'SIP Schedule'!C1446,'SIP Schedule'!D1446,,1)),"")</f>
        <v/>
      </c>
    </row>
    <row r="1447" spans="3:6" x14ac:dyDescent="0.3">
      <c r="C1447" s="1" t="str">
        <f>IF(C1446&lt;'Investment Calculator'!$C$8*'Investment Calculator'!$F$4,'SIP Schedule'!C1446+1,"")</f>
        <v/>
      </c>
      <c r="D1447" s="27" t="str">
        <f>IF(C1447&lt;='Investment Calculator'!$C$8*'Investment Calculator'!$F$4,'Investment Calculator'!$C$6,"")</f>
        <v/>
      </c>
      <c r="E1447" s="27" t="str">
        <f>IFERROR((F1446+D1447)*'Investment Calculator'!$C$7/'Investment Calculator'!$F$4,"")</f>
        <v/>
      </c>
      <c r="F1447" s="27" t="str">
        <f>IFERROR(ABS(FV('Investment Calculator'!$C$7/'Investment Calculator'!$F$4,'SIP Schedule'!C1447,'SIP Schedule'!D1447,,1)),"")</f>
        <v/>
      </c>
    </row>
    <row r="1448" spans="3:6" x14ac:dyDescent="0.3">
      <c r="C1448" s="1" t="str">
        <f>IF(C1447&lt;'Investment Calculator'!$C$8*'Investment Calculator'!$F$4,'SIP Schedule'!C1447+1,"")</f>
        <v/>
      </c>
      <c r="D1448" s="27" t="str">
        <f>IF(C1448&lt;='Investment Calculator'!$C$8*'Investment Calculator'!$F$4,'Investment Calculator'!$C$6,"")</f>
        <v/>
      </c>
      <c r="E1448" s="27" t="str">
        <f>IFERROR((F1447+D1448)*'Investment Calculator'!$C$7/'Investment Calculator'!$F$4,"")</f>
        <v/>
      </c>
      <c r="F1448" s="27" t="str">
        <f>IFERROR(ABS(FV('Investment Calculator'!$C$7/'Investment Calculator'!$F$4,'SIP Schedule'!C1448,'SIP Schedule'!D1448,,1)),"")</f>
        <v/>
      </c>
    </row>
    <row r="1449" spans="3:6" x14ac:dyDescent="0.3">
      <c r="C1449" s="1" t="str">
        <f>IF(C1448&lt;'Investment Calculator'!$C$8*'Investment Calculator'!$F$4,'SIP Schedule'!C1448+1,"")</f>
        <v/>
      </c>
      <c r="D1449" s="27" t="str">
        <f>IF(C1449&lt;='Investment Calculator'!$C$8*'Investment Calculator'!$F$4,'Investment Calculator'!$C$6,"")</f>
        <v/>
      </c>
      <c r="E1449" s="27" t="str">
        <f>IFERROR((F1448+D1449)*'Investment Calculator'!$C$7/'Investment Calculator'!$F$4,"")</f>
        <v/>
      </c>
      <c r="F1449" s="27" t="str">
        <f>IFERROR(ABS(FV('Investment Calculator'!$C$7/'Investment Calculator'!$F$4,'SIP Schedule'!C1449,'SIP Schedule'!D1449,,1)),"")</f>
        <v/>
      </c>
    </row>
    <row r="1450" spans="3:6" x14ac:dyDescent="0.3">
      <c r="C1450" s="1" t="str">
        <f>IF(C1449&lt;'Investment Calculator'!$C$8*'Investment Calculator'!$F$4,'SIP Schedule'!C1449+1,"")</f>
        <v/>
      </c>
      <c r="D1450" s="27" t="str">
        <f>IF(C1450&lt;='Investment Calculator'!$C$8*'Investment Calculator'!$F$4,'Investment Calculator'!$C$6,"")</f>
        <v/>
      </c>
      <c r="E1450" s="27" t="str">
        <f>IFERROR((F1449+D1450)*'Investment Calculator'!$C$7/'Investment Calculator'!$F$4,"")</f>
        <v/>
      </c>
      <c r="F1450" s="27" t="str">
        <f>IFERROR(ABS(FV('Investment Calculator'!$C$7/'Investment Calculator'!$F$4,'SIP Schedule'!C1450,'SIP Schedule'!D1450,,1)),"")</f>
        <v/>
      </c>
    </row>
    <row r="1451" spans="3:6" x14ac:dyDescent="0.3">
      <c r="C1451" s="1" t="str">
        <f>IF(C1450&lt;'Investment Calculator'!$C$8*'Investment Calculator'!$F$4,'SIP Schedule'!C1450+1,"")</f>
        <v/>
      </c>
      <c r="D1451" s="27" t="str">
        <f>IF(C1451&lt;='Investment Calculator'!$C$8*'Investment Calculator'!$F$4,'Investment Calculator'!$C$6,"")</f>
        <v/>
      </c>
      <c r="E1451" s="27" t="str">
        <f>IFERROR((F1450+D1451)*'Investment Calculator'!$C$7/'Investment Calculator'!$F$4,"")</f>
        <v/>
      </c>
      <c r="F1451" s="27" t="str">
        <f>IFERROR(ABS(FV('Investment Calculator'!$C$7/'Investment Calculator'!$F$4,'SIP Schedule'!C1451,'SIP Schedule'!D1451,,1)),"")</f>
        <v/>
      </c>
    </row>
    <row r="1452" spans="3:6" x14ac:dyDescent="0.3">
      <c r="C1452" s="1" t="str">
        <f>IF(C1451&lt;'Investment Calculator'!$C$8*'Investment Calculator'!$F$4,'SIP Schedule'!C1451+1,"")</f>
        <v/>
      </c>
      <c r="D1452" s="27" t="str">
        <f>IF(C1452&lt;='Investment Calculator'!$C$8*'Investment Calculator'!$F$4,'Investment Calculator'!$C$6,"")</f>
        <v/>
      </c>
      <c r="E1452" s="27" t="str">
        <f>IFERROR((F1451+D1452)*'Investment Calculator'!$C$7/'Investment Calculator'!$F$4,"")</f>
        <v/>
      </c>
      <c r="F1452" s="27" t="str">
        <f>IFERROR(ABS(FV('Investment Calculator'!$C$7/'Investment Calculator'!$F$4,'SIP Schedule'!C1452,'SIP Schedule'!D1452,,1)),"")</f>
        <v/>
      </c>
    </row>
    <row r="1453" spans="3:6" x14ac:dyDescent="0.3">
      <c r="C1453" s="1" t="str">
        <f>IF(C1452&lt;'Investment Calculator'!$C$8*'Investment Calculator'!$F$4,'SIP Schedule'!C1452+1,"")</f>
        <v/>
      </c>
      <c r="D1453" s="27" t="str">
        <f>IF(C1453&lt;='Investment Calculator'!$C$8*'Investment Calculator'!$F$4,'Investment Calculator'!$C$6,"")</f>
        <v/>
      </c>
      <c r="E1453" s="27" t="str">
        <f>IFERROR((F1452+D1453)*'Investment Calculator'!$C$7/'Investment Calculator'!$F$4,"")</f>
        <v/>
      </c>
      <c r="F1453" s="27" t="str">
        <f>IFERROR(ABS(FV('Investment Calculator'!$C$7/'Investment Calculator'!$F$4,'SIP Schedule'!C1453,'SIP Schedule'!D1453,,1)),"")</f>
        <v/>
      </c>
    </row>
    <row r="1454" spans="3:6" x14ac:dyDescent="0.3">
      <c r="C1454" s="1" t="str">
        <f>IF(C1453&lt;'Investment Calculator'!$C$8*'Investment Calculator'!$F$4,'SIP Schedule'!C1453+1,"")</f>
        <v/>
      </c>
      <c r="D1454" s="27" t="str">
        <f>IF(C1454&lt;='Investment Calculator'!$C$8*'Investment Calculator'!$F$4,'Investment Calculator'!$C$6,"")</f>
        <v/>
      </c>
      <c r="E1454" s="27" t="str">
        <f>IFERROR((F1453+D1454)*'Investment Calculator'!$C$7/'Investment Calculator'!$F$4,"")</f>
        <v/>
      </c>
      <c r="F1454" s="27" t="str">
        <f>IFERROR(ABS(FV('Investment Calculator'!$C$7/'Investment Calculator'!$F$4,'SIP Schedule'!C1454,'SIP Schedule'!D1454,,1)),"")</f>
        <v/>
      </c>
    </row>
    <row r="1455" spans="3:6" x14ac:dyDescent="0.3">
      <c r="C1455" s="1" t="str">
        <f>IF(C1454&lt;'Investment Calculator'!$C$8*'Investment Calculator'!$F$4,'SIP Schedule'!C1454+1,"")</f>
        <v/>
      </c>
      <c r="D1455" s="27" t="str">
        <f>IF(C1455&lt;='Investment Calculator'!$C$8*'Investment Calculator'!$F$4,'Investment Calculator'!$C$6,"")</f>
        <v/>
      </c>
      <c r="E1455" s="27" t="str">
        <f>IFERROR((F1454+D1455)*'Investment Calculator'!$C$7/'Investment Calculator'!$F$4,"")</f>
        <v/>
      </c>
      <c r="F1455" s="27" t="str">
        <f>IFERROR(ABS(FV('Investment Calculator'!$C$7/'Investment Calculator'!$F$4,'SIP Schedule'!C1455,'SIP Schedule'!D1455,,1)),"")</f>
        <v/>
      </c>
    </row>
    <row r="1456" spans="3:6" x14ac:dyDescent="0.3">
      <c r="C1456" s="1" t="str">
        <f>IF(C1455&lt;'Investment Calculator'!$C$8*'Investment Calculator'!$F$4,'SIP Schedule'!C1455+1,"")</f>
        <v/>
      </c>
      <c r="D1456" s="27" t="str">
        <f>IF(C1456&lt;='Investment Calculator'!$C$8*'Investment Calculator'!$F$4,'Investment Calculator'!$C$6,"")</f>
        <v/>
      </c>
      <c r="E1456" s="27" t="str">
        <f>IFERROR((F1455+D1456)*'Investment Calculator'!$C$7/'Investment Calculator'!$F$4,"")</f>
        <v/>
      </c>
      <c r="F1456" s="27" t="str">
        <f>IFERROR(ABS(FV('Investment Calculator'!$C$7/'Investment Calculator'!$F$4,'SIP Schedule'!C1456,'SIP Schedule'!D1456,,1)),"")</f>
        <v/>
      </c>
    </row>
    <row r="1457" spans="3:6" x14ac:dyDescent="0.3">
      <c r="C1457" s="1" t="str">
        <f>IF(C1456&lt;'Investment Calculator'!$C$8*'Investment Calculator'!$F$4,'SIP Schedule'!C1456+1,"")</f>
        <v/>
      </c>
      <c r="D1457" s="27" t="str">
        <f>IF(C1457&lt;='Investment Calculator'!$C$8*'Investment Calculator'!$F$4,'Investment Calculator'!$C$6,"")</f>
        <v/>
      </c>
      <c r="E1457" s="27" t="str">
        <f>IFERROR((F1456+D1457)*'Investment Calculator'!$C$7/'Investment Calculator'!$F$4,"")</f>
        <v/>
      </c>
      <c r="F1457" s="27" t="str">
        <f>IFERROR(ABS(FV('Investment Calculator'!$C$7/'Investment Calculator'!$F$4,'SIP Schedule'!C1457,'SIP Schedule'!D1457,,1)),"")</f>
        <v/>
      </c>
    </row>
    <row r="1458" spans="3:6" x14ac:dyDescent="0.3">
      <c r="C1458" s="1" t="str">
        <f>IF(C1457&lt;'Investment Calculator'!$C$8*'Investment Calculator'!$F$4,'SIP Schedule'!C1457+1,"")</f>
        <v/>
      </c>
      <c r="D1458" s="27" t="str">
        <f>IF(C1458&lt;='Investment Calculator'!$C$8*'Investment Calculator'!$F$4,'Investment Calculator'!$C$6,"")</f>
        <v/>
      </c>
      <c r="E1458" s="27" t="str">
        <f>IFERROR((F1457+D1458)*'Investment Calculator'!$C$7/'Investment Calculator'!$F$4,"")</f>
        <v/>
      </c>
      <c r="F1458" s="27" t="str">
        <f>IFERROR(ABS(FV('Investment Calculator'!$C$7/'Investment Calculator'!$F$4,'SIP Schedule'!C1458,'SIP Schedule'!D1458,,1)),"")</f>
        <v/>
      </c>
    </row>
    <row r="1459" spans="3:6" x14ac:dyDescent="0.3">
      <c r="C1459" s="1" t="str">
        <f>IF(C1458&lt;'Investment Calculator'!$C$8*'Investment Calculator'!$F$4,'SIP Schedule'!C1458+1,"")</f>
        <v/>
      </c>
      <c r="D1459" s="27" t="str">
        <f>IF(C1459&lt;='Investment Calculator'!$C$8*'Investment Calculator'!$F$4,'Investment Calculator'!$C$6,"")</f>
        <v/>
      </c>
      <c r="E1459" s="27" t="str">
        <f>IFERROR((F1458+D1459)*'Investment Calculator'!$C$7/'Investment Calculator'!$F$4,"")</f>
        <v/>
      </c>
      <c r="F1459" s="27" t="str">
        <f>IFERROR(ABS(FV('Investment Calculator'!$C$7/'Investment Calculator'!$F$4,'SIP Schedule'!C1459,'SIP Schedule'!D1459,,1)),"")</f>
        <v/>
      </c>
    </row>
    <row r="1460" spans="3:6" x14ac:dyDescent="0.3">
      <c r="C1460" s="1" t="str">
        <f>IF(C1459&lt;'Investment Calculator'!$C$8*'Investment Calculator'!$F$4,'SIP Schedule'!C1459+1,"")</f>
        <v/>
      </c>
      <c r="D1460" s="27" t="str">
        <f>IF(C1460&lt;='Investment Calculator'!$C$8*'Investment Calculator'!$F$4,'Investment Calculator'!$C$6,"")</f>
        <v/>
      </c>
      <c r="E1460" s="27" t="str">
        <f>IFERROR((F1459+D1460)*'Investment Calculator'!$C$7/'Investment Calculator'!$F$4,"")</f>
        <v/>
      </c>
      <c r="F1460" s="27" t="str">
        <f>IFERROR(ABS(FV('Investment Calculator'!$C$7/'Investment Calculator'!$F$4,'SIP Schedule'!C1460,'SIP Schedule'!D1460,,1)),"")</f>
        <v/>
      </c>
    </row>
    <row r="1461" spans="3:6" x14ac:dyDescent="0.3">
      <c r="C1461" s="1" t="str">
        <f>IF(C1460&lt;'Investment Calculator'!$C$8*'Investment Calculator'!$F$4,'SIP Schedule'!C1460+1,"")</f>
        <v/>
      </c>
      <c r="D1461" s="27" t="str">
        <f>IF(C1461&lt;='Investment Calculator'!$C$8*'Investment Calculator'!$F$4,'Investment Calculator'!$C$6,"")</f>
        <v/>
      </c>
      <c r="E1461" s="27" t="str">
        <f>IFERROR((F1460+D1461)*'Investment Calculator'!$C$7/'Investment Calculator'!$F$4,"")</f>
        <v/>
      </c>
      <c r="F1461" s="27" t="str">
        <f>IFERROR(ABS(FV('Investment Calculator'!$C$7/'Investment Calculator'!$F$4,'SIP Schedule'!C1461,'SIP Schedule'!D1461,,1)),"")</f>
        <v/>
      </c>
    </row>
    <row r="1462" spans="3:6" x14ac:dyDescent="0.3">
      <c r="C1462" s="1" t="str">
        <f>IF(C1461&lt;'Investment Calculator'!$C$8*'Investment Calculator'!$F$4,'SIP Schedule'!C1461+1,"")</f>
        <v/>
      </c>
      <c r="D1462" s="27" t="str">
        <f>IF(C1462&lt;='Investment Calculator'!$C$8*'Investment Calculator'!$F$4,'Investment Calculator'!$C$6,"")</f>
        <v/>
      </c>
      <c r="E1462" s="27" t="str">
        <f>IFERROR((F1461+D1462)*'Investment Calculator'!$C$7/'Investment Calculator'!$F$4,"")</f>
        <v/>
      </c>
      <c r="F1462" s="27" t="str">
        <f>IFERROR(ABS(FV('Investment Calculator'!$C$7/'Investment Calculator'!$F$4,'SIP Schedule'!C1462,'SIP Schedule'!D1462,,1)),"")</f>
        <v/>
      </c>
    </row>
    <row r="1463" spans="3:6" x14ac:dyDescent="0.3">
      <c r="C1463" s="1" t="str">
        <f>IF(C1462&lt;'Investment Calculator'!$C$8*'Investment Calculator'!$F$4,'SIP Schedule'!C1462+1,"")</f>
        <v/>
      </c>
      <c r="D1463" s="27" t="str">
        <f>IF(C1463&lt;='Investment Calculator'!$C$8*'Investment Calculator'!$F$4,'Investment Calculator'!$C$6,"")</f>
        <v/>
      </c>
      <c r="E1463" s="27" t="str">
        <f>IFERROR((F1462+D1463)*'Investment Calculator'!$C$7/'Investment Calculator'!$F$4,"")</f>
        <v/>
      </c>
      <c r="F1463" s="27" t="str">
        <f>IFERROR(ABS(FV('Investment Calculator'!$C$7/'Investment Calculator'!$F$4,'SIP Schedule'!C1463,'SIP Schedule'!D1463,,1)),"")</f>
        <v/>
      </c>
    </row>
    <row r="1464" spans="3:6" x14ac:dyDescent="0.3">
      <c r="C1464" s="1" t="str">
        <f>IF(C1463&lt;'Investment Calculator'!$C$8*'Investment Calculator'!$F$4,'SIP Schedule'!C1463+1,"")</f>
        <v/>
      </c>
      <c r="D1464" s="27" t="str">
        <f>IF(C1464&lt;='Investment Calculator'!$C$8*'Investment Calculator'!$F$4,'Investment Calculator'!$C$6,"")</f>
        <v/>
      </c>
      <c r="E1464" s="27" t="str">
        <f>IFERROR((F1463+D1464)*'Investment Calculator'!$C$7/'Investment Calculator'!$F$4,"")</f>
        <v/>
      </c>
      <c r="F1464" s="27" t="str">
        <f>IFERROR(ABS(FV('Investment Calculator'!$C$7/'Investment Calculator'!$F$4,'SIP Schedule'!C1464,'SIP Schedule'!D1464,,1)),"")</f>
        <v/>
      </c>
    </row>
    <row r="1465" spans="3:6" x14ac:dyDescent="0.3">
      <c r="C1465" s="1" t="str">
        <f>IF(C1464&lt;'Investment Calculator'!$C$8*'Investment Calculator'!$F$4,'SIP Schedule'!C1464+1,"")</f>
        <v/>
      </c>
      <c r="D1465" s="27" t="str">
        <f>IF(C1465&lt;='Investment Calculator'!$C$8*'Investment Calculator'!$F$4,'Investment Calculator'!$C$6,"")</f>
        <v/>
      </c>
      <c r="E1465" s="27" t="str">
        <f>IFERROR((F1464+D1465)*'Investment Calculator'!$C$7/'Investment Calculator'!$F$4,"")</f>
        <v/>
      </c>
      <c r="F1465" s="27" t="str">
        <f>IFERROR(ABS(FV('Investment Calculator'!$C$7/'Investment Calculator'!$F$4,'SIP Schedule'!C1465,'SIP Schedule'!D1465,,1)),"")</f>
        <v/>
      </c>
    </row>
    <row r="1466" spans="3:6" x14ac:dyDescent="0.3">
      <c r="C1466" s="1" t="str">
        <f>IF(C1465&lt;'Investment Calculator'!$C$8*'Investment Calculator'!$F$4,'SIP Schedule'!C1465+1,"")</f>
        <v/>
      </c>
      <c r="D1466" s="27" t="str">
        <f>IF(C1466&lt;='Investment Calculator'!$C$8*'Investment Calculator'!$F$4,'Investment Calculator'!$C$6,"")</f>
        <v/>
      </c>
      <c r="E1466" s="27" t="str">
        <f>IFERROR((F1465+D1466)*'Investment Calculator'!$C$7/'Investment Calculator'!$F$4,"")</f>
        <v/>
      </c>
      <c r="F1466" s="27" t="str">
        <f>IFERROR(ABS(FV('Investment Calculator'!$C$7/'Investment Calculator'!$F$4,'SIP Schedule'!C1466,'SIP Schedule'!D1466,,1)),"")</f>
        <v/>
      </c>
    </row>
    <row r="1467" spans="3:6" x14ac:dyDescent="0.3">
      <c r="C1467" s="1" t="str">
        <f>IF(C1466&lt;'Investment Calculator'!$C$8*'Investment Calculator'!$F$4,'SIP Schedule'!C1466+1,"")</f>
        <v/>
      </c>
      <c r="D1467" s="27" t="str">
        <f>IF(C1467&lt;='Investment Calculator'!$C$8*'Investment Calculator'!$F$4,'Investment Calculator'!$C$6,"")</f>
        <v/>
      </c>
      <c r="E1467" s="27" t="str">
        <f>IFERROR((F1466+D1467)*'Investment Calculator'!$C$7/'Investment Calculator'!$F$4,"")</f>
        <v/>
      </c>
      <c r="F1467" s="27" t="str">
        <f>IFERROR(ABS(FV('Investment Calculator'!$C$7/'Investment Calculator'!$F$4,'SIP Schedule'!C1467,'SIP Schedule'!D1467,,1)),"")</f>
        <v/>
      </c>
    </row>
    <row r="1468" spans="3:6" x14ac:dyDescent="0.3">
      <c r="C1468" s="1" t="str">
        <f>IF(C1467&lt;'Investment Calculator'!$C$8*'Investment Calculator'!$F$4,'SIP Schedule'!C1467+1,"")</f>
        <v/>
      </c>
      <c r="D1468" s="27" t="str">
        <f>IF(C1468&lt;='Investment Calculator'!$C$8*'Investment Calculator'!$F$4,'Investment Calculator'!$C$6,"")</f>
        <v/>
      </c>
      <c r="E1468" s="27" t="str">
        <f>IFERROR((F1467+D1468)*'Investment Calculator'!$C$7/'Investment Calculator'!$F$4,"")</f>
        <v/>
      </c>
      <c r="F1468" s="27" t="str">
        <f>IFERROR(ABS(FV('Investment Calculator'!$C$7/'Investment Calculator'!$F$4,'SIP Schedule'!C1468,'SIP Schedule'!D1468,,1)),"")</f>
        <v/>
      </c>
    </row>
    <row r="1469" spans="3:6" x14ac:dyDescent="0.3">
      <c r="C1469" s="1" t="str">
        <f>IF(C1468&lt;'Investment Calculator'!$C$8*'Investment Calculator'!$F$4,'SIP Schedule'!C1468+1,"")</f>
        <v/>
      </c>
      <c r="D1469" s="27" t="str">
        <f>IF(C1469&lt;='Investment Calculator'!$C$8*'Investment Calculator'!$F$4,'Investment Calculator'!$C$6,"")</f>
        <v/>
      </c>
      <c r="E1469" s="27" t="str">
        <f>IFERROR((F1468+D1469)*'Investment Calculator'!$C$7/'Investment Calculator'!$F$4,"")</f>
        <v/>
      </c>
      <c r="F1469" s="27" t="str">
        <f>IFERROR(ABS(FV('Investment Calculator'!$C$7/'Investment Calculator'!$F$4,'SIP Schedule'!C1469,'SIP Schedule'!D1469,,1)),"")</f>
        <v/>
      </c>
    </row>
    <row r="1470" spans="3:6" x14ac:dyDescent="0.3">
      <c r="C1470" s="1" t="str">
        <f>IF(C1469&lt;'Investment Calculator'!$C$8*'Investment Calculator'!$F$4,'SIP Schedule'!C1469+1,"")</f>
        <v/>
      </c>
      <c r="D1470" s="27" t="str">
        <f>IF(C1470&lt;='Investment Calculator'!$C$8*'Investment Calculator'!$F$4,'Investment Calculator'!$C$6,"")</f>
        <v/>
      </c>
      <c r="E1470" s="27" t="str">
        <f>IFERROR((F1469+D1470)*'Investment Calculator'!$C$7/'Investment Calculator'!$F$4,"")</f>
        <v/>
      </c>
      <c r="F1470" s="27" t="str">
        <f>IFERROR(ABS(FV('Investment Calculator'!$C$7/'Investment Calculator'!$F$4,'SIP Schedule'!C1470,'SIP Schedule'!D1470,,1)),"")</f>
        <v/>
      </c>
    </row>
    <row r="1471" spans="3:6" x14ac:dyDescent="0.3">
      <c r="C1471" s="1" t="str">
        <f>IF(C1470&lt;'Investment Calculator'!$C$8*'Investment Calculator'!$F$4,'SIP Schedule'!C1470+1,"")</f>
        <v/>
      </c>
      <c r="D1471" s="27" t="str">
        <f>IF(C1471&lt;='Investment Calculator'!$C$8*'Investment Calculator'!$F$4,'Investment Calculator'!$C$6,"")</f>
        <v/>
      </c>
      <c r="E1471" s="27" t="str">
        <f>IFERROR((F1470+D1471)*'Investment Calculator'!$C$7/'Investment Calculator'!$F$4,"")</f>
        <v/>
      </c>
      <c r="F1471" s="27" t="str">
        <f>IFERROR(ABS(FV('Investment Calculator'!$C$7/'Investment Calculator'!$F$4,'SIP Schedule'!C1471,'SIP Schedule'!D1471,,1)),"")</f>
        <v/>
      </c>
    </row>
    <row r="1472" spans="3:6" x14ac:dyDescent="0.3">
      <c r="C1472" s="1" t="str">
        <f>IF(C1471&lt;'Investment Calculator'!$C$8*'Investment Calculator'!$F$4,'SIP Schedule'!C1471+1,"")</f>
        <v/>
      </c>
      <c r="D1472" s="27" t="str">
        <f>IF(C1472&lt;='Investment Calculator'!$C$8*'Investment Calculator'!$F$4,'Investment Calculator'!$C$6,"")</f>
        <v/>
      </c>
      <c r="E1472" s="27" t="str">
        <f>IFERROR((F1471+D1472)*'Investment Calculator'!$C$7/'Investment Calculator'!$F$4,"")</f>
        <v/>
      </c>
      <c r="F1472" s="27" t="str">
        <f>IFERROR(ABS(FV('Investment Calculator'!$C$7/'Investment Calculator'!$F$4,'SIP Schedule'!C1472,'SIP Schedule'!D1472,,1)),"")</f>
        <v/>
      </c>
    </row>
    <row r="1473" spans="3:6" x14ac:dyDescent="0.3">
      <c r="C1473" s="1" t="str">
        <f>IF(C1472&lt;'Investment Calculator'!$C$8*'Investment Calculator'!$F$4,'SIP Schedule'!C1472+1,"")</f>
        <v/>
      </c>
      <c r="D1473" s="27" t="str">
        <f>IF(C1473&lt;='Investment Calculator'!$C$8*'Investment Calculator'!$F$4,'Investment Calculator'!$C$6,"")</f>
        <v/>
      </c>
      <c r="E1473" s="27" t="str">
        <f>IFERROR((F1472+D1473)*'Investment Calculator'!$C$7/'Investment Calculator'!$F$4,"")</f>
        <v/>
      </c>
      <c r="F1473" s="27" t="str">
        <f>IFERROR(ABS(FV('Investment Calculator'!$C$7/'Investment Calculator'!$F$4,'SIP Schedule'!C1473,'SIP Schedule'!D1473,,1)),"")</f>
        <v/>
      </c>
    </row>
    <row r="1474" spans="3:6" x14ac:dyDescent="0.3">
      <c r="C1474" s="1" t="str">
        <f>IF(C1473&lt;'Investment Calculator'!$C$8*'Investment Calculator'!$F$4,'SIP Schedule'!C1473+1,"")</f>
        <v/>
      </c>
      <c r="D1474" s="27" t="str">
        <f>IF(C1474&lt;='Investment Calculator'!$C$8*'Investment Calculator'!$F$4,'Investment Calculator'!$C$6,"")</f>
        <v/>
      </c>
      <c r="E1474" s="27" t="str">
        <f>IFERROR((F1473+D1474)*'Investment Calculator'!$C$7/'Investment Calculator'!$F$4,"")</f>
        <v/>
      </c>
      <c r="F1474" s="27" t="str">
        <f>IFERROR(ABS(FV('Investment Calculator'!$C$7/'Investment Calculator'!$F$4,'SIP Schedule'!C1474,'SIP Schedule'!D1474,,1)),"")</f>
        <v/>
      </c>
    </row>
    <row r="1475" spans="3:6" x14ac:dyDescent="0.3">
      <c r="C1475" s="1" t="str">
        <f>IF(C1474&lt;'Investment Calculator'!$C$8*'Investment Calculator'!$F$4,'SIP Schedule'!C1474+1,"")</f>
        <v/>
      </c>
      <c r="D1475" s="27" t="str">
        <f>IF(C1475&lt;='Investment Calculator'!$C$8*'Investment Calculator'!$F$4,'Investment Calculator'!$C$6,"")</f>
        <v/>
      </c>
      <c r="E1475" s="27" t="str">
        <f>IFERROR((F1474+D1475)*'Investment Calculator'!$C$7/'Investment Calculator'!$F$4,"")</f>
        <v/>
      </c>
      <c r="F1475" s="27" t="str">
        <f>IFERROR(ABS(FV('Investment Calculator'!$C$7/'Investment Calculator'!$F$4,'SIP Schedule'!C1475,'SIP Schedule'!D1475,,1)),"")</f>
        <v/>
      </c>
    </row>
    <row r="1476" spans="3:6" x14ac:dyDescent="0.3">
      <c r="C1476" s="1" t="str">
        <f>IF(C1475&lt;'Investment Calculator'!$C$8*'Investment Calculator'!$F$4,'SIP Schedule'!C1475+1,"")</f>
        <v/>
      </c>
      <c r="D1476" s="27" t="str">
        <f>IF(C1476&lt;='Investment Calculator'!$C$8*'Investment Calculator'!$F$4,'Investment Calculator'!$C$6,"")</f>
        <v/>
      </c>
      <c r="E1476" s="27" t="str">
        <f>IFERROR((F1475+D1476)*'Investment Calculator'!$C$7/'Investment Calculator'!$F$4,"")</f>
        <v/>
      </c>
      <c r="F1476" s="27" t="str">
        <f>IFERROR(ABS(FV('Investment Calculator'!$C$7/'Investment Calculator'!$F$4,'SIP Schedule'!C1476,'SIP Schedule'!D1476,,1)),"")</f>
        <v/>
      </c>
    </row>
    <row r="1477" spans="3:6" x14ac:dyDescent="0.3">
      <c r="C1477" s="1" t="str">
        <f>IF(C1476&lt;'Investment Calculator'!$C$8*'Investment Calculator'!$F$4,'SIP Schedule'!C1476+1,"")</f>
        <v/>
      </c>
      <c r="D1477" s="27" t="str">
        <f>IF(C1477&lt;='Investment Calculator'!$C$8*'Investment Calculator'!$F$4,'Investment Calculator'!$C$6,"")</f>
        <v/>
      </c>
      <c r="E1477" s="27" t="str">
        <f>IFERROR((F1476+D1477)*'Investment Calculator'!$C$7/'Investment Calculator'!$F$4,"")</f>
        <v/>
      </c>
      <c r="F1477" s="27" t="str">
        <f>IFERROR(ABS(FV('Investment Calculator'!$C$7/'Investment Calculator'!$F$4,'SIP Schedule'!C1477,'SIP Schedule'!D1477,,1)),"")</f>
        <v/>
      </c>
    </row>
    <row r="1478" spans="3:6" x14ac:dyDescent="0.3">
      <c r="C1478" s="1" t="str">
        <f>IF(C1477&lt;'Investment Calculator'!$C$8*'Investment Calculator'!$F$4,'SIP Schedule'!C1477+1,"")</f>
        <v/>
      </c>
      <c r="D1478" s="27" t="str">
        <f>IF(C1478&lt;='Investment Calculator'!$C$8*'Investment Calculator'!$F$4,'Investment Calculator'!$C$6,"")</f>
        <v/>
      </c>
      <c r="E1478" s="27" t="str">
        <f>IFERROR((F1477+D1478)*'Investment Calculator'!$C$7/'Investment Calculator'!$F$4,"")</f>
        <v/>
      </c>
      <c r="F1478" s="27" t="str">
        <f>IFERROR(ABS(FV('Investment Calculator'!$C$7/'Investment Calculator'!$F$4,'SIP Schedule'!C1478,'SIP Schedule'!D1478,,1)),"")</f>
        <v/>
      </c>
    </row>
    <row r="1479" spans="3:6" x14ac:dyDescent="0.3">
      <c r="C1479" s="1" t="str">
        <f>IF(C1478&lt;'Investment Calculator'!$C$8*'Investment Calculator'!$F$4,'SIP Schedule'!C1478+1,"")</f>
        <v/>
      </c>
      <c r="D1479" s="27" t="str">
        <f>IF(C1479&lt;='Investment Calculator'!$C$8*'Investment Calculator'!$F$4,'Investment Calculator'!$C$6,"")</f>
        <v/>
      </c>
      <c r="E1479" s="27" t="str">
        <f>IFERROR((F1478+D1479)*'Investment Calculator'!$C$7/'Investment Calculator'!$F$4,"")</f>
        <v/>
      </c>
      <c r="F1479" s="27" t="str">
        <f>IFERROR(ABS(FV('Investment Calculator'!$C$7/'Investment Calculator'!$F$4,'SIP Schedule'!C1479,'SIP Schedule'!D1479,,1)),"")</f>
        <v/>
      </c>
    </row>
    <row r="1480" spans="3:6" x14ac:dyDescent="0.3">
      <c r="C1480" s="1" t="str">
        <f>IF(C1479&lt;'Investment Calculator'!$C$8*'Investment Calculator'!$F$4,'SIP Schedule'!C1479+1,"")</f>
        <v/>
      </c>
      <c r="D1480" s="27" t="str">
        <f>IF(C1480&lt;='Investment Calculator'!$C$8*'Investment Calculator'!$F$4,'Investment Calculator'!$C$6,"")</f>
        <v/>
      </c>
      <c r="E1480" s="27" t="str">
        <f>IFERROR((F1479+D1480)*'Investment Calculator'!$C$7/'Investment Calculator'!$F$4,"")</f>
        <v/>
      </c>
      <c r="F1480" s="27" t="str">
        <f>IFERROR(ABS(FV('Investment Calculator'!$C$7/'Investment Calculator'!$F$4,'SIP Schedule'!C1480,'SIP Schedule'!D1480,,1)),"")</f>
        <v/>
      </c>
    </row>
    <row r="1481" spans="3:6" x14ac:dyDescent="0.3">
      <c r="C1481" s="1" t="str">
        <f>IF(C1480&lt;'Investment Calculator'!$C$8*'Investment Calculator'!$F$4,'SIP Schedule'!C1480+1,"")</f>
        <v/>
      </c>
      <c r="D1481" s="27" t="str">
        <f>IF(C1481&lt;='Investment Calculator'!$C$8*'Investment Calculator'!$F$4,'Investment Calculator'!$C$6,"")</f>
        <v/>
      </c>
      <c r="E1481" s="27" t="str">
        <f>IFERROR((F1480+D1481)*'Investment Calculator'!$C$7/'Investment Calculator'!$F$4,"")</f>
        <v/>
      </c>
      <c r="F1481" s="27" t="str">
        <f>IFERROR(ABS(FV('Investment Calculator'!$C$7/'Investment Calculator'!$F$4,'SIP Schedule'!C1481,'SIP Schedule'!D1481,,1)),"")</f>
        <v/>
      </c>
    </row>
    <row r="1482" spans="3:6" x14ac:dyDescent="0.3">
      <c r="C1482" s="1" t="str">
        <f>IF(C1481&lt;'Investment Calculator'!$C$8*'Investment Calculator'!$F$4,'SIP Schedule'!C1481+1,"")</f>
        <v/>
      </c>
      <c r="D1482" s="27" t="str">
        <f>IF(C1482&lt;='Investment Calculator'!$C$8*'Investment Calculator'!$F$4,'Investment Calculator'!$C$6,"")</f>
        <v/>
      </c>
      <c r="E1482" s="27" t="str">
        <f>IFERROR((F1481+D1482)*'Investment Calculator'!$C$7/'Investment Calculator'!$F$4,"")</f>
        <v/>
      </c>
      <c r="F1482" s="27" t="str">
        <f>IFERROR(ABS(FV('Investment Calculator'!$C$7/'Investment Calculator'!$F$4,'SIP Schedule'!C1482,'SIP Schedule'!D1482,,1)),"")</f>
        <v/>
      </c>
    </row>
    <row r="1483" spans="3:6" x14ac:dyDescent="0.3">
      <c r="C1483" s="1" t="str">
        <f>IF(C1482&lt;'Investment Calculator'!$C$8*'Investment Calculator'!$F$4,'SIP Schedule'!C1482+1,"")</f>
        <v/>
      </c>
      <c r="D1483" s="27" t="str">
        <f>IF(C1483&lt;='Investment Calculator'!$C$8*'Investment Calculator'!$F$4,'Investment Calculator'!$C$6,"")</f>
        <v/>
      </c>
      <c r="E1483" s="27" t="str">
        <f>IFERROR((F1482+D1483)*'Investment Calculator'!$C$7/'Investment Calculator'!$F$4,"")</f>
        <v/>
      </c>
      <c r="F1483" s="27" t="str">
        <f>IFERROR(ABS(FV('Investment Calculator'!$C$7/'Investment Calculator'!$F$4,'SIP Schedule'!C1483,'SIP Schedule'!D1483,,1)),"")</f>
        <v/>
      </c>
    </row>
    <row r="1484" spans="3:6" x14ac:dyDescent="0.3">
      <c r="C1484" s="1" t="str">
        <f>IF(C1483&lt;'Investment Calculator'!$C$8*'Investment Calculator'!$F$4,'SIP Schedule'!C1483+1,"")</f>
        <v/>
      </c>
      <c r="D1484" s="27" t="str">
        <f>IF(C1484&lt;='Investment Calculator'!$C$8*'Investment Calculator'!$F$4,'Investment Calculator'!$C$6,"")</f>
        <v/>
      </c>
      <c r="E1484" s="27" t="str">
        <f>IFERROR((F1483+D1484)*'Investment Calculator'!$C$7/'Investment Calculator'!$F$4,"")</f>
        <v/>
      </c>
      <c r="F1484" s="27" t="str">
        <f>IFERROR(ABS(FV('Investment Calculator'!$C$7/'Investment Calculator'!$F$4,'SIP Schedule'!C1484,'SIP Schedule'!D1484,,1)),"")</f>
        <v/>
      </c>
    </row>
    <row r="1485" spans="3:6" x14ac:dyDescent="0.3">
      <c r="C1485" s="1" t="str">
        <f>IF(C1484&lt;'Investment Calculator'!$C$8*'Investment Calculator'!$F$4,'SIP Schedule'!C1484+1,"")</f>
        <v/>
      </c>
      <c r="D1485" s="27" t="str">
        <f>IF(C1485&lt;='Investment Calculator'!$C$8*'Investment Calculator'!$F$4,'Investment Calculator'!$C$6,"")</f>
        <v/>
      </c>
      <c r="E1485" s="27" t="str">
        <f>IFERROR((F1484+D1485)*'Investment Calculator'!$C$7/'Investment Calculator'!$F$4,"")</f>
        <v/>
      </c>
      <c r="F1485" s="27" t="str">
        <f>IFERROR(ABS(FV('Investment Calculator'!$C$7/'Investment Calculator'!$F$4,'SIP Schedule'!C1485,'SIP Schedule'!D1485,,1)),"")</f>
        <v/>
      </c>
    </row>
    <row r="1486" spans="3:6" x14ac:dyDescent="0.3">
      <c r="C1486" s="1" t="str">
        <f>IF(C1485&lt;'Investment Calculator'!$C$8*'Investment Calculator'!$F$4,'SIP Schedule'!C1485+1,"")</f>
        <v/>
      </c>
      <c r="D1486" s="27" t="str">
        <f>IF(C1486&lt;='Investment Calculator'!$C$8*'Investment Calculator'!$F$4,'Investment Calculator'!$C$6,"")</f>
        <v/>
      </c>
      <c r="E1486" s="27" t="str">
        <f>IFERROR((F1485+D1486)*'Investment Calculator'!$C$7/'Investment Calculator'!$F$4,"")</f>
        <v/>
      </c>
      <c r="F1486" s="27" t="str">
        <f>IFERROR(ABS(FV('Investment Calculator'!$C$7/'Investment Calculator'!$F$4,'SIP Schedule'!C1486,'SIP Schedule'!D1486,,1)),"")</f>
        <v/>
      </c>
    </row>
    <row r="1487" spans="3:6" x14ac:dyDescent="0.3">
      <c r="C1487" s="1" t="str">
        <f>IF(C1486&lt;'Investment Calculator'!$C$8*'Investment Calculator'!$F$4,'SIP Schedule'!C1486+1,"")</f>
        <v/>
      </c>
      <c r="D1487" s="27" t="str">
        <f>IF(C1487&lt;='Investment Calculator'!$C$8*'Investment Calculator'!$F$4,'Investment Calculator'!$C$6,"")</f>
        <v/>
      </c>
      <c r="E1487" s="27" t="str">
        <f>IFERROR((F1486+D1487)*'Investment Calculator'!$C$7/'Investment Calculator'!$F$4,"")</f>
        <v/>
      </c>
      <c r="F1487" s="27" t="str">
        <f>IFERROR(ABS(FV('Investment Calculator'!$C$7/'Investment Calculator'!$F$4,'SIP Schedule'!C1487,'SIP Schedule'!D1487,,1)),"")</f>
        <v/>
      </c>
    </row>
    <row r="1488" spans="3:6" x14ac:dyDescent="0.3">
      <c r="C1488" s="1" t="str">
        <f>IF(C1487&lt;'Investment Calculator'!$C$8*'Investment Calculator'!$F$4,'SIP Schedule'!C1487+1,"")</f>
        <v/>
      </c>
      <c r="D1488" s="27" t="str">
        <f>IF(C1488&lt;='Investment Calculator'!$C$8*'Investment Calculator'!$F$4,'Investment Calculator'!$C$6,"")</f>
        <v/>
      </c>
      <c r="E1488" s="27" t="str">
        <f>IFERROR((F1487+D1488)*'Investment Calculator'!$C$7/'Investment Calculator'!$F$4,"")</f>
        <v/>
      </c>
      <c r="F1488" s="27" t="str">
        <f>IFERROR(ABS(FV('Investment Calculator'!$C$7/'Investment Calculator'!$F$4,'SIP Schedule'!C1488,'SIP Schedule'!D1488,,1)),"")</f>
        <v/>
      </c>
    </row>
    <row r="1489" spans="3:6" x14ac:dyDescent="0.3">
      <c r="C1489" s="1" t="str">
        <f>IF(C1488&lt;'Investment Calculator'!$C$8*'Investment Calculator'!$F$4,'SIP Schedule'!C1488+1,"")</f>
        <v/>
      </c>
      <c r="D1489" s="27" t="str">
        <f>IF(C1489&lt;='Investment Calculator'!$C$8*'Investment Calculator'!$F$4,'Investment Calculator'!$C$6,"")</f>
        <v/>
      </c>
      <c r="E1489" s="27" t="str">
        <f>IFERROR((F1488+D1489)*'Investment Calculator'!$C$7/'Investment Calculator'!$F$4,"")</f>
        <v/>
      </c>
      <c r="F1489" s="27" t="str">
        <f>IFERROR(ABS(FV('Investment Calculator'!$C$7/'Investment Calculator'!$F$4,'SIP Schedule'!C1489,'SIP Schedule'!D1489,,1)),"")</f>
        <v/>
      </c>
    </row>
    <row r="1490" spans="3:6" x14ac:dyDescent="0.3">
      <c r="C1490" s="1" t="str">
        <f>IF(C1489&lt;'Investment Calculator'!$C$8*'Investment Calculator'!$F$4,'SIP Schedule'!C1489+1,"")</f>
        <v/>
      </c>
      <c r="D1490" s="27" t="str">
        <f>IF(C1490&lt;='Investment Calculator'!$C$8*'Investment Calculator'!$F$4,'Investment Calculator'!$C$6,"")</f>
        <v/>
      </c>
      <c r="E1490" s="27" t="str">
        <f>IFERROR((F1489+D1490)*'Investment Calculator'!$C$7/'Investment Calculator'!$F$4,"")</f>
        <v/>
      </c>
      <c r="F1490" s="27" t="str">
        <f>IFERROR(ABS(FV('Investment Calculator'!$C$7/'Investment Calculator'!$F$4,'SIP Schedule'!C1490,'SIP Schedule'!D1490,,1)),"")</f>
        <v/>
      </c>
    </row>
    <row r="1491" spans="3:6" x14ac:dyDescent="0.3">
      <c r="C1491" s="1" t="str">
        <f>IF(C1490&lt;'Investment Calculator'!$C$8*'Investment Calculator'!$F$4,'SIP Schedule'!C1490+1,"")</f>
        <v/>
      </c>
      <c r="D1491" s="27" t="str">
        <f>IF(C1491&lt;='Investment Calculator'!$C$8*'Investment Calculator'!$F$4,'Investment Calculator'!$C$6,"")</f>
        <v/>
      </c>
      <c r="E1491" s="27" t="str">
        <f>IFERROR((F1490+D1491)*'Investment Calculator'!$C$7/'Investment Calculator'!$F$4,"")</f>
        <v/>
      </c>
      <c r="F1491" s="27" t="str">
        <f>IFERROR(ABS(FV('Investment Calculator'!$C$7/'Investment Calculator'!$F$4,'SIP Schedule'!C1491,'SIP Schedule'!D1491,,1)),"")</f>
        <v/>
      </c>
    </row>
    <row r="1492" spans="3:6" x14ac:dyDescent="0.3">
      <c r="C1492" s="1" t="str">
        <f>IF(C1491&lt;'Investment Calculator'!$C$8*'Investment Calculator'!$F$4,'SIP Schedule'!C1491+1,"")</f>
        <v/>
      </c>
      <c r="D1492" s="27" t="str">
        <f>IF(C1492&lt;='Investment Calculator'!$C$8*'Investment Calculator'!$F$4,'Investment Calculator'!$C$6,"")</f>
        <v/>
      </c>
      <c r="E1492" s="27" t="str">
        <f>IFERROR((F1491+D1492)*'Investment Calculator'!$C$7/'Investment Calculator'!$F$4,"")</f>
        <v/>
      </c>
      <c r="F1492" s="27" t="str">
        <f>IFERROR(ABS(FV('Investment Calculator'!$C$7/'Investment Calculator'!$F$4,'SIP Schedule'!C1492,'SIP Schedule'!D1492,,1)),"")</f>
        <v/>
      </c>
    </row>
    <row r="1493" spans="3:6" x14ac:dyDescent="0.3">
      <c r="C1493" s="1" t="str">
        <f>IF(C1492&lt;'Investment Calculator'!$C$8*'Investment Calculator'!$F$4,'SIP Schedule'!C1492+1,"")</f>
        <v/>
      </c>
      <c r="D1493" s="27" t="str">
        <f>IF(C1493&lt;='Investment Calculator'!$C$8*'Investment Calculator'!$F$4,'Investment Calculator'!$C$6,"")</f>
        <v/>
      </c>
      <c r="E1493" s="27" t="str">
        <f>IFERROR((F1492+D1493)*'Investment Calculator'!$C$7/'Investment Calculator'!$F$4,"")</f>
        <v/>
      </c>
      <c r="F1493" s="27" t="str">
        <f>IFERROR(ABS(FV('Investment Calculator'!$C$7/'Investment Calculator'!$F$4,'SIP Schedule'!C1493,'SIP Schedule'!D1493,,1)),"")</f>
        <v/>
      </c>
    </row>
    <row r="1494" spans="3:6" x14ac:dyDescent="0.3">
      <c r="C1494" s="1" t="str">
        <f>IF(C1493&lt;'Investment Calculator'!$C$8*'Investment Calculator'!$F$4,'SIP Schedule'!C1493+1,"")</f>
        <v/>
      </c>
      <c r="D1494" s="27" t="str">
        <f>IF(C1494&lt;='Investment Calculator'!$C$8*'Investment Calculator'!$F$4,'Investment Calculator'!$C$6,"")</f>
        <v/>
      </c>
      <c r="E1494" s="27" t="str">
        <f>IFERROR((F1493+D1494)*'Investment Calculator'!$C$7/'Investment Calculator'!$F$4,"")</f>
        <v/>
      </c>
      <c r="F1494" s="27" t="str">
        <f>IFERROR(ABS(FV('Investment Calculator'!$C$7/'Investment Calculator'!$F$4,'SIP Schedule'!C1494,'SIP Schedule'!D1494,,1)),"")</f>
        <v/>
      </c>
    </row>
    <row r="1495" spans="3:6" x14ac:dyDescent="0.3">
      <c r="C1495" s="1" t="str">
        <f>IF(C1494&lt;'Investment Calculator'!$C$8*'Investment Calculator'!$F$4,'SIP Schedule'!C1494+1,"")</f>
        <v/>
      </c>
      <c r="D1495" s="27" t="str">
        <f>IF(C1495&lt;='Investment Calculator'!$C$8*'Investment Calculator'!$F$4,'Investment Calculator'!$C$6,"")</f>
        <v/>
      </c>
      <c r="E1495" s="27" t="str">
        <f>IFERROR((F1494+D1495)*'Investment Calculator'!$C$7/'Investment Calculator'!$F$4,"")</f>
        <v/>
      </c>
      <c r="F1495" s="27" t="str">
        <f>IFERROR(ABS(FV('Investment Calculator'!$C$7/'Investment Calculator'!$F$4,'SIP Schedule'!C1495,'SIP Schedule'!D1495,,1)),"")</f>
        <v/>
      </c>
    </row>
    <row r="1496" spans="3:6" x14ac:dyDescent="0.3">
      <c r="C1496" s="1" t="str">
        <f>IF(C1495&lt;'Investment Calculator'!$C$8*'Investment Calculator'!$F$4,'SIP Schedule'!C1495+1,"")</f>
        <v/>
      </c>
      <c r="D1496" s="27" t="str">
        <f>IF(C1496&lt;='Investment Calculator'!$C$8*'Investment Calculator'!$F$4,'Investment Calculator'!$C$6,"")</f>
        <v/>
      </c>
      <c r="E1496" s="27" t="str">
        <f>IFERROR((F1495+D1496)*'Investment Calculator'!$C$7/'Investment Calculator'!$F$4,"")</f>
        <v/>
      </c>
      <c r="F1496" s="27" t="str">
        <f>IFERROR(ABS(FV('Investment Calculator'!$C$7/'Investment Calculator'!$F$4,'SIP Schedule'!C1496,'SIP Schedule'!D1496,,1)),"")</f>
        <v/>
      </c>
    </row>
    <row r="1497" spans="3:6" x14ac:dyDescent="0.3">
      <c r="C1497" s="1" t="str">
        <f>IF(C1496&lt;'Investment Calculator'!$C$8*'Investment Calculator'!$F$4,'SIP Schedule'!C1496+1,"")</f>
        <v/>
      </c>
      <c r="D1497" s="27" t="str">
        <f>IF(C1497&lt;='Investment Calculator'!$C$8*'Investment Calculator'!$F$4,'Investment Calculator'!$C$6,"")</f>
        <v/>
      </c>
      <c r="E1497" s="27" t="str">
        <f>IFERROR((F1496+D1497)*'Investment Calculator'!$C$7/'Investment Calculator'!$F$4,"")</f>
        <v/>
      </c>
      <c r="F1497" s="27" t="str">
        <f>IFERROR(ABS(FV('Investment Calculator'!$C$7/'Investment Calculator'!$F$4,'SIP Schedule'!C1497,'SIP Schedule'!D1497,,1)),"")</f>
        <v/>
      </c>
    </row>
    <row r="1498" spans="3:6" x14ac:dyDescent="0.3">
      <c r="C1498" s="1" t="str">
        <f>IF(C1497&lt;'Investment Calculator'!$C$8*'Investment Calculator'!$F$4,'SIP Schedule'!C1497+1,"")</f>
        <v/>
      </c>
      <c r="D1498" s="27" t="str">
        <f>IF(C1498&lt;='Investment Calculator'!$C$8*'Investment Calculator'!$F$4,'Investment Calculator'!$C$6,"")</f>
        <v/>
      </c>
      <c r="E1498" s="27" t="str">
        <f>IFERROR((F1497+D1498)*'Investment Calculator'!$C$7/'Investment Calculator'!$F$4,"")</f>
        <v/>
      </c>
      <c r="F1498" s="27" t="str">
        <f>IFERROR(ABS(FV('Investment Calculator'!$C$7/'Investment Calculator'!$F$4,'SIP Schedule'!C1498,'SIP Schedule'!D1498,,1)),"")</f>
        <v/>
      </c>
    </row>
    <row r="1499" spans="3:6" x14ac:dyDescent="0.3">
      <c r="C1499" s="1" t="str">
        <f>IF(C1498&lt;'Investment Calculator'!$C$8*'Investment Calculator'!$F$4,'SIP Schedule'!C1498+1,"")</f>
        <v/>
      </c>
      <c r="D1499" s="27" t="str">
        <f>IF(C1499&lt;='Investment Calculator'!$C$8*'Investment Calculator'!$F$4,'Investment Calculator'!$C$6,"")</f>
        <v/>
      </c>
      <c r="E1499" s="27" t="str">
        <f>IFERROR((F1498+D1499)*'Investment Calculator'!$C$7/'Investment Calculator'!$F$4,"")</f>
        <v/>
      </c>
      <c r="F1499" s="27" t="str">
        <f>IFERROR(ABS(FV('Investment Calculator'!$C$7/'Investment Calculator'!$F$4,'SIP Schedule'!C1499,'SIP Schedule'!D1499,,1)),"")</f>
        <v/>
      </c>
    </row>
    <row r="1500" spans="3:6" x14ac:dyDescent="0.3">
      <c r="C1500" s="1" t="str">
        <f>IF(C1499&lt;'Investment Calculator'!$C$8*'Investment Calculator'!$F$4,'SIP Schedule'!C1499+1,"")</f>
        <v/>
      </c>
      <c r="D1500" s="27" t="str">
        <f>IF(C1500&lt;='Investment Calculator'!$C$8*'Investment Calculator'!$F$4,'Investment Calculator'!$C$6,"")</f>
        <v/>
      </c>
      <c r="E1500" s="27" t="str">
        <f>IFERROR((F1499+D1500)*'Investment Calculator'!$C$7/'Investment Calculator'!$F$4,"")</f>
        <v/>
      </c>
      <c r="F1500" s="27" t="str">
        <f>IFERROR(ABS(FV('Investment Calculator'!$C$7/'Investment Calculator'!$F$4,'SIP Schedule'!C1500,'SIP Schedule'!D1500,,1)),"")</f>
        <v/>
      </c>
    </row>
    <row r="1501" spans="3:6" x14ac:dyDescent="0.3">
      <c r="C1501" s="1" t="str">
        <f>IF(C1500&lt;'Investment Calculator'!$C$8*'Investment Calculator'!$F$4,'SIP Schedule'!C1500+1,"")</f>
        <v/>
      </c>
      <c r="D1501" s="27" t="str">
        <f>IF(C1501&lt;='Investment Calculator'!$C$8*'Investment Calculator'!$F$4,'Investment Calculator'!$C$6,"")</f>
        <v/>
      </c>
      <c r="E1501" s="27" t="str">
        <f>IFERROR((F1500+D1501)*'Investment Calculator'!$C$7/'Investment Calculator'!$F$4,"")</f>
        <v/>
      </c>
      <c r="F1501" s="27" t="str">
        <f>IFERROR(ABS(FV('Investment Calculator'!$C$7/'Investment Calculator'!$F$4,'SIP Schedule'!C1501,'SIP Schedule'!D1501,,1)),"")</f>
        <v/>
      </c>
    </row>
    <row r="1502" spans="3:6" x14ac:dyDescent="0.3">
      <c r="C1502" s="1" t="str">
        <f>IF(C1501&lt;'Investment Calculator'!$C$8*'Investment Calculator'!$F$4,'SIP Schedule'!C1501+1,"")</f>
        <v/>
      </c>
      <c r="D1502" s="27" t="str">
        <f>IF(C1502&lt;='Investment Calculator'!$C$8*'Investment Calculator'!$F$4,'Investment Calculator'!$C$6,"")</f>
        <v/>
      </c>
      <c r="E1502" s="27" t="str">
        <f>IFERROR((F1501+D1502)*'Investment Calculator'!$C$7/'Investment Calculator'!$F$4,"")</f>
        <v/>
      </c>
      <c r="F1502" s="27" t="str">
        <f>IFERROR(ABS(FV('Investment Calculator'!$C$7/'Investment Calculator'!$F$4,'SIP Schedule'!C1502,'SIP Schedule'!D1502,,1)),"")</f>
        <v/>
      </c>
    </row>
    <row r="1503" spans="3:6" x14ac:dyDescent="0.3">
      <c r="C1503" s="1" t="str">
        <f>IF(C1502&lt;'Investment Calculator'!$C$8*'Investment Calculator'!$F$4,'SIP Schedule'!C1502+1,"")</f>
        <v/>
      </c>
      <c r="D1503" s="27" t="str">
        <f>IF(C1503&lt;='Investment Calculator'!$C$8*'Investment Calculator'!$F$4,'Investment Calculator'!$C$6,"")</f>
        <v/>
      </c>
      <c r="E1503" s="27" t="str">
        <f>IFERROR((F1502+D1503)*'Investment Calculator'!$C$7/'Investment Calculator'!$F$4,"")</f>
        <v/>
      </c>
      <c r="F1503" s="27" t="str">
        <f>IFERROR(ABS(FV('Investment Calculator'!$C$7/'Investment Calculator'!$F$4,'SIP Schedule'!C1503,'SIP Schedule'!D1503,,1)),"")</f>
        <v/>
      </c>
    </row>
    <row r="1504" spans="3:6" x14ac:dyDescent="0.3">
      <c r="C1504" s="1" t="str">
        <f>IF(C1503&lt;'Investment Calculator'!$C$8*'Investment Calculator'!$F$4,'SIP Schedule'!C1503+1,"")</f>
        <v/>
      </c>
      <c r="D1504" s="27" t="str">
        <f>IF(C1504&lt;='Investment Calculator'!$C$8*'Investment Calculator'!$F$4,'Investment Calculator'!$C$6,"")</f>
        <v/>
      </c>
      <c r="E1504" s="27" t="str">
        <f>IFERROR((F1503+D1504)*'Investment Calculator'!$C$7/'Investment Calculator'!$F$4,"")</f>
        <v/>
      </c>
      <c r="F1504" s="27" t="str">
        <f>IFERROR(ABS(FV('Investment Calculator'!$C$7/'Investment Calculator'!$F$4,'SIP Schedule'!C1504,'SIP Schedule'!D1504,,1)),"")</f>
        <v/>
      </c>
    </row>
    <row r="1505" spans="3:6" x14ac:dyDescent="0.3">
      <c r="C1505" s="1" t="str">
        <f>IF(C1504&lt;'Investment Calculator'!$C$8*'Investment Calculator'!$F$4,'SIP Schedule'!C1504+1,"")</f>
        <v/>
      </c>
      <c r="D1505" s="27" t="str">
        <f>IF(C1505&lt;='Investment Calculator'!$C$8*'Investment Calculator'!$F$4,'Investment Calculator'!$C$6,"")</f>
        <v/>
      </c>
      <c r="E1505" s="27" t="str">
        <f>IFERROR((F1504+D1505)*'Investment Calculator'!$C$7/'Investment Calculator'!$F$4,"")</f>
        <v/>
      </c>
      <c r="F1505" s="27" t="str">
        <f>IFERROR(ABS(FV('Investment Calculator'!$C$7/'Investment Calculator'!$F$4,'SIP Schedule'!C1505,'SIP Schedule'!D1505,,1)),"")</f>
        <v/>
      </c>
    </row>
    <row r="1506" spans="3:6" x14ac:dyDescent="0.3">
      <c r="C1506" s="1" t="str">
        <f>IF(C1505&lt;'Investment Calculator'!$C$8*'Investment Calculator'!$F$4,'SIP Schedule'!C1505+1,"")</f>
        <v/>
      </c>
      <c r="D1506" s="27" t="str">
        <f>IF(C1506&lt;='Investment Calculator'!$C$8*'Investment Calculator'!$F$4,'Investment Calculator'!$C$6,"")</f>
        <v/>
      </c>
      <c r="E1506" s="27" t="str">
        <f>IFERROR((F1505+D1506)*'Investment Calculator'!$C$7/'Investment Calculator'!$F$4,"")</f>
        <v/>
      </c>
      <c r="F1506" s="27" t="str">
        <f>IFERROR(ABS(FV('Investment Calculator'!$C$7/'Investment Calculator'!$F$4,'SIP Schedule'!C1506,'SIP Schedule'!D1506,,1)),"")</f>
        <v/>
      </c>
    </row>
    <row r="1507" spans="3:6" x14ac:dyDescent="0.3">
      <c r="C1507" s="1" t="str">
        <f>IF(C1506&lt;'Investment Calculator'!$C$8*'Investment Calculator'!$F$4,'SIP Schedule'!C1506+1,"")</f>
        <v/>
      </c>
      <c r="D1507" s="27" t="str">
        <f>IF(C1507&lt;='Investment Calculator'!$C$8*'Investment Calculator'!$F$4,'Investment Calculator'!$C$6,"")</f>
        <v/>
      </c>
      <c r="E1507" s="27" t="str">
        <f>IFERROR((F1506+D1507)*'Investment Calculator'!$C$7/'Investment Calculator'!$F$4,"")</f>
        <v/>
      </c>
      <c r="F1507" s="27" t="str">
        <f>IFERROR(ABS(FV('Investment Calculator'!$C$7/'Investment Calculator'!$F$4,'SIP Schedule'!C1507,'SIP Schedule'!D1507,,1)),"")</f>
        <v/>
      </c>
    </row>
    <row r="1508" spans="3:6" x14ac:dyDescent="0.3">
      <c r="C1508" s="1" t="str">
        <f>IF(C1507&lt;'Investment Calculator'!$C$8*'Investment Calculator'!$F$4,'SIP Schedule'!C1507+1,"")</f>
        <v/>
      </c>
      <c r="D1508" s="27" t="str">
        <f>IF(C1508&lt;='Investment Calculator'!$C$8*'Investment Calculator'!$F$4,'Investment Calculator'!$C$6,"")</f>
        <v/>
      </c>
      <c r="E1508" s="27" t="str">
        <f>IFERROR((F1507+D1508)*'Investment Calculator'!$C$7/'Investment Calculator'!$F$4,"")</f>
        <v/>
      </c>
      <c r="F1508" s="27" t="str">
        <f>IFERROR(ABS(FV('Investment Calculator'!$C$7/'Investment Calculator'!$F$4,'SIP Schedule'!C1508,'SIP Schedule'!D1508,,1)),"")</f>
        <v/>
      </c>
    </row>
    <row r="1509" spans="3:6" x14ac:dyDescent="0.3">
      <c r="C1509" s="1" t="str">
        <f>IF(C1508&lt;'Investment Calculator'!$C$8*'Investment Calculator'!$F$4,'SIP Schedule'!C1508+1,"")</f>
        <v/>
      </c>
      <c r="D1509" s="27" t="str">
        <f>IF(C1509&lt;='Investment Calculator'!$C$8*'Investment Calculator'!$F$4,'Investment Calculator'!$C$6,"")</f>
        <v/>
      </c>
      <c r="E1509" s="27" t="str">
        <f>IFERROR((F1508+D1509)*'Investment Calculator'!$C$7/'Investment Calculator'!$F$4,"")</f>
        <v/>
      </c>
      <c r="F1509" s="27" t="str">
        <f>IFERROR(ABS(FV('Investment Calculator'!$C$7/'Investment Calculator'!$F$4,'SIP Schedule'!C1509,'SIP Schedule'!D1509,,1)),"")</f>
        <v/>
      </c>
    </row>
    <row r="1510" spans="3:6" x14ac:dyDescent="0.3">
      <c r="C1510" s="1" t="str">
        <f>IF(C1509&lt;'Investment Calculator'!$C$8*'Investment Calculator'!$F$4,'SIP Schedule'!C1509+1,"")</f>
        <v/>
      </c>
      <c r="D1510" s="27" t="str">
        <f>IF(C1510&lt;='Investment Calculator'!$C$8*'Investment Calculator'!$F$4,'Investment Calculator'!$C$6,"")</f>
        <v/>
      </c>
      <c r="E1510" s="27" t="str">
        <f>IFERROR((F1509+D1510)*'Investment Calculator'!$C$7/'Investment Calculator'!$F$4,"")</f>
        <v/>
      </c>
      <c r="F1510" s="27" t="str">
        <f>IFERROR(ABS(FV('Investment Calculator'!$C$7/'Investment Calculator'!$F$4,'SIP Schedule'!C1510,'SIP Schedule'!D1510,,1)),"")</f>
        <v/>
      </c>
    </row>
    <row r="1511" spans="3:6" x14ac:dyDescent="0.3">
      <c r="C1511" s="1" t="str">
        <f>IF(C1510&lt;'Investment Calculator'!$C$8*'Investment Calculator'!$F$4,'SIP Schedule'!C1510+1,"")</f>
        <v/>
      </c>
      <c r="D1511" s="27" t="str">
        <f>IF(C1511&lt;='Investment Calculator'!$C$8*'Investment Calculator'!$F$4,'Investment Calculator'!$C$6,"")</f>
        <v/>
      </c>
      <c r="E1511" s="27" t="str">
        <f>IFERROR((F1510+D1511)*'Investment Calculator'!$C$7/'Investment Calculator'!$F$4,"")</f>
        <v/>
      </c>
      <c r="F1511" s="27" t="str">
        <f>IFERROR(ABS(FV('Investment Calculator'!$C$7/'Investment Calculator'!$F$4,'SIP Schedule'!C1511,'SIP Schedule'!D1511,,1)),"")</f>
        <v/>
      </c>
    </row>
    <row r="1512" spans="3:6" x14ac:dyDescent="0.3">
      <c r="C1512" s="1" t="str">
        <f>IF(C1511&lt;'Investment Calculator'!$C$8*'Investment Calculator'!$F$4,'SIP Schedule'!C1511+1,"")</f>
        <v/>
      </c>
      <c r="D1512" s="27" t="str">
        <f>IF(C1512&lt;='Investment Calculator'!$C$8*'Investment Calculator'!$F$4,'Investment Calculator'!$C$6,"")</f>
        <v/>
      </c>
      <c r="E1512" s="27" t="str">
        <f>IFERROR((F1511+D1512)*'Investment Calculator'!$C$7/'Investment Calculator'!$F$4,"")</f>
        <v/>
      </c>
      <c r="F1512" s="27" t="str">
        <f>IFERROR(ABS(FV('Investment Calculator'!$C$7/'Investment Calculator'!$F$4,'SIP Schedule'!C1512,'SIP Schedule'!D1512,,1)),"")</f>
        <v/>
      </c>
    </row>
    <row r="1513" spans="3:6" x14ac:dyDescent="0.3">
      <c r="C1513" s="1" t="str">
        <f>IF(C1512&lt;'Investment Calculator'!$C$8*'Investment Calculator'!$F$4,'SIP Schedule'!C1512+1,"")</f>
        <v/>
      </c>
      <c r="D1513" s="27" t="str">
        <f>IF(C1513&lt;='Investment Calculator'!$C$8*'Investment Calculator'!$F$4,'Investment Calculator'!$C$6,"")</f>
        <v/>
      </c>
      <c r="E1513" s="27" t="str">
        <f>IFERROR((F1512+D1513)*'Investment Calculator'!$C$7/'Investment Calculator'!$F$4,"")</f>
        <v/>
      </c>
      <c r="F1513" s="27" t="str">
        <f>IFERROR(ABS(FV('Investment Calculator'!$C$7/'Investment Calculator'!$F$4,'SIP Schedule'!C1513,'SIP Schedule'!D1513,,1)),"")</f>
        <v/>
      </c>
    </row>
    <row r="1514" spans="3:6" x14ac:dyDescent="0.3">
      <c r="C1514" s="1" t="str">
        <f>IF(C1513&lt;'Investment Calculator'!$C$8*'Investment Calculator'!$F$4,'SIP Schedule'!C1513+1,"")</f>
        <v/>
      </c>
      <c r="D1514" s="27" t="str">
        <f>IF(C1514&lt;='Investment Calculator'!$C$8*'Investment Calculator'!$F$4,'Investment Calculator'!$C$6,"")</f>
        <v/>
      </c>
      <c r="E1514" s="27" t="str">
        <f>IFERROR((F1513+D1514)*'Investment Calculator'!$C$7/'Investment Calculator'!$F$4,"")</f>
        <v/>
      </c>
      <c r="F1514" s="27" t="str">
        <f>IFERROR(ABS(FV('Investment Calculator'!$C$7/'Investment Calculator'!$F$4,'SIP Schedule'!C1514,'SIP Schedule'!D1514,,1)),"")</f>
        <v/>
      </c>
    </row>
    <row r="1515" spans="3:6" x14ac:dyDescent="0.3">
      <c r="C1515" s="1" t="str">
        <f>IF(C1514&lt;'Investment Calculator'!$C$8*'Investment Calculator'!$F$4,'SIP Schedule'!C1514+1,"")</f>
        <v/>
      </c>
      <c r="D1515" s="27" t="str">
        <f>IF(C1515&lt;='Investment Calculator'!$C$8*'Investment Calculator'!$F$4,'Investment Calculator'!$C$6,"")</f>
        <v/>
      </c>
      <c r="E1515" s="27" t="str">
        <f>IFERROR((F1514+D1515)*'Investment Calculator'!$C$7/'Investment Calculator'!$F$4,"")</f>
        <v/>
      </c>
      <c r="F1515" s="27" t="str">
        <f>IFERROR(ABS(FV('Investment Calculator'!$C$7/'Investment Calculator'!$F$4,'SIP Schedule'!C1515,'SIP Schedule'!D1515,,1)),"")</f>
        <v/>
      </c>
    </row>
    <row r="1516" spans="3:6" x14ac:dyDescent="0.3">
      <c r="C1516" s="1" t="str">
        <f>IF(C1515&lt;'Investment Calculator'!$C$8*'Investment Calculator'!$F$4,'SIP Schedule'!C1515+1,"")</f>
        <v/>
      </c>
      <c r="D1516" s="27" t="str">
        <f>IF(C1516&lt;='Investment Calculator'!$C$8*'Investment Calculator'!$F$4,'Investment Calculator'!$C$6,"")</f>
        <v/>
      </c>
      <c r="E1516" s="27" t="str">
        <f>IFERROR((F1515+D1516)*'Investment Calculator'!$C$7/'Investment Calculator'!$F$4,"")</f>
        <v/>
      </c>
      <c r="F1516" s="27" t="str">
        <f>IFERROR(ABS(FV('Investment Calculator'!$C$7/'Investment Calculator'!$F$4,'SIP Schedule'!C1516,'SIP Schedule'!D1516,,1)),"")</f>
        <v/>
      </c>
    </row>
    <row r="1517" spans="3:6" x14ac:dyDescent="0.3">
      <c r="C1517" s="1" t="str">
        <f>IF(C1516&lt;'Investment Calculator'!$C$8*'Investment Calculator'!$F$4,'SIP Schedule'!C1516+1,"")</f>
        <v/>
      </c>
      <c r="D1517" s="27" t="str">
        <f>IF(C1517&lt;='Investment Calculator'!$C$8*'Investment Calculator'!$F$4,'Investment Calculator'!$C$6,"")</f>
        <v/>
      </c>
      <c r="E1517" s="27" t="str">
        <f>IFERROR((F1516+D1517)*'Investment Calculator'!$C$7/'Investment Calculator'!$F$4,"")</f>
        <v/>
      </c>
      <c r="F1517" s="27" t="str">
        <f>IFERROR(ABS(FV('Investment Calculator'!$C$7/'Investment Calculator'!$F$4,'SIP Schedule'!C1517,'SIP Schedule'!D1517,,1)),"")</f>
        <v/>
      </c>
    </row>
    <row r="1518" spans="3:6" x14ac:dyDescent="0.3">
      <c r="C1518" s="1" t="str">
        <f>IF(C1517&lt;'Investment Calculator'!$C$8*'Investment Calculator'!$F$4,'SIP Schedule'!C1517+1,"")</f>
        <v/>
      </c>
      <c r="D1518" s="27" t="str">
        <f>IF(C1518&lt;='Investment Calculator'!$C$8*'Investment Calculator'!$F$4,'Investment Calculator'!$C$6,"")</f>
        <v/>
      </c>
      <c r="E1518" s="27" t="str">
        <f>IFERROR((F1517+D1518)*'Investment Calculator'!$C$7/'Investment Calculator'!$F$4,"")</f>
        <v/>
      </c>
      <c r="F1518" s="27" t="str">
        <f>IFERROR(ABS(FV('Investment Calculator'!$C$7/'Investment Calculator'!$F$4,'SIP Schedule'!C1518,'SIP Schedule'!D1518,,1)),"")</f>
        <v/>
      </c>
    </row>
    <row r="1519" spans="3:6" x14ac:dyDescent="0.3">
      <c r="C1519" s="1" t="str">
        <f>IF(C1518&lt;'Investment Calculator'!$C$8*'Investment Calculator'!$F$4,'SIP Schedule'!C1518+1,"")</f>
        <v/>
      </c>
      <c r="D1519" s="27" t="str">
        <f>IF(C1519&lt;='Investment Calculator'!$C$8*'Investment Calculator'!$F$4,'Investment Calculator'!$C$6,"")</f>
        <v/>
      </c>
      <c r="E1519" s="27" t="str">
        <f>IFERROR((F1518+D1519)*'Investment Calculator'!$C$7/'Investment Calculator'!$F$4,"")</f>
        <v/>
      </c>
      <c r="F1519" s="27" t="str">
        <f>IFERROR(ABS(FV('Investment Calculator'!$C$7/'Investment Calculator'!$F$4,'SIP Schedule'!C1519,'SIP Schedule'!D1519,,1)),"")</f>
        <v/>
      </c>
    </row>
    <row r="1520" spans="3:6" x14ac:dyDescent="0.3">
      <c r="C1520" s="1" t="str">
        <f>IF(C1519&lt;'Investment Calculator'!$C$8*'Investment Calculator'!$F$4,'SIP Schedule'!C1519+1,"")</f>
        <v/>
      </c>
      <c r="D1520" s="27" t="str">
        <f>IF(C1520&lt;='Investment Calculator'!$C$8*'Investment Calculator'!$F$4,'Investment Calculator'!$C$6,"")</f>
        <v/>
      </c>
      <c r="E1520" s="27" t="str">
        <f>IFERROR((F1519+D1520)*'Investment Calculator'!$C$7/'Investment Calculator'!$F$4,"")</f>
        <v/>
      </c>
      <c r="F1520" s="27" t="str">
        <f>IFERROR(ABS(FV('Investment Calculator'!$C$7/'Investment Calculator'!$F$4,'SIP Schedule'!C1520,'SIP Schedule'!D1520,,1)),"")</f>
        <v/>
      </c>
    </row>
    <row r="1521" spans="3:6" x14ac:dyDescent="0.3">
      <c r="C1521" s="1" t="str">
        <f>IF(C1520&lt;'Investment Calculator'!$C$8*'Investment Calculator'!$F$4,'SIP Schedule'!C1520+1,"")</f>
        <v/>
      </c>
      <c r="D1521" s="27" t="str">
        <f>IF(C1521&lt;='Investment Calculator'!$C$8*'Investment Calculator'!$F$4,'Investment Calculator'!$C$6,"")</f>
        <v/>
      </c>
      <c r="E1521" s="27" t="str">
        <f>IFERROR((F1520+D1521)*'Investment Calculator'!$C$7/'Investment Calculator'!$F$4,"")</f>
        <v/>
      </c>
      <c r="F1521" s="27" t="str">
        <f>IFERROR(ABS(FV('Investment Calculator'!$C$7/'Investment Calculator'!$F$4,'SIP Schedule'!C1521,'SIP Schedule'!D1521,,1)),"")</f>
        <v/>
      </c>
    </row>
    <row r="1522" spans="3:6" x14ac:dyDescent="0.3">
      <c r="C1522" s="1" t="str">
        <f>IF(C1521&lt;'Investment Calculator'!$C$8*'Investment Calculator'!$F$4,'SIP Schedule'!C1521+1,"")</f>
        <v/>
      </c>
      <c r="D1522" s="27" t="str">
        <f>IF(C1522&lt;='Investment Calculator'!$C$8*'Investment Calculator'!$F$4,'Investment Calculator'!$C$6,"")</f>
        <v/>
      </c>
      <c r="E1522" s="27" t="str">
        <f>IFERROR((F1521+D1522)*'Investment Calculator'!$C$7/'Investment Calculator'!$F$4,"")</f>
        <v/>
      </c>
      <c r="F1522" s="27" t="str">
        <f>IFERROR(ABS(FV('Investment Calculator'!$C$7/'Investment Calculator'!$F$4,'SIP Schedule'!C1522,'SIP Schedule'!D1522,,1)),"")</f>
        <v/>
      </c>
    </row>
    <row r="1523" spans="3:6" x14ac:dyDescent="0.3">
      <c r="C1523" s="1" t="str">
        <f>IF(C1522&lt;'Investment Calculator'!$C$8*'Investment Calculator'!$F$4,'SIP Schedule'!C1522+1,"")</f>
        <v/>
      </c>
      <c r="D1523" s="27" t="str">
        <f>IF(C1523&lt;='Investment Calculator'!$C$8*'Investment Calculator'!$F$4,'Investment Calculator'!$C$6,"")</f>
        <v/>
      </c>
      <c r="E1523" s="27" t="str">
        <f>IFERROR((F1522+D1523)*'Investment Calculator'!$C$7/'Investment Calculator'!$F$4,"")</f>
        <v/>
      </c>
      <c r="F1523" s="27" t="str">
        <f>IFERROR(ABS(FV('Investment Calculator'!$C$7/'Investment Calculator'!$F$4,'SIP Schedule'!C1523,'SIP Schedule'!D1523,,1)),"")</f>
        <v/>
      </c>
    </row>
    <row r="1524" spans="3:6" x14ac:dyDescent="0.3">
      <c r="C1524" s="1" t="str">
        <f>IF(C1523&lt;'Investment Calculator'!$C$8*'Investment Calculator'!$F$4,'SIP Schedule'!C1523+1,"")</f>
        <v/>
      </c>
      <c r="D1524" s="27" t="str">
        <f>IF(C1524&lt;='Investment Calculator'!$C$8*'Investment Calculator'!$F$4,'Investment Calculator'!$C$6,"")</f>
        <v/>
      </c>
      <c r="E1524" s="27" t="str">
        <f>IFERROR((F1523+D1524)*'Investment Calculator'!$C$7/'Investment Calculator'!$F$4,"")</f>
        <v/>
      </c>
      <c r="F1524" s="27" t="str">
        <f>IFERROR(ABS(FV('Investment Calculator'!$C$7/'Investment Calculator'!$F$4,'SIP Schedule'!C1524,'SIP Schedule'!D1524,,1)),"")</f>
        <v/>
      </c>
    </row>
    <row r="1525" spans="3:6" x14ac:dyDescent="0.3">
      <c r="C1525" s="1" t="str">
        <f>IF(C1524&lt;'Investment Calculator'!$C$8*'Investment Calculator'!$F$4,'SIP Schedule'!C1524+1,"")</f>
        <v/>
      </c>
      <c r="D1525" s="27" t="str">
        <f>IF(C1525&lt;='Investment Calculator'!$C$8*'Investment Calculator'!$F$4,'Investment Calculator'!$C$6,"")</f>
        <v/>
      </c>
      <c r="E1525" s="27" t="str">
        <f>IFERROR((F1524+D1525)*'Investment Calculator'!$C$7/'Investment Calculator'!$F$4,"")</f>
        <v/>
      </c>
      <c r="F1525" s="27" t="str">
        <f>IFERROR(ABS(FV('Investment Calculator'!$C$7/'Investment Calculator'!$F$4,'SIP Schedule'!C1525,'SIP Schedule'!D1525,,1)),"")</f>
        <v/>
      </c>
    </row>
    <row r="1526" spans="3:6" x14ac:dyDescent="0.3">
      <c r="C1526" s="1" t="str">
        <f>IF(C1525&lt;'Investment Calculator'!$C$8*'Investment Calculator'!$F$4,'SIP Schedule'!C1525+1,"")</f>
        <v/>
      </c>
      <c r="D1526" s="27" t="str">
        <f>IF(C1526&lt;='Investment Calculator'!$C$8*'Investment Calculator'!$F$4,'Investment Calculator'!$C$6,"")</f>
        <v/>
      </c>
      <c r="E1526" s="27" t="str">
        <f>IFERROR((F1525+D1526)*'Investment Calculator'!$C$7/'Investment Calculator'!$F$4,"")</f>
        <v/>
      </c>
      <c r="F1526" s="27" t="str">
        <f>IFERROR(ABS(FV('Investment Calculator'!$C$7/'Investment Calculator'!$F$4,'SIP Schedule'!C1526,'SIP Schedule'!D1526,,1)),"")</f>
        <v/>
      </c>
    </row>
    <row r="1527" spans="3:6" x14ac:dyDescent="0.3">
      <c r="C1527" s="1" t="str">
        <f>IF(C1526&lt;'Investment Calculator'!$C$8*'Investment Calculator'!$F$4,'SIP Schedule'!C1526+1,"")</f>
        <v/>
      </c>
      <c r="D1527" s="27" t="str">
        <f>IF(C1527&lt;='Investment Calculator'!$C$8*'Investment Calculator'!$F$4,'Investment Calculator'!$C$6,"")</f>
        <v/>
      </c>
      <c r="E1527" s="27" t="str">
        <f>IFERROR((F1526+D1527)*'Investment Calculator'!$C$7/'Investment Calculator'!$F$4,"")</f>
        <v/>
      </c>
      <c r="F1527" s="27" t="str">
        <f>IFERROR(ABS(FV('Investment Calculator'!$C$7/'Investment Calculator'!$F$4,'SIP Schedule'!C1527,'SIP Schedule'!D1527,,1)),"")</f>
        <v/>
      </c>
    </row>
    <row r="1528" spans="3:6" x14ac:dyDescent="0.3">
      <c r="C1528" s="1" t="str">
        <f>IF(C1527&lt;'Investment Calculator'!$C$8*'Investment Calculator'!$F$4,'SIP Schedule'!C1527+1,"")</f>
        <v/>
      </c>
      <c r="D1528" s="27" t="str">
        <f>IF(C1528&lt;='Investment Calculator'!$C$8*'Investment Calculator'!$F$4,'Investment Calculator'!$C$6,"")</f>
        <v/>
      </c>
      <c r="E1528" s="27" t="str">
        <f>IFERROR((F1527+D1528)*'Investment Calculator'!$C$7/'Investment Calculator'!$F$4,"")</f>
        <v/>
      </c>
      <c r="F1528" s="27" t="str">
        <f>IFERROR(ABS(FV('Investment Calculator'!$C$7/'Investment Calculator'!$F$4,'SIP Schedule'!C1528,'SIP Schedule'!D1528,,1)),"")</f>
        <v/>
      </c>
    </row>
    <row r="1529" spans="3:6" x14ac:dyDescent="0.3">
      <c r="C1529" s="1" t="str">
        <f>IF(C1528&lt;'Investment Calculator'!$C$8*'Investment Calculator'!$F$4,'SIP Schedule'!C1528+1,"")</f>
        <v/>
      </c>
      <c r="D1529" s="27" t="str">
        <f>IF(C1529&lt;='Investment Calculator'!$C$8*'Investment Calculator'!$F$4,'Investment Calculator'!$C$6,"")</f>
        <v/>
      </c>
      <c r="E1529" s="27" t="str">
        <f>IFERROR((F1528+D1529)*'Investment Calculator'!$C$7/'Investment Calculator'!$F$4,"")</f>
        <v/>
      </c>
      <c r="F1529" s="27" t="str">
        <f>IFERROR(ABS(FV('Investment Calculator'!$C$7/'Investment Calculator'!$F$4,'SIP Schedule'!C1529,'SIP Schedule'!D1529,,1)),"")</f>
        <v/>
      </c>
    </row>
    <row r="1530" spans="3:6" x14ac:dyDescent="0.3">
      <c r="C1530" s="1" t="str">
        <f>IF(C1529&lt;'Investment Calculator'!$C$8*'Investment Calculator'!$F$4,'SIP Schedule'!C1529+1,"")</f>
        <v/>
      </c>
      <c r="D1530" s="27" t="str">
        <f>IF(C1530&lt;='Investment Calculator'!$C$8*'Investment Calculator'!$F$4,'Investment Calculator'!$C$6,"")</f>
        <v/>
      </c>
      <c r="E1530" s="27" t="str">
        <f>IFERROR((F1529+D1530)*'Investment Calculator'!$C$7/'Investment Calculator'!$F$4,"")</f>
        <v/>
      </c>
      <c r="F1530" s="27" t="str">
        <f>IFERROR(ABS(FV('Investment Calculator'!$C$7/'Investment Calculator'!$F$4,'SIP Schedule'!C1530,'SIP Schedule'!D1530,,1)),"")</f>
        <v/>
      </c>
    </row>
    <row r="1531" spans="3:6" x14ac:dyDescent="0.3">
      <c r="C1531" s="1" t="str">
        <f>IF(C1530&lt;'Investment Calculator'!$C$8*'Investment Calculator'!$F$4,'SIP Schedule'!C1530+1,"")</f>
        <v/>
      </c>
      <c r="D1531" s="27" t="str">
        <f>IF(C1531&lt;='Investment Calculator'!$C$8*'Investment Calculator'!$F$4,'Investment Calculator'!$C$6,"")</f>
        <v/>
      </c>
      <c r="E1531" s="27" t="str">
        <f>IFERROR((F1530+D1531)*'Investment Calculator'!$C$7/'Investment Calculator'!$F$4,"")</f>
        <v/>
      </c>
      <c r="F1531" s="27" t="str">
        <f>IFERROR(ABS(FV('Investment Calculator'!$C$7/'Investment Calculator'!$F$4,'SIP Schedule'!C1531,'SIP Schedule'!D1531,,1)),"")</f>
        <v/>
      </c>
    </row>
    <row r="1532" spans="3:6" x14ac:dyDescent="0.3">
      <c r="C1532" s="1" t="str">
        <f>IF(C1531&lt;'Investment Calculator'!$C$8*'Investment Calculator'!$F$4,'SIP Schedule'!C1531+1,"")</f>
        <v/>
      </c>
      <c r="D1532" s="27" t="str">
        <f>IF(C1532&lt;='Investment Calculator'!$C$8*'Investment Calculator'!$F$4,'Investment Calculator'!$C$6,"")</f>
        <v/>
      </c>
      <c r="E1532" s="27" t="str">
        <f>IFERROR((F1531+D1532)*'Investment Calculator'!$C$7/'Investment Calculator'!$F$4,"")</f>
        <v/>
      </c>
      <c r="F1532" s="27" t="str">
        <f>IFERROR(ABS(FV('Investment Calculator'!$C$7/'Investment Calculator'!$F$4,'SIP Schedule'!C1532,'SIP Schedule'!D1532,,1)),"")</f>
        <v/>
      </c>
    </row>
    <row r="1533" spans="3:6" x14ac:dyDescent="0.3">
      <c r="C1533" s="1" t="str">
        <f>IF(C1532&lt;'Investment Calculator'!$C$8*'Investment Calculator'!$F$4,'SIP Schedule'!C1532+1,"")</f>
        <v/>
      </c>
      <c r="D1533" s="27" t="str">
        <f>IF(C1533&lt;='Investment Calculator'!$C$8*'Investment Calculator'!$F$4,'Investment Calculator'!$C$6,"")</f>
        <v/>
      </c>
      <c r="E1533" s="27" t="str">
        <f>IFERROR((F1532+D1533)*'Investment Calculator'!$C$7/'Investment Calculator'!$F$4,"")</f>
        <v/>
      </c>
      <c r="F1533" s="27" t="str">
        <f>IFERROR(ABS(FV('Investment Calculator'!$C$7/'Investment Calculator'!$F$4,'SIP Schedule'!C1533,'SIP Schedule'!D1533,,1)),"")</f>
        <v/>
      </c>
    </row>
    <row r="1534" spans="3:6" x14ac:dyDescent="0.3">
      <c r="C1534" s="1" t="str">
        <f>IF(C1533&lt;'Investment Calculator'!$C$8*'Investment Calculator'!$F$4,'SIP Schedule'!C1533+1,"")</f>
        <v/>
      </c>
      <c r="D1534" s="27" t="str">
        <f>IF(C1534&lt;='Investment Calculator'!$C$8*'Investment Calculator'!$F$4,'Investment Calculator'!$C$6,"")</f>
        <v/>
      </c>
      <c r="E1534" s="27" t="str">
        <f>IFERROR((F1533+D1534)*'Investment Calculator'!$C$7/'Investment Calculator'!$F$4,"")</f>
        <v/>
      </c>
      <c r="F1534" s="27" t="str">
        <f>IFERROR(ABS(FV('Investment Calculator'!$C$7/'Investment Calculator'!$F$4,'SIP Schedule'!C1534,'SIP Schedule'!D1534,,1)),"")</f>
        <v/>
      </c>
    </row>
    <row r="1535" spans="3:6" x14ac:dyDescent="0.3">
      <c r="C1535" s="1" t="str">
        <f>IF(C1534&lt;'Investment Calculator'!$C$8*'Investment Calculator'!$F$4,'SIP Schedule'!C1534+1,"")</f>
        <v/>
      </c>
      <c r="D1535" s="27" t="str">
        <f>IF(C1535&lt;='Investment Calculator'!$C$8*'Investment Calculator'!$F$4,'Investment Calculator'!$C$6,"")</f>
        <v/>
      </c>
      <c r="E1535" s="27" t="str">
        <f>IFERROR((F1534+D1535)*'Investment Calculator'!$C$7/'Investment Calculator'!$F$4,"")</f>
        <v/>
      </c>
      <c r="F1535" s="27" t="str">
        <f>IFERROR(ABS(FV('Investment Calculator'!$C$7/'Investment Calculator'!$F$4,'SIP Schedule'!C1535,'SIP Schedule'!D1535,,1)),"")</f>
        <v/>
      </c>
    </row>
    <row r="1536" spans="3:6" x14ac:dyDescent="0.3">
      <c r="C1536" s="1" t="str">
        <f>IF(C1535&lt;'Investment Calculator'!$C$8*'Investment Calculator'!$F$4,'SIP Schedule'!C1535+1,"")</f>
        <v/>
      </c>
      <c r="D1536" s="27" t="str">
        <f>IF(C1536&lt;='Investment Calculator'!$C$8*'Investment Calculator'!$F$4,'Investment Calculator'!$C$6,"")</f>
        <v/>
      </c>
      <c r="E1536" s="27" t="str">
        <f>IFERROR((F1535+D1536)*'Investment Calculator'!$C$7/'Investment Calculator'!$F$4,"")</f>
        <v/>
      </c>
      <c r="F1536" s="27" t="str">
        <f>IFERROR(ABS(FV('Investment Calculator'!$C$7/'Investment Calculator'!$F$4,'SIP Schedule'!C1536,'SIP Schedule'!D1536,,1)),"")</f>
        <v/>
      </c>
    </row>
    <row r="1537" spans="3:6" x14ac:dyDescent="0.3">
      <c r="C1537" s="1" t="str">
        <f>IF(C1536&lt;'Investment Calculator'!$C$8*'Investment Calculator'!$F$4,'SIP Schedule'!C1536+1,"")</f>
        <v/>
      </c>
      <c r="D1537" s="27" t="str">
        <f>IF(C1537&lt;='Investment Calculator'!$C$8*'Investment Calculator'!$F$4,'Investment Calculator'!$C$6,"")</f>
        <v/>
      </c>
      <c r="E1537" s="27" t="str">
        <f>IFERROR((F1536+D1537)*'Investment Calculator'!$C$7/'Investment Calculator'!$F$4,"")</f>
        <v/>
      </c>
      <c r="F1537" s="27" t="str">
        <f>IFERROR(ABS(FV('Investment Calculator'!$C$7/'Investment Calculator'!$F$4,'SIP Schedule'!C1537,'SIP Schedule'!D1537,,1)),"")</f>
        <v/>
      </c>
    </row>
    <row r="1538" spans="3:6" x14ac:dyDescent="0.3">
      <c r="C1538" s="1" t="str">
        <f>IF(C1537&lt;'Investment Calculator'!$C$8*'Investment Calculator'!$F$4,'SIP Schedule'!C1537+1,"")</f>
        <v/>
      </c>
      <c r="D1538" s="27" t="str">
        <f>IF(C1538&lt;='Investment Calculator'!$C$8*'Investment Calculator'!$F$4,'Investment Calculator'!$C$6,"")</f>
        <v/>
      </c>
      <c r="E1538" s="27" t="str">
        <f>IFERROR((F1537+D1538)*'Investment Calculator'!$C$7/'Investment Calculator'!$F$4,"")</f>
        <v/>
      </c>
      <c r="F1538" s="27" t="str">
        <f>IFERROR(ABS(FV('Investment Calculator'!$C$7/'Investment Calculator'!$F$4,'SIP Schedule'!C1538,'SIP Schedule'!D1538,,1)),"")</f>
        <v/>
      </c>
    </row>
    <row r="1539" spans="3:6" x14ac:dyDescent="0.3">
      <c r="C1539" s="1" t="str">
        <f>IF(C1538&lt;'Investment Calculator'!$C$8*'Investment Calculator'!$F$4,'SIP Schedule'!C1538+1,"")</f>
        <v/>
      </c>
      <c r="D1539" s="27" t="str">
        <f>IF(C1539&lt;='Investment Calculator'!$C$8*'Investment Calculator'!$F$4,'Investment Calculator'!$C$6,"")</f>
        <v/>
      </c>
      <c r="E1539" s="27" t="str">
        <f>IFERROR((F1538+D1539)*'Investment Calculator'!$C$7/'Investment Calculator'!$F$4,"")</f>
        <v/>
      </c>
      <c r="F1539" s="27" t="str">
        <f>IFERROR(ABS(FV('Investment Calculator'!$C$7/'Investment Calculator'!$F$4,'SIP Schedule'!C1539,'SIP Schedule'!D1539,,1)),"")</f>
        <v/>
      </c>
    </row>
    <row r="1540" spans="3:6" x14ac:dyDescent="0.3">
      <c r="C1540" s="1" t="str">
        <f>IF(C1539&lt;'Investment Calculator'!$C$8*'Investment Calculator'!$F$4,'SIP Schedule'!C1539+1,"")</f>
        <v/>
      </c>
      <c r="D1540" s="27" t="str">
        <f>IF(C1540&lt;='Investment Calculator'!$C$8*'Investment Calculator'!$F$4,'Investment Calculator'!$C$6,"")</f>
        <v/>
      </c>
      <c r="E1540" s="27" t="str">
        <f>IFERROR((F1539+D1540)*'Investment Calculator'!$C$7/'Investment Calculator'!$F$4,"")</f>
        <v/>
      </c>
      <c r="F1540" s="27" t="str">
        <f>IFERROR(ABS(FV('Investment Calculator'!$C$7/'Investment Calculator'!$F$4,'SIP Schedule'!C1540,'SIP Schedule'!D1540,,1)),"")</f>
        <v/>
      </c>
    </row>
    <row r="1541" spans="3:6" x14ac:dyDescent="0.3">
      <c r="C1541" s="1" t="str">
        <f>IF(C1540&lt;'Investment Calculator'!$C$8*'Investment Calculator'!$F$4,'SIP Schedule'!C1540+1,"")</f>
        <v/>
      </c>
      <c r="D1541" s="27" t="str">
        <f>IF(C1541&lt;='Investment Calculator'!$C$8*'Investment Calculator'!$F$4,'Investment Calculator'!$C$6,"")</f>
        <v/>
      </c>
      <c r="E1541" s="27" t="str">
        <f>IFERROR((F1540+D1541)*'Investment Calculator'!$C$7/'Investment Calculator'!$F$4,"")</f>
        <v/>
      </c>
      <c r="F1541" s="27" t="str">
        <f>IFERROR(ABS(FV('Investment Calculator'!$C$7/'Investment Calculator'!$F$4,'SIP Schedule'!C1541,'SIP Schedule'!D1541,,1)),"")</f>
        <v/>
      </c>
    </row>
    <row r="1542" spans="3:6" x14ac:dyDescent="0.3">
      <c r="C1542" s="1" t="str">
        <f>IF(C1541&lt;'Investment Calculator'!$C$8*'Investment Calculator'!$F$4,'SIP Schedule'!C1541+1,"")</f>
        <v/>
      </c>
      <c r="D1542" s="27" t="str">
        <f>IF(C1542&lt;='Investment Calculator'!$C$8*'Investment Calculator'!$F$4,'Investment Calculator'!$C$6,"")</f>
        <v/>
      </c>
      <c r="E1542" s="27" t="str">
        <f>IFERROR((F1541+D1542)*'Investment Calculator'!$C$7/'Investment Calculator'!$F$4,"")</f>
        <v/>
      </c>
      <c r="F1542" s="27" t="str">
        <f>IFERROR(ABS(FV('Investment Calculator'!$C$7/'Investment Calculator'!$F$4,'SIP Schedule'!C1542,'SIP Schedule'!D1542,,1)),"")</f>
        <v/>
      </c>
    </row>
    <row r="1543" spans="3:6" x14ac:dyDescent="0.3">
      <c r="C1543" s="1" t="str">
        <f>IF(C1542&lt;'Investment Calculator'!$C$8*'Investment Calculator'!$F$4,'SIP Schedule'!C1542+1,"")</f>
        <v/>
      </c>
      <c r="D1543" s="27" t="str">
        <f>IF(C1543&lt;='Investment Calculator'!$C$8*'Investment Calculator'!$F$4,'Investment Calculator'!$C$6,"")</f>
        <v/>
      </c>
      <c r="E1543" s="27" t="str">
        <f>IFERROR((F1542+D1543)*'Investment Calculator'!$C$7/'Investment Calculator'!$F$4,"")</f>
        <v/>
      </c>
      <c r="F1543" s="27" t="str">
        <f>IFERROR(ABS(FV('Investment Calculator'!$C$7/'Investment Calculator'!$F$4,'SIP Schedule'!C1543,'SIP Schedule'!D1543,,1)),"")</f>
        <v/>
      </c>
    </row>
    <row r="1544" spans="3:6" x14ac:dyDescent="0.3">
      <c r="C1544" s="1" t="str">
        <f>IF(C1543&lt;'Investment Calculator'!$C$8*'Investment Calculator'!$F$4,'SIP Schedule'!C1543+1,"")</f>
        <v/>
      </c>
      <c r="D1544" s="27" t="str">
        <f>IF(C1544&lt;='Investment Calculator'!$C$8*'Investment Calculator'!$F$4,'Investment Calculator'!$C$6,"")</f>
        <v/>
      </c>
      <c r="E1544" s="27" t="str">
        <f>IFERROR((F1543+D1544)*'Investment Calculator'!$C$7/'Investment Calculator'!$F$4,"")</f>
        <v/>
      </c>
      <c r="F1544" s="27" t="str">
        <f>IFERROR(ABS(FV('Investment Calculator'!$C$7/'Investment Calculator'!$F$4,'SIP Schedule'!C1544,'SIP Schedule'!D1544,,1)),"")</f>
        <v/>
      </c>
    </row>
    <row r="1545" spans="3:6" x14ac:dyDescent="0.3">
      <c r="C1545" s="1" t="str">
        <f>IF(C1544&lt;'Investment Calculator'!$C$8*'Investment Calculator'!$F$4,'SIP Schedule'!C1544+1,"")</f>
        <v/>
      </c>
      <c r="D1545" s="27" t="str">
        <f>IF(C1545&lt;='Investment Calculator'!$C$8*'Investment Calculator'!$F$4,'Investment Calculator'!$C$6,"")</f>
        <v/>
      </c>
      <c r="E1545" s="27" t="str">
        <f>IFERROR((F1544+D1545)*'Investment Calculator'!$C$7/'Investment Calculator'!$F$4,"")</f>
        <v/>
      </c>
      <c r="F1545" s="27" t="str">
        <f>IFERROR(ABS(FV('Investment Calculator'!$C$7/'Investment Calculator'!$F$4,'SIP Schedule'!C1545,'SIP Schedule'!D1545,,1)),"")</f>
        <v/>
      </c>
    </row>
    <row r="1546" spans="3:6" x14ac:dyDescent="0.3">
      <c r="C1546" s="1" t="str">
        <f>IF(C1545&lt;'Investment Calculator'!$C$8*'Investment Calculator'!$F$4,'SIP Schedule'!C1545+1,"")</f>
        <v/>
      </c>
      <c r="D1546" s="27" t="str">
        <f>IF(C1546&lt;='Investment Calculator'!$C$8*'Investment Calculator'!$F$4,'Investment Calculator'!$C$6,"")</f>
        <v/>
      </c>
      <c r="E1546" s="27" t="str">
        <f>IFERROR((F1545+D1546)*'Investment Calculator'!$C$7/'Investment Calculator'!$F$4,"")</f>
        <v/>
      </c>
      <c r="F1546" s="27" t="str">
        <f>IFERROR(ABS(FV('Investment Calculator'!$C$7/'Investment Calculator'!$F$4,'SIP Schedule'!C1546,'SIP Schedule'!D1546,,1)),"")</f>
        <v/>
      </c>
    </row>
    <row r="1547" spans="3:6" x14ac:dyDescent="0.3">
      <c r="C1547" s="1" t="str">
        <f>IF(C1546&lt;'Investment Calculator'!$C$8*'Investment Calculator'!$F$4,'SIP Schedule'!C1546+1,"")</f>
        <v/>
      </c>
      <c r="D1547" s="27" t="str">
        <f>IF(C1547&lt;='Investment Calculator'!$C$8*'Investment Calculator'!$F$4,'Investment Calculator'!$C$6,"")</f>
        <v/>
      </c>
      <c r="E1547" s="27" t="str">
        <f>IFERROR((F1546+D1547)*'Investment Calculator'!$C$7/'Investment Calculator'!$F$4,"")</f>
        <v/>
      </c>
      <c r="F1547" s="27" t="str">
        <f>IFERROR(ABS(FV('Investment Calculator'!$C$7/'Investment Calculator'!$F$4,'SIP Schedule'!C1547,'SIP Schedule'!D1547,,1)),"")</f>
        <v/>
      </c>
    </row>
    <row r="1548" spans="3:6" x14ac:dyDescent="0.3">
      <c r="C1548" s="1" t="str">
        <f>IF(C1547&lt;'Investment Calculator'!$C$8*'Investment Calculator'!$F$4,'SIP Schedule'!C1547+1,"")</f>
        <v/>
      </c>
      <c r="D1548" s="27" t="str">
        <f>IF(C1548&lt;='Investment Calculator'!$C$8*'Investment Calculator'!$F$4,'Investment Calculator'!$C$6,"")</f>
        <v/>
      </c>
      <c r="E1548" s="27" t="str">
        <f>IFERROR((F1547+D1548)*'Investment Calculator'!$C$7/'Investment Calculator'!$F$4,"")</f>
        <v/>
      </c>
      <c r="F1548" s="27" t="str">
        <f>IFERROR(ABS(FV('Investment Calculator'!$C$7/'Investment Calculator'!$F$4,'SIP Schedule'!C1548,'SIP Schedule'!D1548,,1)),"")</f>
        <v/>
      </c>
    </row>
    <row r="1549" spans="3:6" x14ac:dyDescent="0.3">
      <c r="C1549" s="1" t="str">
        <f>IF(C1548&lt;'Investment Calculator'!$C$8*'Investment Calculator'!$F$4,'SIP Schedule'!C1548+1,"")</f>
        <v/>
      </c>
      <c r="D1549" s="27" t="str">
        <f>IF(C1549&lt;='Investment Calculator'!$C$8*'Investment Calculator'!$F$4,'Investment Calculator'!$C$6,"")</f>
        <v/>
      </c>
      <c r="E1549" s="27" t="str">
        <f>IFERROR((F1548+D1549)*'Investment Calculator'!$C$7/'Investment Calculator'!$F$4,"")</f>
        <v/>
      </c>
      <c r="F1549" s="27" t="str">
        <f>IFERROR(ABS(FV('Investment Calculator'!$C$7/'Investment Calculator'!$F$4,'SIP Schedule'!C1549,'SIP Schedule'!D1549,,1)),"")</f>
        <v/>
      </c>
    </row>
    <row r="1550" spans="3:6" x14ac:dyDescent="0.3">
      <c r="C1550" s="1" t="str">
        <f>IF(C1549&lt;'Investment Calculator'!$C$8*'Investment Calculator'!$F$4,'SIP Schedule'!C1549+1,"")</f>
        <v/>
      </c>
      <c r="D1550" s="27" t="str">
        <f>IF(C1550&lt;='Investment Calculator'!$C$8*'Investment Calculator'!$F$4,'Investment Calculator'!$C$6,"")</f>
        <v/>
      </c>
      <c r="E1550" s="27" t="str">
        <f>IFERROR((F1549+D1550)*'Investment Calculator'!$C$7/'Investment Calculator'!$F$4,"")</f>
        <v/>
      </c>
      <c r="F1550" s="27" t="str">
        <f>IFERROR(ABS(FV('Investment Calculator'!$C$7/'Investment Calculator'!$F$4,'SIP Schedule'!C1550,'SIP Schedule'!D1550,,1)),"")</f>
        <v/>
      </c>
    </row>
    <row r="1551" spans="3:6" x14ac:dyDescent="0.3">
      <c r="C1551" s="1" t="str">
        <f>IF(C1550&lt;'Investment Calculator'!$C$8*'Investment Calculator'!$F$4,'SIP Schedule'!C1550+1,"")</f>
        <v/>
      </c>
      <c r="D1551" s="27" t="str">
        <f>IF(C1551&lt;='Investment Calculator'!$C$8*'Investment Calculator'!$F$4,'Investment Calculator'!$C$6,"")</f>
        <v/>
      </c>
      <c r="E1551" s="27" t="str">
        <f>IFERROR((F1550+D1551)*'Investment Calculator'!$C$7/'Investment Calculator'!$F$4,"")</f>
        <v/>
      </c>
      <c r="F1551" s="27" t="str">
        <f>IFERROR(ABS(FV('Investment Calculator'!$C$7/'Investment Calculator'!$F$4,'SIP Schedule'!C1551,'SIP Schedule'!D1551,,1)),"")</f>
        <v/>
      </c>
    </row>
    <row r="1552" spans="3:6" x14ac:dyDescent="0.3">
      <c r="C1552" s="1" t="str">
        <f>IF(C1551&lt;'Investment Calculator'!$C$8*'Investment Calculator'!$F$4,'SIP Schedule'!C1551+1,"")</f>
        <v/>
      </c>
      <c r="D1552" s="27" t="str">
        <f>IF(C1552&lt;='Investment Calculator'!$C$8*'Investment Calculator'!$F$4,'Investment Calculator'!$C$6,"")</f>
        <v/>
      </c>
      <c r="E1552" s="27" t="str">
        <f>IFERROR((F1551+D1552)*'Investment Calculator'!$C$7/'Investment Calculator'!$F$4,"")</f>
        <v/>
      </c>
      <c r="F1552" s="27" t="str">
        <f>IFERROR(ABS(FV('Investment Calculator'!$C$7/'Investment Calculator'!$F$4,'SIP Schedule'!C1552,'SIP Schedule'!D1552,,1)),"")</f>
        <v/>
      </c>
    </row>
    <row r="1553" spans="3:6" x14ac:dyDescent="0.3">
      <c r="C1553" s="1" t="str">
        <f>IF(C1552&lt;'Investment Calculator'!$C$8*'Investment Calculator'!$F$4,'SIP Schedule'!C1552+1,"")</f>
        <v/>
      </c>
      <c r="D1553" s="27" t="str">
        <f>IF(C1553&lt;='Investment Calculator'!$C$8*'Investment Calculator'!$F$4,'Investment Calculator'!$C$6,"")</f>
        <v/>
      </c>
      <c r="E1553" s="27" t="str">
        <f>IFERROR((F1552+D1553)*'Investment Calculator'!$C$7/'Investment Calculator'!$F$4,"")</f>
        <v/>
      </c>
      <c r="F1553" s="27" t="str">
        <f>IFERROR(ABS(FV('Investment Calculator'!$C$7/'Investment Calculator'!$F$4,'SIP Schedule'!C1553,'SIP Schedule'!D1553,,1)),"")</f>
        <v/>
      </c>
    </row>
    <row r="1554" spans="3:6" x14ac:dyDescent="0.3">
      <c r="C1554" s="1" t="str">
        <f>IF(C1553&lt;'Investment Calculator'!$C$8*'Investment Calculator'!$F$4,'SIP Schedule'!C1553+1,"")</f>
        <v/>
      </c>
      <c r="D1554" s="27" t="str">
        <f>IF(C1554&lt;='Investment Calculator'!$C$8*'Investment Calculator'!$F$4,'Investment Calculator'!$C$6,"")</f>
        <v/>
      </c>
      <c r="E1554" s="27" t="str">
        <f>IFERROR((F1553+D1554)*'Investment Calculator'!$C$7/'Investment Calculator'!$F$4,"")</f>
        <v/>
      </c>
      <c r="F1554" s="27" t="str">
        <f>IFERROR(ABS(FV('Investment Calculator'!$C$7/'Investment Calculator'!$F$4,'SIP Schedule'!C1554,'SIP Schedule'!D1554,,1)),"")</f>
        <v/>
      </c>
    </row>
    <row r="1555" spans="3:6" x14ac:dyDescent="0.3">
      <c r="C1555" s="1" t="str">
        <f>IF(C1554&lt;'Investment Calculator'!$C$8*'Investment Calculator'!$F$4,'SIP Schedule'!C1554+1,"")</f>
        <v/>
      </c>
      <c r="D1555" s="27" t="str">
        <f>IF(C1555&lt;='Investment Calculator'!$C$8*'Investment Calculator'!$F$4,'Investment Calculator'!$C$6,"")</f>
        <v/>
      </c>
      <c r="E1555" s="27" t="str">
        <f>IFERROR((F1554+D1555)*'Investment Calculator'!$C$7/'Investment Calculator'!$F$4,"")</f>
        <v/>
      </c>
      <c r="F1555" s="27" t="str">
        <f>IFERROR(ABS(FV('Investment Calculator'!$C$7/'Investment Calculator'!$F$4,'SIP Schedule'!C1555,'SIP Schedule'!D1555,,1)),"")</f>
        <v/>
      </c>
    </row>
    <row r="1556" spans="3:6" x14ac:dyDescent="0.3">
      <c r="C1556" s="1" t="str">
        <f>IF(C1555&lt;'Investment Calculator'!$C$8*'Investment Calculator'!$F$4,'SIP Schedule'!C1555+1,"")</f>
        <v/>
      </c>
      <c r="D1556" s="27" t="str">
        <f>IF(C1556&lt;='Investment Calculator'!$C$8*'Investment Calculator'!$F$4,'Investment Calculator'!$C$6,"")</f>
        <v/>
      </c>
      <c r="E1556" s="27" t="str">
        <f>IFERROR((F1555+D1556)*'Investment Calculator'!$C$7/'Investment Calculator'!$F$4,"")</f>
        <v/>
      </c>
      <c r="F1556" s="27" t="str">
        <f>IFERROR(ABS(FV('Investment Calculator'!$C$7/'Investment Calculator'!$F$4,'SIP Schedule'!C1556,'SIP Schedule'!D1556,,1)),"")</f>
        <v/>
      </c>
    </row>
    <row r="1557" spans="3:6" x14ac:dyDescent="0.3">
      <c r="C1557" s="1" t="str">
        <f>IF(C1556&lt;'Investment Calculator'!$C$8*'Investment Calculator'!$F$4,'SIP Schedule'!C1556+1,"")</f>
        <v/>
      </c>
      <c r="D1557" s="27" t="str">
        <f>IF(C1557&lt;='Investment Calculator'!$C$8*'Investment Calculator'!$F$4,'Investment Calculator'!$C$6,"")</f>
        <v/>
      </c>
      <c r="E1557" s="27" t="str">
        <f>IFERROR((F1556+D1557)*'Investment Calculator'!$C$7/'Investment Calculator'!$F$4,"")</f>
        <v/>
      </c>
      <c r="F1557" s="27" t="str">
        <f>IFERROR(ABS(FV('Investment Calculator'!$C$7/'Investment Calculator'!$F$4,'SIP Schedule'!C1557,'SIP Schedule'!D1557,,1)),"")</f>
        <v/>
      </c>
    </row>
    <row r="1558" spans="3:6" x14ac:dyDescent="0.3">
      <c r="C1558" s="1" t="str">
        <f>IF(C1557&lt;'Investment Calculator'!$C$8*'Investment Calculator'!$F$4,'SIP Schedule'!C1557+1,"")</f>
        <v/>
      </c>
      <c r="D1558" s="27" t="str">
        <f>IF(C1558&lt;='Investment Calculator'!$C$8*'Investment Calculator'!$F$4,'Investment Calculator'!$C$6,"")</f>
        <v/>
      </c>
      <c r="E1558" s="27" t="str">
        <f>IFERROR((F1557+D1558)*'Investment Calculator'!$C$7/'Investment Calculator'!$F$4,"")</f>
        <v/>
      </c>
      <c r="F1558" s="27" t="str">
        <f>IFERROR(ABS(FV('Investment Calculator'!$C$7/'Investment Calculator'!$F$4,'SIP Schedule'!C1558,'SIP Schedule'!D1558,,1)),"")</f>
        <v/>
      </c>
    </row>
    <row r="1559" spans="3:6" x14ac:dyDescent="0.3">
      <c r="C1559" s="1" t="str">
        <f>IF(C1558&lt;'Investment Calculator'!$C$8*'Investment Calculator'!$F$4,'SIP Schedule'!C1558+1,"")</f>
        <v/>
      </c>
      <c r="D1559" s="27" t="str">
        <f>IF(C1559&lt;='Investment Calculator'!$C$8*'Investment Calculator'!$F$4,'Investment Calculator'!$C$6,"")</f>
        <v/>
      </c>
      <c r="E1559" s="27" t="str">
        <f>IFERROR((F1558+D1559)*'Investment Calculator'!$C$7/'Investment Calculator'!$F$4,"")</f>
        <v/>
      </c>
      <c r="F1559" s="27" t="str">
        <f>IFERROR(ABS(FV('Investment Calculator'!$C$7/'Investment Calculator'!$F$4,'SIP Schedule'!C1559,'SIP Schedule'!D1559,,1)),"")</f>
        <v/>
      </c>
    </row>
    <row r="1560" spans="3:6" x14ac:dyDescent="0.3">
      <c r="C1560" s="1" t="str">
        <f>IF(C1559&lt;'Investment Calculator'!$C$8*'Investment Calculator'!$F$4,'SIP Schedule'!C1559+1,"")</f>
        <v/>
      </c>
      <c r="D1560" s="27" t="str">
        <f>IF(C1560&lt;='Investment Calculator'!$C$8*'Investment Calculator'!$F$4,'Investment Calculator'!$C$6,"")</f>
        <v/>
      </c>
      <c r="E1560" s="27" t="str">
        <f>IFERROR((F1559+D1560)*'Investment Calculator'!$C$7/'Investment Calculator'!$F$4,"")</f>
        <v/>
      </c>
      <c r="F1560" s="27" t="str">
        <f>IFERROR(ABS(FV('Investment Calculator'!$C$7/'Investment Calculator'!$F$4,'SIP Schedule'!C1560,'SIP Schedule'!D1560,,1)),"")</f>
        <v/>
      </c>
    </row>
    <row r="1561" spans="3:6" x14ac:dyDescent="0.3">
      <c r="C1561" s="1" t="str">
        <f>IF(C1560&lt;'Investment Calculator'!$C$8*'Investment Calculator'!$F$4,'SIP Schedule'!C1560+1,"")</f>
        <v/>
      </c>
      <c r="D1561" s="27" t="str">
        <f>IF(C1561&lt;='Investment Calculator'!$C$8*'Investment Calculator'!$F$4,'Investment Calculator'!$C$6,"")</f>
        <v/>
      </c>
      <c r="E1561" s="27" t="str">
        <f>IFERROR((F1560+D1561)*'Investment Calculator'!$C$7/'Investment Calculator'!$F$4,"")</f>
        <v/>
      </c>
      <c r="F1561" s="27" t="str">
        <f>IFERROR(ABS(FV('Investment Calculator'!$C$7/'Investment Calculator'!$F$4,'SIP Schedule'!C1561,'SIP Schedule'!D1561,,1)),"")</f>
        <v/>
      </c>
    </row>
    <row r="1562" spans="3:6" x14ac:dyDescent="0.3">
      <c r="C1562" s="1" t="str">
        <f>IF(C1561&lt;'Investment Calculator'!$C$8*'Investment Calculator'!$F$4,'SIP Schedule'!C1561+1,"")</f>
        <v/>
      </c>
      <c r="D1562" s="27" t="str">
        <f>IF(C1562&lt;='Investment Calculator'!$C$8*'Investment Calculator'!$F$4,'Investment Calculator'!$C$6,"")</f>
        <v/>
      </c>
      <c r="E1562" s="27" t="str">
        <f>IFERROR((F1561+D1562)*'Investment Calculator'!$C$7/'Investment Calculator'!$F$4,"")</f>
        <v/>
      </c>
      <c r="F1562" s="27" t="str">
        <f>IFERROR(ABS(FV('Investment Calculator'!$C$7/'Investment Calculator'!$F$4,'SIP Schedule'!C1562,'SIP Schedule'!D1562,,1)),"")</f>
        <v/>
      </c>
    </row>
    <row r="1563" spans="3:6" x14ac:dyDescent="0.3">
      <c r="C1563" s="1" t="str">
        <f>IF(C1562&lt;'Investment Calculator'!$C$8*'Investment Calculator'!$F$4,'SIP Schedule'!C1562+1,"")</f>
        <v/>
      </c>
      <c r="D1563" s="27" t="str">
        <f>IF(C1563&lt;='Investment Calculator'!$C$8*'Investment Calculator'!$F$4,'Investment Calculator'!$C$6,"")</f>
        <v/>
      </c>
      <c r="E1563" s="27" t="str">
        <f>IFERROR((F1562+D1563)*'Investment Calculator'!$C$7/'Investment Calculator'!$F$4,"")</f>
        <v/>
      </c>
      <c r="F1563" s="27" t="str">
        <f>IFERROR(ABS(FV('Investment Calculator'!$C$7/'Investment Calculator'!$F$4,'SIP Schedule'!C1563,'SIP Schedule'!D1563,,1)),"")</f>
        <v/>
      </c>
    </row>
    <row r="1564" spans="3:6" x14ac:dyDescent="0.3">
      <c r="C1564" s="1" t="str">
        <f>IF(C1563&lt;'Investment Calculator'!$C$8*'Investment Calculator'!$F$4,'SIP Schedule'!C1563+1,"")</f>
        <v/>
      </c>
      <c r="D1564" s="27" t="str">
        <f>IF(C1564&lt;='Investment Calculator'!$C$8*'Investment Calculator'!$F$4,'Investment Calculator'!$C$6,"")</f>
        <v/>
      </c>
      <c r="E1564" s="27" t="str">
        <f>IFERROR((F1563+D1564)*'Investment Calculator'!$C$7/'Investment Calculator'!$F$4,"")</f>
        <v/>
      </c>
      <c r="F1564" s="27" t="str">
        <f>IFERROR(ABS(FV('Investment Calculator'!$C$7/'Investment Calculator'!$F$4,'SIP Schedule'!C1564,'SIP Schedule'!D1564,,1)),"")</f>
        <v/>
      </c>
    </row>
    <row r="1565" spans="3:6" x14ac:dyDescent="0.3">
      <c r="C1565" s="1" t="str">
        <f>IF(C1564&lt;'Investment Calculator'!$C$8*'Investment Calculator'!$F$4,'SIP Schedule'!C1564+1,"")</f>
        <v/>
      </c>
      <c r="D1565" s="27" t="str">
        <f>IF(C1565&lt;='Investment Calculator'!$C$8*'Investment Calculator'!$F$4,'Investment Calculator'!$C$6,"")</f>
        <v/>
      </c>
      <c r="E1565" s="27" t="str">
        <f>IFERROR((F1564+D1565)*'Investment Calculator'!$C$7/'Investment Calculator'!$F$4,"")</f>
        <v/>
      </c>
      <c r="F1565" s="27" t="str">
        <f>IFERROR(ABS(FV('Investment Calculator'!$C$7/'Investment Calculator'!$F$4,'SIP Schedule'!C1565,'SIP Schedule'!D1565,,1)),"")</f>
        <v/>
      </c>
    </row>
    <row r="1566" spans="3:6" x14ac:dyDescent="0.3">
      <c r="C1566" s="1" t="str">
        <f>IF(C1565&lt;'Investment Calculator'!$C$8*'Investment Calculator'!$F$4,'SIP Schedule'!C1565+1,"")</f>
        <v/>
      </c>
      <c r="D1566" s="27" t="str">
        <f>IF(C1566&lt;='Investment Calculator'!$C$8*'Investment Calculator'!$F$4,'Investment Calculator'!$C$6,"")</f>
        <v/>
      </c>
      <c r="E1566" s="27" t="str">
        <f>IFERROR((F1565+D1566)*'Investment Calculator'!$C$7/'Investment Calculator'!$F$4,"")</f>
        <v/>
      </c>
      <c r="F1566" s="27" t="str">
        <f>IFERROR(ABS(FV('Investment Calculator'!$C$7/'Investment Calculator'!$F$4,'SIP Schedule'!C1566,'SIP Schedule'!D1566,,1)),"")</f>
        <v/>
      </c>
    </row>
    <row r="1567" spans="3:6" x14ac:dyDescent="0.3">
      <c r="C1567" s="1" t="str">
        <f>IF(C1566&lt;'Investment Calculator'!$C$8*'Investment Calculator'!$F$4,'SIP Schedule'!C1566+1,"")</f>
        <v/>
      </c>
      <c r="D1567" s="27" t="str">
        <f>IF(C1567&lt;='Investment Calculator'!$C$8*'Investment Calculator'!$F$4,'Investment Calculator'!$C$6,"")</f>
        <v/>
      </c>
      <c r="E1567" s="27" t="str">
        <f>IFERROR((F1566+D1567)*'Investment Calculator'!$C$7/'Investment Calculator'!$F$4,"")</f>
        <v/>
      </c>
      <c r="F1567" s="27" t="str">
        <f>IFERROR(ABS(FV('Investment Calculator'!$C$7/'Investment Calculator'!$F$4,'SIP Schedule'!C1567,'SIP Schedule'!D1567,,1)),"")</f>
        <v/>
      </c>
    </row>
    <row r="1568" spans="3:6" x14ac:dyDescent="0.3">
      <c r="C1568" s="1" t="str">
        <f>IF(C1567&lt;'Investment Calculator'!$C$8*'Investment Calculator'!$F$4,'SIP Schedule'!C1567+1,"")</f>
        <v/>
      </c>
      <c r="D1568" s="27" t="str">
        <f>IF(C1568&lt;='Investment Calculator'!$C$8*'Investment Calculator'!$F$4,'Investment Calculator'!$C$6,"")</f>
        <v/>
      </c>
      <c r="E1568" s="27" t="str">
        <f>IFERROR((F1567+D1568)*'Investment Calculator'!$C$7/'Investment Calculator'!$F$4,"")</f>
        <v/>
      </c>
      <c r="F1568" s="27" t="str">
        <f>IFERROR(ABS(FV('Investment Calculator'!$C$7/'Investment Calculator'!$F$4,'SIP Schedule'!C1568,'SIP Schedule'!D1568,,1)),"")</f>
        <v/>
      </c>
    </row>
    <row r="1569" spans="3:6" x14ac:dyDescent="0.3">
      <c r="C1569" s="1" t="str">
        <f>IF(C1568&lt;'Investment Calculator'!$C$8*'Investment Calculator'!$F$4,'SIP Schedule'!C1568+1,"")</f>
        <v/>
      </c>
      <c r="D1569" s="27" t="str">
        <f>IF(C1569&lt;='Investment Calculator'!$C$8*'Investment Calculator'!$F$4,'Investment Calculator'!$C$6,"")</f>
        <v/>
      </c>
      <c r="E1569" s="27" t="str">
        <f>IFERROR((F1568+D1569)*'Investment Calculator'!$C$7/'Investment Calculator'!$F$4,"")</f>
        <v/>
      </c>
      <c r="F1569" s="27" t="str">
        <f>IFERROR(ABS(FV('Investment Calculator'!$C$7/'Investment Calculator'!$F$4,'SIP Schedule'!C1569,'SIP Schedule'!D1569,,1)),"")</f>
        <v/>
      </c>
    </row>
    <row r="1570" spans="3:6" x14ac:dyDescent="0.3">
      <c r="C1570" s="1" t="str">
        <f>IF(C1569&lt;'Investment Calculator'!$C$8*'Investment Calculator'!$F$4,'SIP Schedule'!C1569+1,"")</f>
        <v/>
      </c>
      <c r="D1570" s="27" t="str">
        <f>IF(C1570&lt;='Investment Calculator'!$C$8*'Investment Calculator'!$F$4,'Investment Calculator'!$C$6,"")</f>
        <v/>
      </c>
      <c r="E1570" s="27" t="str">
        <f>IFERROR((F1569+D1570)*'Investment Calculator'!$C$7/'Investment Calculator'!$F$4,"")</f>
        <v/>
      </c>
      <c r="F1570" s="27" t="str">
        <f>IFERROR(ABS(FV('Investment Calculator'!$C$7/'Investment Calculator'!$F$4,'SIP Schedule'!C1570,'SIP Schedule'!D1570,,1)),"")</f>
        <v/>
      </c>
    </row>
    <row r="1571" spans="3:6" x14ac:dyDescent="0.3">
      <c r="C1571" s="1" t="str">
        <f>IF(C1570&lt;'Investment Calculator'!$C$8*'Investment Calculator'!$F$4,'SIP Schedule'!C1570+1,"")</f>
        <v/>
      </c>
      <c r="D1571" s="27" t="str">
        <f>IF(C1571&lt;='Investment Calculator'!$C$8*'Investment Calculator'!$F$4,'Investment Calculator'!$C$6,"")</f>
        <v/>
      </c>
      <c r="E1571" s="27" t="str">
        <f>IFERROR((F1570+D1571)*'Investment Calculator'!$C$7/'Investment Calculator'!$F$4,"")</f>
        <v/>
      </c>
      <c r="F1571" s="27" t="str">
        <f>IFERROR(ABS(FV('Investment Calculator'!$C$7/'Investment Calculator'!$F$4,'SIP Schedule'!C1571,'SIP Schedule'!D1571,,1)),"")</f>
        <v/>
      </c>
    </row>
    <row r="1572" spans="3:6" x14ac:dyDescent="0.3">
      <c r="C1572" s="1" t="str">
        <f>IF(C1571&lt;'Investment Calculator'!$C$8*'Investment Calculator'!$F$4,'SIP Schedule'!C1571+1,"")</f>
        <v/>
      </c>
      <c r="D1572" s="27" t="str">
        <f>IF(C1572&lt;='Investment Calculator'!$C$8*'Investment Calculator'!$F$4,'Investment Calculator'!$C$6,"")</f>
        <v/>
      </c>
      <c r="E1572" s="27" t="str">
        <f>IFERROR((F1571+D1572)*'Investment Calculator'!$C$7/'Investment Calculator'!$F$4,"")</f>
        <v/>
      </c>
      <c r="F1572" s="27" t="str">
        <f>IFERROR(ABS(FV('Investment Calculator'!$C$7/'Investment Calculator'!$F$4,'SIP Schedule'!C1572,'SIP Schedule'!D1572,,1)),"")</f>
        <v/>
      </c>
    </row>
    <row r="1573" spans="3:6" x14ac:dyDescent="0.3">
      <c r="C1573" s="1" t="str">
        <f>IF(C1572&lt;'Investment Calculator'!$C$8*'Investment Calculator'!$F$4,'SIP Schedule'!C1572+1,"")</f>
        <v/>
      </c>
      <c r="D1573" s="27" t="str">
        <f>IF(C1573&lt;='Investment Calculator'!$C$8*'Investment Calculator'!$F$4,'Investment Calculator'!$C$6,"")</f>
        <v/>
      </c>
      <c r="E1573" s="27" t="str">
        <f>IFERROR((F1572+D1573)*'Investment Calculator'!$C$7/'Investment Calculator'!$F$4,"")</f>
        <v/>
      </c>
      <c r="F1573" s="27" t="str">
        <f>IFERROR(ABS(FV('Investment Calculator'!$C$7/'Investment Calculator'!$F$4,'SIP Schedule'!C1573,'SIP Schedule'!D1573,,1)),"")</f>
        <v/>
      </c>
    </row>
    <row r="1574" spans="3:6" x14ac:dyDescent="0.3">
      <c r="C1574" s="1" t="str">
        <f>IF(C1573&lt;'Investment Calculator'!$C$8*'Investment Calculator'!$F$4,'SIP Schedule'!C1573+1,"")</f>
        <v/>
      </c>
      <c r="D1574" s="27" t="str">
        <f>IF(C1574&lt;='Investment Calculator'!$C$8*'Investment Calculator'!$F$4,'Investment Calculator'!$C$6,"")</f>
        <v/>
      </c>
      <c r="E1574" s="27" t="str">
        <f>IFERROR((F1573+D1574)*'Investment Calculator'!$C$7/'Investment Calculator'!$F$4,"")</f>
        <v/>
      </c>
      <c r="F1574" s="27" t="str">
        <f>IFERROR(ABS(FV('Investment Calculator'!$C$7/'Investment Calculator'!$F$4,'SIP Schedule'!C1574,'SIP Schedule'!D1574,,1)),"")</f>
        <v/>
      </c>
    </row>
    <row r="1575" spans="3:6" x14ac:dyDescent="0.3">
      <c r="C1575" s="1" t="str">
        <f>IF(C1574&lt;'Investment Calculator'!$C$8*'Investment Calculator'!$F$4,'SIP Schedule'!C1574+1,"")</f>
        <v/>
      </c>
      <c r="D1575" s="27" t="str">
        <f>IF(C1575&lt;='Investment Calculator'!$C$8*'Investment Calculator'!$F$4,'Investment Calculator'!$C$6,"")</f>
        <v/>
      </c>
      <c r="E1575" s="27" t="str">
        <f>IFERROR((F1574+D1575)*'Investment Calculator'!$C$7/'Investment Calculator'!$F$4,"")</f>
        <v/>
      </c>
      <c r="F1575" s="27" t="str">
        <f>IFERROR(ABS(FV('Investment Calculator'!$C$7/'Investment Calculator'!$F$4,'SIP Schedule'!C1575,'SIP Schedule'!D1575,,1)),"")</f>
        <v/>
      </c>
    </row>
    <row r="1576" spans="3:6" x14ac:dyDescent="0.3">
      <c r="C1576" s="1" t="str">
        <f>IF(C1575&lt;'Investment Calculator'!$C$8*'Investment Calculator'!$F$4,'SIP Schedule'!C1575+1,"")</f>
        <v/>
      </c>
      <c r="D1576" s="27" t="str">
        <f>IF(C1576&lt;='Investment Calculator'!$C$8*'Investment Calculator'!$F$4,'Investment Calculator'!$C$6,"")</f>
        <v/>
      </c>
      <c r="E1576" s="27" t="str">
        <f>IFERROR((F1575+D1576)*'Investment Calculator'!$C$7/'Investment Calculator'!$F$4,"")</f>
        <v/>
      </c>
      <c r="F1576" s="27" t="str">
        <f>IFERROR(ABS(FV('Investment Calculator'!$C$7/'Investment Calculator'!$F$4,'SIP Schedule'!C1576,'SIP Schedule'!D1576,,1)),"")</f>
        <v/>
      </c>
    </row>
    <row r="1577" spans="3:6" x14ac:dyDescent="0.3">
      <c r="C1577" s="1" t="str">
        <f>IF(C1576&lt;'Investment Calculator'!$C$8*'Investment Calculator'!$F$4,'SIP Schedule'!C1576+1,"")</f>
        <v/>
      </c>
      <c r="D1577" s="27" t="str">
        <f>IF(C1577&lt;='Investment Calculator'!$C$8*'Investment Calculator'!$F$4,'Investment Calculator'!$C$6,"")</f>
        <v/>
      </c>
      <c r="E1577" s="27" t="str">
        <f>IFERROR((F1576+D1577)*'Investment Calculator'!$C$7/'Investment Calculator'!$F$4,"")</f>
        <v/>
      </c>
      <c r="F1577" s="27" t="str">
        <f>IFERROR(ABS(FV('Investment Calculator'!$C$7/'Investment Calculator'!$F$4,'SIP Schedule'!C1577,'SIP Schedule'!D1577,,1)),"")</f>
        <v/>
      </c>
    </row>
    <row r="1578" spans="3:6" x14ac:dyDescent="0.3">
      <c r="C1578" s="1" t="str">
        <f>IF(C1577&lt;'Investment Calculator'!$C$8*'Investment Calculator'!$F$4,'SIP Schedule'!C1577+1,"")</f>
        <v/>
      </c>
      <c r="D1578" s="27" t="str">
        <f>IF(C1578&lt;='Investment Calculator'!$C$8*'Investment Calculator'!$F$4,'Investment Calculator'!$C$6,"")</f>
        <v/>
      </c>
      <c r="E1578" s="27" t="str">
        <f>IFERROR((F1577+D1578)*'Investment Calculator'!$C$7/'Investment Calculator'!$F$4,"")</f>
        <v/>
      </c>
      <c r="F1578" s="27" t="str">
        <f>IFERROR(ABS(FV('Investment Calculator'!$C$7/'Investment Calculator'!$F$4,'SIP Schedule'!C1578,'SIP Schedule'!D1578,,1)),"")</f>
        <v/>
      </c>
    </row>
    <row r="1579" spans="3:6" x14ac:dyDescent="0.3">
      <c r="C1579" s="1" t="str">
        <f>IF(C1578&lt;'Investment Calculator'!$C$8*'Investment Calculator'!$F$4,'SIP Schedule'!C1578+1,"")</f>
        <v/>
      </c>
      <c r="D1579" s="27" t="str">
        <f>IF(C1579&lt;='Investment Calculator'!$C$8*'Investment Calculator'!$F$4,'Investment Calculator'!$C$6,"")</f>
        <v/>
      </c>
      <c r="E1579" s="27" t="str">
        <f>IFERROR((F1578+D1579)*'Investment Calculator'!$C$7/'Investment Calculator'!$F$4,"")</f>
        <v/>
      </c>
      <c r="F1579" s="27" t="str">
        <f>IFERROR(ABS(FV('Investment Calculator'!$C$7/'Investment Calculator'!$F$4,'SIP Schedule'!C1579,'SIP Schedule'!D1579,,1)),"")</f>
        <v/>
      </c>
    </row>
    <row r="1580" spans="3:6" x14ac:dyDescent="0.3">
      <c r="C1580" s="1" t="str">
        <f>IF(C1579&lt;'Investment Calculator'!$C$8*'Investment Calculator'!$F$4,'SIP Schedule'!C1579+1,"")</f>
        <v/>
      </c>
      <c r="D1580" s="27" t="str">
        <f>IF(C1580&lt;='Investment Calculator'!$C$8*'Investment Calculator'!$F$4,'Investment Calculator'!$C$6,"")</f>
        <v/>
      </c>
      <c r="E1580" s="27" t="str">
        <f>IFERROR((F1579+D1580)*'Investment Calculator'!$C$7/'Investment Calculator'!$F$4,"")</f>
        <v/>
      </c>
      <c r="F1580" s="27" t="str">
        <f>IFERROR(ABS(FV('Investment Calculator'!$C$7/'Investment Calculator'!$F$4,'SIP Schedule'!C1580,'SIP Schedule'!D1580,,1)),"")</f>
        <v/>
      </c>
    </row>
    <row r="1581" spans="3:6" x14ac:dyDescent="0.3">
      <c r="C1581" s="1" t="str">
        <f>IF(C1580&lt;'Investment Calculator'!$C$8*'Investment Calculator'!$F$4,'SIP Schedule'!C1580+1,"")</f>
        <v/>
      </c>
      <c r="D1581" s="27" t="str">
        <f>IF(C1581&lt;='Investment Calculator'!$C$8*'Investment Calculator'!$F$4,'Investment Calculator'!$C$6,"")</f>
        <v/>
      </c>
      <c r="E1581" s="27" t="str">
        <f>IFERROR((F1580+D1581)*'Investment Calculator'!$C$7/'Investment Calculator'!$F$4,"")</f>
        <v/>
      </c>
      <c r="F1581" s="27" t="str">
        <f>IFERROR(ABS(FV('Investment Calculator'!$C$7/'Investment Calculator'!$F$4,'SIP Schedule'!C1581,'SIP Schedule'!D1581,,1)),"")</f>
        <v/>
      </c>
    </row>
    <row r="1582" spans="3:6" x14ac:dyDescent="0.3">
      <c r="C1582" s="1" t="str">
        <f>IF(C1581&lt;'Investment Calculator'!$C$8*'Investment Calculator'!$F$4,'SIP Schedule'!C1581+1,"")</f>
        <v/>
      </c>
      <c r="D1582" s="27" t="str">
        <f>IF(C1582&lt;='Investment Calculator'!$C$8*'Investment Calculator'!$F$4,'Investment Calculator'!$C$6,"")</f>
        <v/>
      </c>
      <c r="E1582" s="27" t="str">
        <f>IFERROR((F1581+D1582)*'Investment Calculator'!$C$7/'Investment Calculator'!$F$4,"")</f>
        <v/>
      </c>
      <c r="F1582" s="27" t="str">
        <f>IFERROR(ABS(FV('Investment Calculator'!$C$7/'Investment Calculator'!$F$4,'SIP Schedule'!C1582,'SIP Schedule'!D1582,,1)),"")</f>
        <v/>
      </c>
    </row>
    <row r="1583" spans="3:6" x14ac:dyDescent="0.3">
      <c r="C1583" s="1" t="str">
        <f>IF(C1582&lt;'Investment Calculator'!$C$8*'Investment Calculator'!$F$4,'SIP Schedule'!C1582+1,"")</f>
        <v/>
      </c>
      <c r="D1583" s="27" t="str">
        <f>IF(C1583&lt;='Investment Calculator'!$C$8*'Investment Calculator'!$F$4,'Investment Calculator'!$C$6,"")</f>
        <v/>
      </c>
      <c r="E1583" s="27" t="str">
        <f>IFERROR((F1582+D1583)*'Investment Calculator'!$C$7/'Investment Calculator'!$F$4,"")</f>
        <v/>
      </c>
      <c r="F1583" s="27" t="str">
        <f>IFERROR(ABS(FV('Investment Calculator'!$C$7/'Investment Calculator'!$F$4,'SIP Schedule'!C1583,'SIP Schedule'!D1583,,1)),"")</f>
        <v/>
      </c>
    </row>
    <row r="1584" spans="3:6" x14ac:dyDescent="0.3">
      <c r="C1584" s="1" t="str">
        <f>IF(C1583&lt;'Investment Calculator'!$C$8*'Investment Calculator'!$F$4,'SIP Schedule'!C1583+1,"")</f>
        <v/>
      </c>
      <c r="D1584" s="27" t="str">
        <f>IF(C1584&lt;='Investment Calculator'!$C$8*'Investment Calculator'!$F$4,'Investment Calculator'!$C$6,"")</f>
        <v/>
      </c>
      <c r="E1584" s="27" t="str">
        <f>IFERROR((F1583+D1584)*'Investment Calculator'!$C$7/'Investment Calculator'!$F$4,"")</f>
        <v/>
      </c>
      <c r="F1584" s="27" t="str">
        <f>IFERROR(ABS(FV('Investment Calculator'!$C$7/'Investment Calculator'!$F$4,'SIP Schedule'!C1584,'SIP Schedule'!D1584,,1)),"")</f>
        <v/>
      </c>
    </row>
    <row r="1585" spans="3:6" x14ac:dyDescent="0.3">
      <c r="C1585" s="1" t="str">
        <f>IF(C1584&lt;'Investment Calculator'!$C$8*'Investment Calculator'!$F$4,'SIP Schedule'!C1584+1,"")</f>
        <v/>
      </c>
      <c r="D1585" s="27" t="str">
        <f>IF(C1585&lt;='Investment Calculator'!$C$8*'Investment Calculator'!$F$4,'Investment Calculator'!$C$6,"")</f>
        <v/>
      </c>
      <c r="E1585" s="27" t="str">
        <f>IFERROR((F1584+D1585)*'Investment Calculator'!$C$7/'Investment Calculator'!$F$4,"")</f>
        <v/>
      </c>
      <c r="F1585" s="27" t="str">
        <f>IFERROR(ABS(FV('Investment Calculator'!$C$7/'Investment Calculator'!$F$4,'SIP Schedule'!C1585,'SIP Schedule'!D1585,,1)),"")</f>
        <v/>
      </c>
    </row>
    <row r="1586" spans="3:6" x14ac:dyDescent="0.3">
      <c r="C1586" s="1" t="str">
        <f>IF(C1585&lt;'Investment Calculator'!$C$8*'Investment Calculator'!$F$4,'SIP Schedule'!C1585+1,"")</f>
        <v/>
      </c>
      <c r="D1586" s="27" t="str">
        <f>IF(C1586&lt;='Investment Calculator'!$C$8*'Investment Calculator'!$F$4,'Investment Calculator'!$C$6,"")</f>
        <v/>
      </c>
      <c r="E1586" s="27" t="str">
        <f>IFERROR((F1585+D1586)*'Investment Calculator'!$C$7/'Investment Calculator'!$F$4,"")</f>
        <v/>
      </c>
      <c r="F1586" s="27" t="str">
        <f>IFERROR(ABS(FV('Investment Calculator'!$C$7/'Investment Calculator'!$F$4,'SIP Schedule'!C1586,'SIP Schedule'!D1586,,1)),"")</f>
        <v/>
      </c>
    </row>
    <row r="1587" spans="3:6" x14ac:dyDescent="0.3">
      <c r="C1587" s="1" t="str">
        <f>IF(C1586&lt;'Investment Calculator'!$C$8*'Investment Calculator'!$F$4,'SIP Schedule'!C1586+1,"")</f>
        <v/>
      </c>
      <c r="D1587" s="27" t="str">
        <f>IF(C1587&lt;='Investment Calculator'!$C$8*'Investment Calculator'!$F$4,'Investment Calculator'!$C$6,"")</f>
        <v/>
      </c>
      <c r="E1587" s="27" t="str">
        <f>IFERROR((F1586+D1587)*'Investment Calculator'!$C$7/'Investment Calculator'!$F$4,"")</f>
        <v/>
      </c>
      <c r="F1587" s="27" t="str">
        <f>IFERROR(ABS(FV('Investment Calculator'!$C$7/'Investment Calculator'!$F$4,'SIP Schedule'!C1587,'SIP Schedule'!D1587,,1)),"")</f>
        <v/>
      </c>
    </row>
    <row r="1588" spans="3:6" x14ac:dyDescent="0.3">
      <c r="C1588" s="1" t="str">
        <f>IF(C1587&lt;'Investment Calculator'!$C$8*'Investment Calculator'!$F$4,'SIP Schedule'!C1587+1,"")</f>
        <v/>
      </c>
      <c r="D1588" s="27" t="str">
        <f>IF(C1588&lt;='Investment Calculator'!$C$8*'Investment Calculator'!$F$4,'Investment Calculator'!$C$6,"")</f>
        <v/>
      </c>
      <c r="E1588" s="27" t="str">
        <f>IFERROR((F1587+D1588)*'Investment Calculator'!$C$7/'Investment Calculator'!$F$4,"")</f>
        <v/>
      </c>
      <c r="F1588" s="27" t="str">
        <f>IFERROR(ABS(FV('Investment Calculator'!$C$7/'Investment Calculator'!$F$4,'SIP Schedule'!C1588,'SIP Schedule'!D1588,,1)),"")</f>
        <v/>
      </c>
    </row>
    <row r="1589" spans="3:6" x14ac:dyDescent="0.3">
      <c r="C1589" s="1" t="str">
        <f>IF(C1588&lt;'Investment Calculator'!$C$8*'Investment Calculator'!$F$4,'SIP Schedule'!C1588+1,"")</f>
        <v/>
      </c>
      <c r="D1589" s="27" t="str">
        <f>IF(C1589&lt;='Investment Calculator'!$C$8*'Investment Calculator'!$F$4,'Investment Calculator'!$C$6,"")</f>
        <v/>
      </c>
      <c r="E1589" s="27" t="str">
        <f>IFERROR((F1588+D1589)*'Investment Calculator'!$C$7/'Investment Calculator'!$F$4,"")</f>
        <v/>
      </c>
      <c r="F1589" s="27" t="str">
        <f>IFERROR(ABS(FV('Investment Calculator'!$C$7/'Investment Calculator'!$F$4,'SIP Schedule'!C1589,'SIP Schedule'!D1589,,1)),"")</f>
        <v/>
      </c>
    </row>
    <row r="1590" spans="3:6" x14ac:dyDescent="0.3">
      <c r="C1590" s="1" t="str">
        <f>IF(C1589&lt;'Investment Calculator'!$C$8*'Investment Calculator'!$F$4,'SIP Schedule'!C1589+1,"")</f>
        <v/>
      </c>
      <c r="D1590" s="27" t="str">
        <f>IF(C1590&lt;='Investment Calculator'!$C$8*'Investment Calculator'!$F$4,'Investment Calculator'!$C$6,"")</f>
        <v/>
      </c>
      <c r="E1590" s="27" t="str">
        <f>IFERROR((F1589+D1590)*'Investment Calculator'!$C$7/'Investment Calculator'!$F$4,"")</f>
        <v/>
      </c>
      <c r="F1590" s="27" t="str">
        <f>IFERROR(ABS(FV('Investment Calculator'!$C$7/'Investment Calculator'!$F$4,'SIP Schedule'!C1590,'SIP Schedule'!D1590,,1)),"")</f>
        <v/>
      </c>
    </row>
    <row r="1591" spans="3:6" x14ac:dyDescent="0.3">
      <c r="C1591" s="1" t="str">
        <f>IF(C1590&lt;'Investment Calculator'!$C$8*'Investment Calculator'!$F$4,'SIP Schedule'!C1590+1,"")</f>
        <v/>
      </c>
      <c r="D1591" s="27" t="str">
        <f>IF(C1591&lt;='Investment Calculator'!$C$8*'Investment Calculator'!$F$4,'Investment Calculator'!$C$6,"")</f>
        <v/>
      </c>
      <c r="E1591" s="27" t="str">
        <f>IFERROR((F1590+D1591)*'Investment Calculator'!$C$7/'Investment Calculator'!$F$4,"")</f>
        <v/>
      </c>
      <c r="F1591" s="27" t="str">
        <f>IFERROR(ABS(FV('Investment Calculator'!$C$7/'Investment Calculator'!$F$4,'SIP Schedule'!C1591,'SIP Schedule'!D1591,,1)),"")</f>
        <v/>
      </c>
    </row>
    <row r="1592" spans="3:6" x14ac:dyDescent="0.3">
      <c r="C1592" s="1" t="str">
        <f>IF(C1591&lt;'Investment Calculator'!$C$8*'Investment Calculator'!$F$4,'SIP Schedule'!C1591+1,"")</f>
        <v/>
      </c>
      <c r="D1592" s="27" t="str">
        <f>IF(C1592&lt;='Investment Calculator'!$C$8*'Investment Calculator'!$F$4,'Investment Calculator'!$C$6,"")</f>
        <v/>
      </c>
      <c r="E1592" s="27" t="str">
        <f>IFERROR((F1591+D1592)*'Investment Calculator'!$C$7/'Investment Calculator'!$F$4,"")</f>
        <v/>
      </c>
      <c r="F1592" s="27" t="str">
        <f>IFERROR(ABS(FV('Investment Calculator'!$C$7/'Investment Calculator'!$F$4,'SIP Schedule'!C1592,'SIP Schedule'!D1592,,1)),"")</f>
        <v/>
      </c>
    </row>
    <row r="1593" spans="3:6" x14ac:dyDescent="0.3">
      <c r="C1593" s="1" t="str">
        <f>IF(C1592&lt;'Investment Calculator'!$C$8*'Investment Calculator'!$F$4,'SIP Schedule'!C1592+1,"")</f>
        <v/>
      </c>
      <c r="D1593" s="27" t="str">
        <f>IF(C1593&lt;='Investment Calculator'!$C$8*'Investment Calculator'!$F$4,'Investment Calculator'!$C$6,"")</f>
        <v/>
      </c>
      <c r="E1593" s="27" t="str">
        <f>IFERROR((F1592+D1593)*'Investment Calculator'!$C$7/'Investment Calculator'!$F$4,"")</f>
        <v/>
      </c>
      <c r="F1593" s="27" t="str">
        <f>IFERROR(ABS(FV('Investment Calculator'!$C$7/'Investment Calculator'!$F$4,'SIP Schedule'!C1593,'SIP Schedule'!D1593,,1)),"")</f>
        <v/>
      </c>
    </row>
    <row r="1594" spans="3:6" x14ac:dyDescent="0.3">
      <c r="C1594" s="1" t="str">
        <f>IF(C1593&lt;'Investment Calculator'!$C$8*'Investment Calculator'!$F$4,'SIP Schedule'!C1593+1,"")</f>
        <v/>
      </c>
      <c r="D1594" s="27" t="str">
        <f>IF(C1594&lt;='Investment Calculator'!$C$8*'Investment Calculator'!$F$4,'Investment Calculator'!$C$6,"")</f>
        <v/>
      </c>
      <c r="E1594" s="27" t="str">
        <f>IFERROR((F1593+D1594)*'Investment Calculator'!$C$7/'Investment Calculator'!$F$4,"")</f>
        <v/>
      </c>
      <c r="F1594" s="27" t="str">
        <f>IFERROR(ABS(FV('Investment Calculator'!$C$7/'Investment Calculator'!$F$4,'SIP Schedule'!C1594,'SIP Schedule'!D1594,,1)),"")</f>
        <v/>
      </c>
    </row>
    <row r="1595" spans="3:6" x14ac:dyDescent="0.3">
      <c r="C1595" s="1" t="str">
        <f>IF(C1594&lt;'Investment Calculator'!$C$8*'Investment Calculator'!$F$4,'SIP Schedule'!C1594+1,"")</f>
        <v/>
      </c>
      <c r="D1595" s="27" t="str">
        <f>IF(C1595&lt;='Investment Calculator'!$C$8*'Investment Calculator'!$F$4,'Investment Calculator'!$C$6,"")</f>
        <v/>
      </c>
      <c r="E1595" s="27" t="str">
        <f>IFERROR((F1594+D1595)*'Investment Calculator'!$C$7/'Investment Calculator'!$F$4,"")</f>
        <v/>
      </c>
      <c r="F1595" s="27" t="str">
        <f>IFERROR(ABS(FV('Investment Calculator'!$C$7/'Investment Calculator'!$F$4,'SIP Schedule'!C1595,'SIP Schedule'!D1595,,1)),"")</f>
        <v/>
      </c>
    </row>
    <row r="1596" spans="3:6" x14ac:dyDescent="0.3">
      <c r="C1596" s="1" t="str">
        <f>IF(C1595&lt;'Investment Calculator'!$C$8*'Investment Calculator'!$F$4,'SIP Schedule'!C1595+1,"")</f>
        <v/>
      </c>
      <c r="D1596" s="27" t="str">
        <f>IF(C1596&lt;='Investment Calculator'!$C$8*'Investment Calculator'!$F$4,'Investment Calculator'!$C$6,"")</f>
        <v/>
      </c>
      <c r="E1596" s="27" t="str">
        <f>IFERROR((F1595+D1596)*'Investment Calculator'!$C$7/'Investment Calculator'!$F$4,"")</f>
        <v/>
      </c>
      <c r="F1596" s="27" t="str">
        <f>IFERROR(ABS(FV('Investment Calculator'!$C$7/'Investment Calculator'!$F$4,'SIP Schedule'!C1596,'SIP Schedule'!D1596,,1)),"")</f>
        <v/>
      </c>
    </row>
    <row r="1597" spans="3:6" x14ac:dyDescent="0.3">
      <c r="C1597" s="1" t="str">
        <f>IF(C1596&lt;'Investment Calculator'!$C$8*'Investment Calculator'!$F$4,'SIP Schedule'!C1596+1,"")</f>
        <v/>
      </c>
      <c r="D1597" s="27" t="str">
        <f>IF(C1597&lt;='Investment Calculator'!$C$8*'Investment Calculator'!$F$4,'Investment Calculator'!$C$6,"")</f>
        <v/>
      </c>
      <c r="E1597" s="27" t="str">
        <f>IFERROR((F1596+D1597)*'Investment Calculator'!$C$7/'Investment Calculator'!$F$4,"")</f>
        <v/>
      </c>
      <c r="F1597" s="27" t="str">
        <f>IFERROR(ABS(FV('Investment Calculator'!$C$7/'Investment Calculator'!$F$4,'SIP Schedule'!C1597,'SIP Schedule'!D1597,,1)),"")</f>
        <v/>
      </c>
    </row>
    <row r="1598" spans="3:6" x14ac:dyDescent="0.3">
      <c r="C1598" s="1" t="str">
        <f>IF(C1597&lt;'Investment Calculator'!$C$8*'Investment Calculator'!$F$4,'SIP Schedule'!C1597+1,"")</f>
        <v/>
      </c>
      <c r="D1598" s="27" t="str">
        <f>IF(C1598&lt;='Investment Calculator'!$C$8*'Investment Calculator'!$F$4,'Investment Calculator'!$C$6,"")</f>
        <v/>
      </c>
      <c r="E1598" s="27" t="str">
        <f>IFERROR((F1597+D1598)*'Investment Calculator'!$C$7/'Investment Calculator'!$F$4,"")</f>
        <v/>
      </c>
      <c r="F1598" s="27" t="str">
        <f>IFERROR(ABS(FV('Investment Calculator'!$C$7/'Investment Calculator'!$F$4,'SIP Schedule'!C1598,'SIP Schedule'!D1598,,1)),"")</f>
        <v/>
      </c>
    </row>
    <row r="1599" spans="3:6" x14ac:dyDescent="0.3">
      <c r="C1599" s="1" t="str">
        <f>IF(C1598&lt;'Investment Calculator'!$C$8*'Investment Calculator'!$F$4,'SIP Schedule'!C1598+1,"")</f>
        <v/>
      </c>
      <c r="D1599" s="27" t="str">
        <f>IF(C1599&lt;='Investment Calculator'!$C$8*'Investment Calculator'!$F$4,'Investment Calculator'!$C$6,"")</f>
        <v/>
      </c>
      <c r="E1599" s="27" t="str">
        <f>IFERROR((F1598+D1599)*'Investment Calculator'!$C$7/'Investment Calculator'!$F$4,"")</f>
        <v/>
      </c>
      <c r="F1599" s="27" t="str">
        <f>IFERROR(ABS(FV('Investment Calculator'!$C$7/'Investment Calculator'!$F$4,'SIP Schedule'!C1599,'SIP Schedule'!D1599,,1)),"")</f>
        <v/>
      </c>
    </row>
    <row r="1600" spans="3:6" x14ac:dyDescent="0.3">
      <c r="C1600" s="1" t="str">
        <f>IF(C1599&lt;'Investment Calculator'!$C$8*'Investment Calculator'!$F$4,'SIP Schedule'!C1599+1,"")</f>
        <v/>
      </c>
      <c r="D1600" s="27" t="str">
        <f>IF(C1600&lt;='Investment Calculator'!$C$8*'Investment Calculator'!$F$4,'Investment Calculator'!$C$6,"")</f>
        <v/>
      </c>
      <c r="E1600" s="27" t="str">
        <f>IFERROR((F1599+D1600)*'Investment Calculator'!$C$7/'Investment Calculator'!$F$4,"")</f>
        <v/>
      </c>
      <c r="F1600" s="27" t="str">
        <f>IFERROR(ABS(FV('Investment Calculator'!$C$7/'Investment Calculator'!$F$4,'SIP Schedule'!C1600,'SIP Schedule'!D1600,,1)),"")</f>
        <v/>
      </c>
    </row>
    <row r="1601" spans="3:6" x14ac:dyDescent="0.3">
      <c r="C1601" s="1" t="str">
        <f>IF(C1600&lt;'Investment Calculator'!$C$8*'Investment Calculator'!$F$4,'SIP Schedule'!C1600+1,"")</f>
        <v/>
      </c>
      <c r="D1601" s="27" t="str">
        <f>IF(C1601&lt;='Investment Calculator'!$C$8*'Investment Calculator'!$F$4,'Investment Calculator'!$C$6,"")</f>
        <v/>
      </c>
      <c r="E1601" s="27" t="str">
        <f>IFERROR((F1600+D1601)*'Investment Calculator'!$C$7/'Investment Calculator'!$F$4,"")</f>
        <v/>
      </c>
      <c r="F1601" s="27" t="str">
        <f>IFERROR(ABS(FV('Investment Calculator'!$C$7/'Investment Calculator'!$F$4,'SIP Schedule'!C1601,'SIP Schedule'!D1601,,1)),"")</f>
        <v/>
      </c>
    </row>
    <row r="1602" spans="3:6" x14ac:dyDescent="0.3">
      <c r="C1602" s="1" t="str">
        <f>IF(C1601&lt;'Investment Calculator'!$C$8*'Investment Calculator'!$F$4,'SIP Schedule'!C1601+1,"")</f>
        <v/>
      </c>
      <c r="D1602" s="27" t="str">
        <f>IF(C1602&lt;='Investment Calculator'!$C$8*'Investment Calculator'!$F$4,'Investment Calculator'!$C$6,"")</f>
        <v/>
      </c>
      <c r="E1602" s="27" t="str">
        <f>IFERROR((F1601+D1602)*'Investment Calculator'!$C$7/'Investment Calculator'!$F$4,"")</f>
        <v/>
      </c>
      <c r="F1602" s="27" t="str">
        <f>IFERROR(ABS(FV('Investment Calculator'!$C$7/'Investment Calculator'!$F$4,'SIP Schedule'!C1602,'SIP Schedule'!D1602,,1)),"")</f>
        <v/>
      </c>
    </row>
    <row r="1603" spans="3:6" x14ac:dyDescent="0.3">
      <c r="C1603" s="1" t="str">
        <f>IF(C1602&lt;'Investment Calculator'!$C$8*'Investment Calculator'!$F$4,'SIP Schedule'!C1602+1,"")</f>
        <v/>
      </c>
      <c r="D1603" s="27" t="str">
        <f>IF(C1603&lt;='Investment Calculator'!$C$8*'Investment Calculator'!$F$4,'Investment Calculator'!$C$6,"")</f>
        <v/>
      </c>
      <c r="E1603" s="27" t="str">
        <f>IFERROR((F1602+D1603)*'Investment Calculator'!$C$7/'Investment Calculator'!$F$4,"")</f>
        <v/>
      </c>
      <c r="F1603" s="27" t="str">
        <f>IFERROR(ABS(FV('Investment Calculator'!$C$7/'Investment Calculator'!$F$4,'SIP Schedule'!C1603,'SIP Schedule'!D1603,,1)),"")</f>
        <v/>
      </c>
    </row>
    <row r="1604" spans="3:6" x14ac:dyDescent="0.3">
      <c r="C1604" s="1" t="str">
        <f>IF(C1603&lt;'Investment Calculator'!$C$8*'Investment Calculator'!$F$4,'SIP Schedule'!C1603+1,"")</f>
        <v/>
      </c>
      <c r="D1604" s="27" t="str">
        <f>IF(C1604&lt;='Investment Calculator'!$C$8*'Investment Calculator'!$F$4,'Investment Calculator'!$C$6,"")</f>
        <v/>
      </c>
      <c r="E1604" s="27" t="str">
        <f>IFERROR((F1603+D1604)*'Investment Calculator'!$C$7/'Investment Calculator'!$F$4,"")</f>
        <v/>
      </c>
      <c r="F1604" s="27" t="str">
        <f>IFERROR(ABS(FV('Investment Calculator'!$C$7/'Investment Calculator'!$F$4,'SIP Schedule'!C1604,'SIP Schedule'!D1604,,1)),"")</f>
        <v/>
      </c>
    </row>
    <row r="1605" spans="3:6" x14ac:dyDescent="0.3">
      <c r="C1605" s="1" t="str">
        <f>IF(C1604&lt;'Investment Calculator'!$C$8*'Investment Calculator'!$F$4,'SIP Schedule'!C1604+1,"")</f>
        <v/>
      </c>
      <c r="D1605" s="27" t="str">
        <f>IF(C1605&lt;='Investment Calculator'!$C$8*'Investment Calculator'!$F$4,'Investment Calculator'!$C$6,"")</f>
        <v/>
      </c>
      <c r="E1605" s="27" t="str">
        <f>IFERROR((F1604+D1605)*'Investment Calculator'!$C$7/'Investment Calculator'!$F$4,"")</f>
        <v/>
      </c>
      <c r="F1605" s="27" t="str">
        <f>IFERROR(ABS(FV('Investment Calculator'!$C$7/'Investment Calculator'!$F$4,'SIP Schedule'!C1605,'SIP Schedule'!D1605,,1)),"")</f>
        <v/>
      </c>
    </row>
    <row r="1606" spans="3:6" x14ac:dyDescent="0.3">
      <c r="C1606" s="1" t="str">
        <f>IF(C1605&lt;'Investment Calculator'!$C$8*'Investment Calculator'!$F$4,'SIP Schedule'!C1605+1,"")</f>
        <v/>
      </c>
      <c r="D1606" s="27" t="str">
        <f>IF(C1606&lt;='Investment Calculator'!$C$8*'Investment Calculator'!$F$4,'Investment Calculator'!$C$6,"")</f>
        <v/>
      </c>
      <c r="E1606" s="27" t="str">
        <f>IFERROR((F1605+D1606)*'Investment Calculator'!$C$7/'Investment Calculator'!$F$4,"")</f>
        <v/>
      </c>
      <c r="F1606" s="27" t="str">
        <f>IFERROR(ABS(FV('Investment Calculator'!$C$7/'Investment Calculator'!$F$4,'SIP Schedule'!C1606,'SIP Schedule'!D1606,,1)),"")</f>
        <v/>
      </c>
    </row>
    <row r="1607" spans="3:6" x14ac:dyDescent="0.3">
      <c r="C1607" s="1" t="str">
        <f>IF(C1606&lt;'Investment Calculator'!$C$8*'Investment Calculator'!$F$4,'SIP Schedule'!C1606+1,"")</f>
        <v/>
      </c>
      <c r="D1607" s="27" t="str">
        <f>IF(C1607&lt;='Investment Calculator'!$C$8*'Investment Calculator'!$F$4,'Investment Calculator'!$C$6,"")</f>
        <v/>
      </c>
      <c r="E1607" s="27" t="str">
        <f>IFERROR((F1606+D1607)*'Investment Calculator'!$C$7/'Investment Calculator'!$F$4,"")</f>
        <v/>
      </c>
      <c r="F1607" s="27" t="str">
        <f>IFERROR(ABS(FV('Investment Calculator'!$C$7/'Investment Calculator'!$F$4,'SIP Schedule'!C1607,'SIP Schedule'!D1607,,1)),"")</f>
        <v/>
      </c>
    </row>
    <row r="1608" spans="3:6" x14ac:dyDescent="0.3">
      <c r="C1608" s="1" t="str">
        <f>IF(C1607&lt;'Investment Calculator'!$C$8*'Investment Calculator'!$F$4,'SIP Schedule'!C1607+1,"")</f>
        <v/>
      </c>
      <c r="D1608" s="27" t="str">
        <f>IF(C1608&lt;='Investment Calculator'!$C$8*'Investment Calculator'!$F$4,'Investment Calculator'!$C$6,"")</f>
        <v/>
      </c>
      <c r="E1608" s="27" t="str">
        <f>IFERROR((F1607+D1608)*'Investment Calculator'!$C$7/'Investment Calculator'!$F$4,"")</f>
        <v/>
      </c>
      <c r="F1608" s="27" t="str">
        <f>IFERROR(ABS(FV('Investment Calculator'!$C$7/'Investment Calculator'!$F$4,'SIP Schedule'!C1608,'SIP Schedule'!D1608,,1)),"")</f>
        <v/>
      </c>
    </row>
    <row r="1609" spans="3:6" x14ac:dyDescent="0.3">
      <c r="C1609" s="1" t="str">
        <f>IF(C1608&lt;'Investment Calculator'!$C$8*'Investment Calculator'!$F$4,'SIP Schedule'!C1608+1,"")</f>
        <v/>
      </c>
      <c r="D1609" s="27" t="str">
        <f>IF(C1609&lt;='Investment Calculator'!$C$8*'Investment Calculator'!$F$4,'Investment Calculator'!$C$6,"")</f>
        <v/>
      </c>
      <c r="E1609" s="27" t="str">
        <f>IFERROR((F1608+D1609)*'Investment Calculator'!$C$7/'Investment Calculator'!$F$4,"")</f>
        <v/>
      </c>
      <c r="F1609" s="27" t="str">
        <f>IFERROR(ABS(FV('Investment Calculator'!$C$7/'Investment Calculator'!$F$4,'SIP Schedule'!C1609,'SIP Schedule'!D1609,,1)),"")</f>
        <v/>
      </c>
    </row>
    <row r="1610" spans="3:6" x14ac:dyDescent="0.3">
      <c r="C1610" s="1" t="str">
        <f>IF(C1609&lt;'Investment Calculator'!$C$8*'Investment Calculator'!$F$4,'SIP Schedule'!C1609+1,"")</f>
        <v/>
      </c>
      <c r="D1610" s="27" t="str">
        <f>IF(C1610&lt;='Investment Calculator'!$C$8*'Investment Calculator'!$F$4,'Investment Calculator'!$C$6,"")</f>
        <v/>
      </c>
      <c r="E1610" s="27" t="str">
        <f>IFERROR((F1609+D1610)*'Investment Calculator'!$C$7/'Investment Calculator'!$F$4,"")</f>
        <v/>
      </c>
      <c r="F1610" s="27" t="str">
        <f>IFERROR(ABS(FV('Investment Calculator'!$C$7/'Investment Calculator'!$F$4,'SIP Schedule'!C1610,'SIP Schedule'!D1610,,1)),"")</f>
        <v/>
      </c>
    </row>
    <row r="1611" spans="3:6" x14ac:dyDescent="0.3">
      <c r="C1611" s="1" t="str">
        <f>IF(C1610&lt;'Investment Calculator'!$C$8*'Investment Calculator'!$F$4,'SIP Schedule'!C1610+1,"")</f>
        <v/>
      </c>
      <c r="D1611" s="27" t="str">
        <f>IF(C1611&lt;='Investment Calculator'!$C$8*'Investment Calculator'!$F$4,'Investment Calculator'!$C$6,"")</f>
        <v/>
      </c>
      <c r="E1611" s="27" t="str">
        <f>IFERROR((F1610+D1611)*'Investment Calculator'!$C$7/'Investment Calculator'!$F$4,"")</f>
        <v/>
      </c>
      <c r="F1611" s="27" t="str">
        <f>IFERROR(ABS(FV('Investment Calculator'!$C$7/'Investment Calculator'!$F$4,'SIP Schedule'!C1611,'SIP Schedule'!D1611,,1)),"")</f>
        <v/>
      </c>
    </row>
    <row r="1612" spans="3:6" x14ac:dyDescent="0.3">
      <c r="C1612" s="1" t="str">
        <f>IF(C1611&lt;'Investment Calculator'!$C$8*'Investment Calculator'!$F$4,'SIP Schedule'!C1611+1,"")</f>
        <v/>
      </c>
      <c r="D1612" s="27" t="str">
        <f>IF(C1612&lt;='Investment Calculator'!$C$8*'Investment Calculator'!$F$4,'Investment Calculator'!$C$6,"")</f>
        <v/>
      </c>
      <c r="E1612" s="27" t="str">
        <f>IFERROR((F1611+D1612)*'Investment Calculator'!$C$7/'Investment Calculator'!$F$4,"")</f>
        <v/>
      </c>
      <c r="F1612" s="27" t="str">
        <f>IFERROR(ABS(FV('Investment Calculator'!$C$7/'Investment Calculator'!$F$4,'SIP Schedule'!C1612,'SIP Schedule'!D1612,,1)),"")</f>
        <v/>
      </c>
    </row>
    <row r="1613" spans="3:6" x14ac:dyDescent="0.3">
      <c r="C1613" s="1" t="str">
        <f>IF(C1612&lt;'Investment Calculator'!$C$8*'Investment Calculator'!$F$4,'SIP Schedule'!C1612+1,"")</f>
        <v/>
      </c>
      <c r="D1613" s="27" t="str">
        <f>IF(C1613&lt;='Investment Calculator'!$C$8*'Investment Calculator'!$F$4,'Investment Calculator'!$C$6,"")</f>
        <v/>
      </c>
      <c r="E1613" s="27" t="str">
        <f>IFERROR((F1612+D1613)*'Investment Calculator'!$C$7/'Investment Calculator'!$F$4,"")</f>
        <v/>
      </c>
      <c r="F1613" s="27" t="str">
        <f>IFERROR(ABS(FV('Investment Calculator'!$C$7/'Investment Calculator'!$F$4,'SIP Schedule'!C1613,'SIP Schedule'!D1613,,1)),"")</f>
        <v/>
      </c>
    </row>
    <row r="1614" spans="3:6" x14ac:dyDescent="0.3">
      <c r="C1614" s="1" t="str">
        <f>IF(C1613&lt;'Investment Calculator'!$C$8*'Investment Calculator'!$F$4,'SIP Schedule'!C1613+1,"")</f>
        <v/>
      </c>
      <c r="D1614" s="27" t="str">
        <f>IF(C1614&lt;='Investment Calculator'!$C$8*'Investment Calculator'!$F$4,'Investment Calculator'!$C$6,"")</f>
        <v/>
      </c>
      <c r="E1614" s="27" t="str">
        <f>IFERROR((F1613+D1614)*'Investment Calculator'!$C$7/'Investment Calculator'!$F$4,"")</f>
        <v/>
      </c>
      <c r="F1614" s="27" t="str">
        <f>IFERROR(ABS(FV('Investment Calculator'!$C$7/'Investment Calculator'!$F$4,'SIP Schedule'!C1614,'SIP Schedule'!D1614,,1)),"")</f>
        <v/>
      </c>
    </row>
    <row r="1615" spans="3:6" x14ac:dyDescent="0.3">
      <c r="C1615" s="1" t="str">
        <f>IF(C1614&lt;'Investment Calculator'!$C$8*'Investment Calculator'!$F$4,'SIP Schedule'!C1614+1,"")</f>
        <v/>
      </c>
      <c r="D1615" s="27" t="str">
        <f>IF(C1615&lt;='Investment Calculator'!$C$8*'Investment Calculator'!$F$4,'Investment Calculator'!$C$6,"")</f>
        <v/>
      </c>
      <c r="E1615" s="27" t="str">
        <f>IFERROR((F1614+D1615)*'Investment Calculator'!$C$7/'Investment Calculator'!$F$4,"")</f>
        <v/>
      </c>
      <c r="F1615" s="27" t="str">
        <f>IFERROR(ABS(FV('Investment Calculator'!$C$7/'Investment Calculator'!$F$4,'SIP Schedule'!C1615,'SIP Schedule'!D1615,,1)),"")</f>
        <v/>
      </c>
    </row>
    <row r="1616" spans="3:6" x14ac:dyDescent="0.3">
      <c r="C1616" s="1" t="str">
        <f>IF(C1615&lt;'Investment Calculator'!$C$8*'Investment Calculator'!$F$4,'SIP Schedule'!C1615+1,"")</f>
        <v/>
      </c>
      <c r="D1616" s="27" t="str">
        <f>IF(C1616&lt;='Investment Calculator'!$C$8*'Investment Calculator'!$F$4,'Investment Calculator'!$C$6,"")</f>
        <v/>
      </c>
      <c r="E1616" s="27" t="str">
        <f>IFERROR((F1615+D1616)*'Investment Calculator'!$C$7/'Investment Calculator'!$F$4,"")</f>
        <v/>
      </c>
      <c r="F1616" s="27" t="str">
        <f>IFERROR(ABS(FV('Investment Calculator'!$C$7/'Investment Calculator'!$F$4,'SIP Schedule'!C1616,'SIP Schedule'!D1616,,1)),"")</f>
        <v/>
      </c>
    </row>
    <row r="1617" spans="3:6" x14ac:dyDescent="0.3">
      <c r="C1617" s="1" t="str">
        <f>IF(C1616&lt;'Investment Calculator'!$C$8*'Investment Calculator'!$F$4,'SIP Schedule'!C1616+1,"")</f>
        <v/>
      </c>
      <c r="D1617" s="27" t="str">
        <f>IF(C1617&lt;='Investment Calculator'!$C$8*'Investment Calculator'!$F$4,'Investment Calculator'!$C$6,"")</f>
        <v/>
      </c>
      <c r="E1617" s="27" t="str">
        <f>IFERROR((F1616+D1617)*'Investment Calculator'!$C$7/'Investment Calculator'!$F$4,"")</f>
        <v/>
      </c>
      <c r="F1617" s="27" t="str">
        <f>IFERROR(ABS(FV('Investment Calculator'!$C$7/'Investment Calculator'!$F$4,'SIP Schedule'!C1617,'SIP Schedule'!D1617,,1)),"")</f>
        <v/>
      </c>
    </row>
    <row r="1618" spans="3:6" x14ac:dyDescent="0.3">
      <c r="C1618" s="1" t="str">
        <f>IF(C1617&lt;'Investment Calculator'!$C$8*'Investment Calculator'!$F$4,'SIP Schedule'!C1617+1,"")</f>
        <v/>
      </c>
      <c r="D1618" s="27" t="str">
        <f>IF(C1618&lt;='Investment Calculator'!$C$8*'Investment Calculator'!$F$4,'Investment Calculator'!$C$6,"")</f>
        <v/>
      </c>
      <c r="E1618" s="27" t="str">
        <f>IFERROR((F1617+D1618)*'Investment Calculator'!$C$7/'Investment Calculator'!$F$4,"")</f>
        <v/>
      </c>
      <c r="F1618" s="27" t="str">
        <f>IFERROR(ABS(FV('Investment Calculator'!$C$7/'Investment Calculator'!$F$4,'SIP Schedule'!C1618,'SIP Schedule'!D1618,,1)),"")</f>
        <v/>
      </c>
    </row>
    <row r="1619" spans="3:6" x14ac:dyDescent="0.3">
      <c r="C1619" s="1" t="str">
        <f>IF(C1618&lt;'Investment Calculator'!$C$8*'Investment Calculator'!$F$4,'SIP Schedule'!C1618+1,"")</f>
        <v/>
      </c>
      <c r="D1619" s="27" t="str">
        <f>IF(C1619&lt;='Investment Calculator'!$C$8*'Investment Calculator'!$F$4,'Investment Calculator'!$C$6,"")</f>
        <v/>
      </c>
      <c r="E1619" s="27" t="str">
        <f>IFERROR((F1618+D1619)*'Investment Calculator'!$C$7/'Investment Calculator'!$F$4,"")</f>
        <v/>
      </c>
      <c r="F1619" s="27" t="str">
        <f>IFERROR(ABS(FV('Investment Calculator'!$C$7/'Investment Calculator'!$F$4,'SIP Schedule'!C1619,'SIP Schedule'!D1619,,1)),"")</f>
        <v/>
      </c>
    </row>
    <row r="1620" spans="3:6" x14ac:dyDescent="0.3">
      <c r="C1620" s="1" t="str">
        <f>IF(C1619&lt;'Investment Calculator'!$C$8*'Investment Calculator'!$F$4,'SIP Schedule'!C1619+1,"")</f>
        <v/>
      </c>
      <c r="D1620" s="27" t="str">
        <f>IF(C1620&lt;='Investment Calculator'!$C$8*'Investment Calculator'!$F$4,'Investment Calculator'!$C$6,"")</f>
        <v/>
      </c>
      <c r="E1620" s="27" t="str">
        <f>IFERROR((F1619+D1620)*'Investment Calculator'!$C$7/'Investment Calculator'!$F$4,"")</f>
        <v/>
      </c>
      <c r="F1620" s="27" t="str">
        <f>IFERROR(ABS(FV('Investment Calculator'!$C$7/'Investment Calculator'!$F$4,'SIP Schedule'!C1620,'SIP Schedule'!D1620,,1)),"")</f>
        <v/>
      </c>
    </row>
    <row r="1621" spans="3:6" x14ac:dyDescent="0.3">
      <c r="C1621" s="1" t="str">
        <f>IF(C1620&lt;'Investment Calculator'!$C$8*'Investment Calculator'!$F$4,'SIP Schedule'!C1620+1,"")</f>
        <v/>
      </c>
      <c r="D1621" s="27" t="str">
        <f>IF(C1621&lt;='Investment Calculator'!$C$8*'Investment Calculator'!$F$4,'Investment Calculator'!$C$6,"")</f>
        <v/>
      </c>
      <c r="E1621" s="27" t="str">
        <f>IFERROR((F1620+D1621)*'Investment Calculator'!$C$7/'Investment Calculator'!$F$4,"")</f>
        <v/>
      </c>
      <c r="F1621" s="27" t="str">
        <f>IFERROR(ABS(FV('Investment Calculator'!$C$7/'Investment Calculator'!$F$4,'SIP Schedule'!C1621,'SIP Schedule'!D1621,,1)),"")</f>
        <v/>
      </c>
    </row>
    <row r="1622" spans="3:6" x14ac:dyDescent="0.3">
      <c r="C1622" s="1" t="str">
        <f>IF(C1621&lt;'Investment Calculator'!$C$8*'Investment Calculator'!$F$4,'SIP Schedule'!C1621+1,"")</f>
        <v/>
      </c>
      <c r="D1622" s="27" t="str">
        <f>IF(C1622&lt;='Investment Calculator'!$C$8*'Investment Calculator'!$F$4,'Investment Calculator'!$C$6,"")</f>
        <v/>
      </c>
      <c r="E1622" s="27" t="str">
        <f>IFERROR((F1621+D1622)*'Investment Calculator'!$C$7/'Investment Calculator'!$F$4,"")</f>
        <v/>
      </c>
      <c r="F1622" s="27" t="str">
        <f>IFERROR(ABS(FV('Investment Calculator'!$C$7/'Investment Calculator'!$F$4,'SIP Schedule'!C1622,'SIP Schedule'!D1622,,1)),"")</f>
        <v/>
      </c>
    </row>
    <row r="1623" spans="3:6" x14ac:dyDescent="0.3">
      <c r="C1623" s="1" t="str">
        <f>IF(C1622&lt;'Investment Calculator'!$C$8*'Investment Calculator'!$F$4,'SIP Schedule'!C1622+1,"")</f>
        <v/>
      </c>
      <c r="D1623" s="27" t="str">
        <f>IF(C1623&lt;='Investment Calculator'!$C$8*'Investment Calculator'!$F$4,'Investment Calculator'!$C$6,"")</f>
        <v/>
      </c>
      <c r="E1623" s="27" t="str">
        <f>IFERROR((F1622+D1623)*'Investment Calculator'!$C$7/'Investment Calculator'!$F$4,"")</f>
        <v/>
      </c>
      <c r="F1623" s="27" t="str">
        <f>IFERROR(ABS(FV('Investment Calculator'!$C$7/'Investment Calculator'!$F$4,'SIP Schedule'!C1623,'SIP Schedule'!D1623,,1)),"")</f>
        <v/>
      </c>
    </row>
    <row r="1624" spans="3:6" x14ac:dyDescent="0.3">
      <c r="C1624" s="1" t="str">
        <f>IF(C1623&lt;'Investment Calculator'!$C$8*'Investment Calculator'!$F$4,'SIP Schedule'!C1623+1,"")</f>
        <v/>
      </c>
      <c r="D1624" s="27" t="str">
        <f>IF(C1624&lt;='Investment Calculator'!$C$8*'Investment Calculator'!$F$4,'Investment Calculator'!$C$6,"")</f>
        <v/>
      </c>
      <c r="E1624" s="27" t="str">
        <f>IFERROR((F1623+D1624)*'Investment Calculator'!$C$7/'Investment Calculator'!$F$4,"")</f>
        <v/>
      </c>
      <c r="F1624" s="27" t="str">
        <f>IFERROR(ABS(FV('Investment Calculator'!$C$7/'Investment Calculator'!$F$4,'SIP Schedule'!C1624,'SIP Schedule'!D1624,,1)),"")</f>
        <v/>
      </c>
    </row>
    <row r="1625" spans="3:6" x14ac:dyDescent="0.3">
      <c r="C1625" s="1" t="str">
        <f>IF(C1624&lt;'Investment Calculator'!$C$8*'Investment Calculator'!$F$4,'SIP Schedule'!C1624+1,"")</f>
        <v/>
      </c>
      <c r="D1625" s="27" t="str">
        <f>IF(C1625&lt;='Investment Calculator'!$C$8*'Investment Calculator'!$F$4,'Investment Calculator'!$C$6,"")</f>
        <v/>
      </c>
      <c r="E1625" s="27" t="str">
        <f>IFERROR((F1624+D1625)*'Investment Calculator'!$C$7/'Investment Calculator'!$F$4,"")</f>
        <v/>
      </c>
      <c r="F1625" s="27" t="str">
        <f>IFERROR(ABS(FV('Investment Calculator'!$C$7/'Investment Calculator'!$F$4,'SIP Schedule'!C1625,'SIP Schedule'!D1625,,1)),"")</f>
        <v/>
      </c>
    </row>
    <row r="1626" spans="3:6" x14ac:dyDescent="0.3">
      <c r="C1626" s="1" t="str">
        <f>IF(C1625&lt;'Investment Calculator'!$C$8*'Investment Calculator'!$F$4,'SIP Schedule'!C1625+1,"")</f>
        <v/>
      </c>
      <c r="D1626" s="27" t="str">
        <f>IF(C1626&lt;='Investment Calculator'!$C$8*'Investment Calculator'!$F$4,'Investment Calculator'!$C$6,"")</f>
        <v/>
      </c>
      <c r="E1626" s="27" t="str">
        <f>IFERROR((F1625+D1626)*'Investment Calculator'!$C$7/'Investment Calculator'!$F$4,"")</f>
        <v/>
      </c>
      <c r="F1626" s="27" t="str">
        <f>IFERROR(ABS(FV('Investment Calculator'!$C$7/'Investment Calculator'!$F$4,'SIP Schedule'!C1626,'SIP Schedule'!D1626,,1)),"")</f>
        <v/>
      </c>
    </row>
    <row r="1627" spans="3:6" x14ac:dyDescent="0.3">
      <c r="C1627" s="1" t="str">
        <f>IF(C1626&lt;'Investment Calculator'!$C$8*'Investment Calculator'!$F$4,'SIP Schedule'!C1626+1,"")</f>
        <v/>
      </c>
      <c r="D1627" s="27" t="str">
        <f>IF(C1627&lt;='Investment Calculator'!$C$8*'Investment Calculator'!$F$4,'Investment Calculator'!$C$6,"")</f>
        <v/>
      </c>
      <c r="E1627" s="27" t="str">
        <f>IFERROR((F1626+D1627)*'Investment Calculator'!$C$7/'Investment Calculator'!$F$4,"")</f>
        <v/>
      </c>
      <c r="F1627" s="27" t="str">
        <f>IFERROR(ABS(FV('Investment Calculator'!$C$7/'Investment Calculator'!$F$4,'SIP Schedule'!C1627,'SIP Schedule'!D1627,,1)),"")</f>
        <v/>
      </c>
    </row>
    <row r="1628" spans="3:6" x14ac:dyDescent="0.3">
      <c r="C1628" s="1" t="str">
        <f>IF(C1627&lt;'Investment Calculator'!$C$8*'Investment Calculator'!$F$4,'SIP Schedule'!C1627+1,"")</f>
        <v/>
      </c>
      <c r="D1628" s="27" t="str">
        <f>IF(C1628&lt;='Investment Calculator'!$C$8*'Investment Calculator'!$F$4,'Investment Calculator'!$C$6,"")</f>
        <v/>
      </c>
      <c r="E1628" s="27" t="str">
        <f>IFERROR((F1627+D1628)*'Investment Calculator'!$C$7/'Investment Calculator'!$F$4,"")</f>
        <v/>
      </c>
      <c r="F1628" s="27" t="str">
        <f>IFERROR(ABS(FV('Investment Calculator'!$C$7/'Investment Calculator'!$F$4,'SIP Schedule'!C1628,'SIP Schedule'!D1628,,1)),"")</f>
        <v/>
      </c>
    </row>
    <row r="1629" spans="3:6" x14ac:dyDescent="0.3">
      <c r="C1629" s="1" t="str">
        <f>IF(C1628&lt;'Investment Calculator'!$C$8*'Investment Calculator'!$F$4,'SIP Schedule'!C1628+1,"")</f>
        <v/>
      </c>
      <c r="D1629" s="27" t="str">
        <f>IF(C1629&lt;='Investment Calculator'!$C$8*'Investment Calculator'!$F$4,'Investment Calculator'!$C$6,"")</f>
        <v/>
      </c>
      <c r="E1629" s="27" t="str">
        <f>IFERROR((F1628+D1629)*'Investment Calculator'!$C$7/'Investment Calculator'!$F$4,"")</f>
        <v/>
      </c>
      <c r="F1629" s="27" t="str">
        <f>IFERROR(ABS(FV('Investment Calculator'!$C$7/'Investment Calculator'!$F$4,'SIP Schedule'!C1629,'SIP Schedule'!D1629,,1)),"")</f>
        <v/>
      </c>
    </row>
    <row r="1630" spans="3:6" x14ac:dyDescent="0.3">
      <c r="C1630" s="1" t="str">
        <f>IF(C1629&lt;'Investment Calculator'!$C$8*'Investment Calculator'!$F$4,'SIP Schedule'!C1629+1,"")</f>
        <v/>
      </c>
      <c r="D1630" s="27" t="str">
        <f>IF(C1630&lt;='Investment Calculator'!$C$8*'Investment Calculator'!$F$4,'Investment Calculator'!$C$6,"")</f>
        <v/>
      </c>
      <c r="E1630" s="27" t="str">
        <f>IFERROR((F1629+D1630)*'Investment Calculator'!$C$7/'Investment Calculator'!$F$4,"")</f>
        <v/>
      </c>
      <c r="F1630" s="27" t="str">
        <f>IFERROR(ABS(FV('Investment Calculator'!$C$7/'Investment Calculator'!$F$4,'SIP Schedule'!C1630,'SIP Schedule'!D1630,,1)),"")</f>
        <v/>
      </c>
    </row>
    <row r="1631" spans="3:6" x14ac:dyDescent="0.3">
      <c r="C1631" s="1" t="str">
        <f>IF(C1630&lt;'Investment Calculator'!$C$8*'Investment Calculator'!$F$4,'SIP Schedule'!C1630+1,"")</f>
        <v/>
      </c>
      <c r="D1631" s="27" t="str">
        <f>IF(C1631&lt;='Investment Calculator'!$C$8*'Investment Calculator'!$F$4,'Investment Calculator'!$C$6,"")</f>
        <v/>
      </c>
      <c r="E1631" s="27" t="str">
        <f>IFERROR((F1630+D1631)*'Investment Calculator'!$C$7/'Investment Calculator'!$F$4,"")</f>
        <v/>
      </c>
      <c r="F1631" s="27" t="str">
        <f>IFERROR(ABS(FV('Investment Calculator'!$C$7/'Investment Calculator'!$F$4,'SIP Schedule'!C1631,'SIP Schedule'!D1631,,1)),"")</f>
        <v/>
      </c>
    </row>
    <row r="1632" spans="3:6" x14ac:dyDescent="0.3">
      <c r="C1632" s="1" t="str">
        <f>IF(C1631&lt;'Investment Calculator'!$C$8*'Investment Calculator'!$F$4,'SIP Schedule'!C1631+1,"")</f>
        <v/>
      </c>
      <c r="D1632" s="27" t="str">
        <f>IF(C1632&lt;='Investment Calculator'!$C$8*'Investment Calculator'!$F$4,'Investment Calculator'!$C$6,"")</f>
        <v/>
      </c>
      <c r="E1632" s="27" t="str">
        <f>IFERROR((F1631+D1632)*'Investment Calculator'!$C$7/'Investment Calculator'!$F$4,"")</f>
        <v/>
      </c>
      <c r="F1632" s="27" t="str">
        <f>IFERROR(ABS(FV('Investment Calculator'!$C$7/'Investment Calculator'!$F$4,'SIP Schedule'!C1632,'SIP Schedule'!D1632,,1)),"")</f>
        <v/>
      </c>
    </row>
    <row r="1633" spans="3:6" x14ac:dyDescent="0.3">
      <c r="C1633" s="1" t="str">
        <f>IF(C1632&lt;'Investment Calculator'!$C$8*'Investment Calculator'!$F$4,'SIP Schedule'!C1632+1,"")</f>
        <v/>
      </c>
      <c r="D1633" s="27" t="str">
        <f>IF(C1633&lt;='Investment Calculator'!$C$8*'Investment Calculator'!$F$4,'Investment Calculator'!$C$6,"")</f>
        <v/>
      </c>
      <c r="E1633" s="27" t="str">
        <f>IFERROR((F1632+D1633)*'Investment Calculator'!$C$7/'Investment Calculator'!$F$4,"")</f>
        <v/>
      </c>
      <c r="F1633" s="27" t="str">
        <f>IFERROR(ABS(FV('Investment Calculator'!$C$7/'Investment Calculator'!$F$4,'SIP Schedule'!C1633,'SIP Schedule'!D1633,,1)),"")</f>
        <v/>
      </c>
    </row>
    <row r="1634" spans="3:6" x14ac:dyDescent="0.3">
      <c r="C1634" s="1" t="str">
        <f>IF(C1633&lt;'Investment Calculator'!$C$8*'Investment Calculator'!$F$4,'SIP Schedule'!C1633+1,"")</f>
        <v/>
      </c>
      <c r="D1634" s="27" t="str">
        <f>IF(C1634&lt;='Investment Calculator'!$C$8*'Investment Calculator'!$F$4,'Investment Calculator'!$C$6,"")</f>
        <v/>
      </c>
      <c r="E1634" s="27" t="str">
        <f>IFERROR((F1633+D1634)*'Investment Calculator'!$C$7/'Investment Calculator'!$F$4,"")</f>
        <v/>
      </c>
      <c r="F1634" s="27" t="str">
        <f>IFERROR(ABS(FV('Investment Calculator'!$C$7/'Investment Calculator'!$F$4,'SIP Schedule'!C1634,'SIP Schedule'!D1634,,1)),"")</f>
        <v/>
      </c>
    </row>
    <row r="1635" spans="3:6" x14ac:dyDescent="0.3">
      <c r="C1635" s="1" t="str">
        <f>IF(C1634&lt;'Investment Calculator'!$C$8*'Investment Calculator'!$F$4,'SIP Schedule'!C1634+1,"")</f>
        <v/>
      </c>
      <c r="D1635" s="27" t="str">
        <f>IF(C1635&lt;='Investment Calculator'!$C$8*'Investment Calculator'!$F$4,'Investment Calculator'!$C$6,"")</f>
        <v/>
      </c>
      <c r="E1635" s="27" t="str">
        <f>IFERROR((F1634+D1635)*'Investment Calculator'!$C$7/'Investment Calculator'!$F$4,"")</f>
        <v/>
      </c>
      <c r="F1635" s="27" t="str">
        <f>IFERROR(ABS(FV('Investment Calculator'!$C$7/'Investment Calculator'!$F$4,'SIP Schedule'!C1635,'SIP Schedule'!D1635,,1)),"")</f>
        <v/>
      </c>
    </row>
    <row r="1636" spans="3:6" x14ac:dyDescent="0.3">
      <c r="C1636" s="1" t="str">
        <f>IF(C1635&lt;'Investment Calculator'!$C$8*'Investment Calculator'!$F$4,'SIP Schedule'!C1635+1,"")</f>
        <v/>
      </c>
      <c r="D1636" s="27" t="str">
        <f>IF(C1636&lt;='Investment Calculator'!$C$8*'Investment Calculator'!$F$4,'Investment Calculator'!$C$6,"")</f>
        <v/>
      </c>
      <c r="E1636" s="27" t="str">
        <f>IFERROR((F1635+D1636)*'Investment Calculator'!$C$7/'Investment Calculator'!$F$4,"")</f>
        <v/>
      </c>
      <c r="F1636" s="27" t="str">
        <f>IFERROR(ABS(FV('Investment Calculator'!$C$7/'Investment Calculator'!$F$4,'SIP Schedule'!C1636,'SIP Schedule'!D1636,,1)),"")</f>
        <v/>
      </c>
    </row>
    <row r="1637" spans="3:6" x14ac:dyDescent="0.3">
      <c r="C1637" s="1" t="str">
        <f>IF(C1636&lt;'Investment Calculator'!$C$8*'Investment Calculator'!$F$4,'SIP Schedule'!C1636+1,"")</f>
        <v/>
      </c>
      <c r="D1637" s="27" t="str">
        <f>IF(C1637&lt;='Investment Calculator'!$C$8*'Investment Calculator'!$F$4,'Investment Calculator'!$C$6,"")</f>
        <v/>
      </c>
      <c r="E1637" s="27" t="str">
        <f>IFERROR((F1636+D1637)*'Investment Calculator'!$C$7/'Investment Calculator'!$F$4,"")</f>
        <v/>
      </c>
      <c r="F1637" s="27" t="str">
        <f>IFERROR(ABS(FV('Investment Calculator'!$C$7/'Investment Calculator'!$F$4,'SIP Schedule'!C1637,'SIP Schedule'!D1637,,1)),"")</f>
        <v/>
      </c>
    </row>
    <row r="1638" spans="3:6" x14ac:dyDescent="0.3">
      <c r="C1638" s="1" t="str">
        <f>IF(C1637&lt;'Investment Calculator'!$C$8*'Investment Calculator'!$F$4,'SIP Schedule'!C1637+1,"")</f>
        <v/>
      </c>
      <c r="D1638" s="27" t="str">
        <f>IF(C1638&lt;='Investment Calculator'!$C$8*'Investment Calculator'!$F$4,'Investment Calculator'!$C$6,"")</f>
        <v/>
      </c>
      <c r="E1638" s="27" t="str">
        <f>IFERROR((F1637+D1638)*'Investment Calculator'!$C$7/'Investment Calculator'!$F$4,"")</f>
        <v/>
      </c>
      <c r="F1638" s="27" t="str">
        <f>IFERROR(ABS(FV('Investment Calculator'!$C$7/'Investment Calculator'!$F$4,'SIP Schedule'!C1638,'SIP Schedule'!D1638,,1)),"")</f>
        <v/>
      </c>
    </row>
    <row r="1639" spans="3:6" x14ac:dyDescent="0.3">
      <c r="C1639" s="1" t="str">
        <f>IF(C1638&lt;'Investment Calculator'!$C$8*'Investment Calculator'!$F$4,'SIP Schedule'!C1638+1,"")</f>
        <v/>
      </c>
      <c r="D1639" s="27" t="str">
        <f>IF(C1639&lt;='Investment Calculator'!$C$8*'Investment Calculator'!$F$4,'Investment Calculator'!$C$6,"")</f>
        <v/>
      </c>
      <c r="E1639" s="27" t="str">
        <f>IFERROR((F1638+D1639)*'Investment Calculator'!$C$7/'Investment Calculator'!$F$4,"")</f>
        <v/>
      </c>
      <c r="F1639" s="27" t="str">
        <f>IFERROR(ABS(FV('Investment Calculator'!$C$7/'Investment Calculator'!$F$4,'SIP Schedule'!C1639,'SIP Schedule'!D1639,,1)),"")</f>
        <v/>
      </c>
    </row>
    <row r="1640" spans="3:6" x14ac:dyDescent="0.3">
      <c r="C1640" s="1" t="str">
        <f>IF(C1639&lt;'Investment Calculator'!$C$8*'Investment Calculator'!$F$4,'SIP Schedule'!C1639+1,"")</f>
        <v/>
      </c>
      <c r="D1640" s="27" t="str">
        <f>IF(C1640&lt;='Investment Calculator'!$C$8*'Investment Calculator'!$F$4,'Investment Calculator'!$C$6,"")</f>
        <v/>
      </c>
      <c r="E1640" s="27" t="str">
        <f>IFERROR((F1639+D1640)*'Investment Calculator'!$C$7/'Investment Calculator'!$F$4,"")</f>
        <v/>
      </c>
      <c r="F1640" s="27" t="str">
        <f>IFERROR(ABS(FV('Investment Calculator'!$C$7/'Investment Calculator'!$F$4,'SIP Schedule'!C1640,'SIP Schedule'!D1640,,1)),"")</f>
        <v/>
      </c>
    </row>
    <row r="1641" spans="3:6" x14ac:dyDescent="0.3">
      <c r="C1641" s="1" t="str">
        <f>IF(C1640&lt;'Investment Calculator'!$C$8*'Investment Calculator'!$F$4,'SIP Schedule'!C1640+1,"")</f>
        <v/>
      </c>
      <c r="D1641" s="27" t="str">
        <f>IF(C1641&lt;='Investment Calculator'!$C$8*'Investment Calculator'!$F$4,'Investment Calculator'!$C$6,"")</f>
        <v/>
      </c>
      <c r="E1641" s="27" t="str">
        <f>IFERROR((F1640+D1641)*'Investment Calculator'!$C$7/'Investment Calculator'!$F$4,"")</f>
        <v/>
      </c>
      <c r="F1641" s="27" t="str">
        <f>IFERROR(ABS(FV('Investment Calculator'!$C$7/'Investment Calculator'!$F$4,'SIP Schedule'!C1641,'SIP Schedule'!D1641,,1)),"")</f>
        <v/>
      </c>
    </row>
    <row r="1642" spans="3:6" x14ac:dyDescent="0.3">
      <c r="C1642" s="1" t="str">
        <f>IF(C1641&lt;'Investment Calculator'!$C$8*'Investment Calculator'!$F$4,'SIP Schedule'!C1641+1,"")</f>
        <v/>
      </c>
      <c r="D1642" s="27" t="str">
        <f>IF(C1642&lt;='Investment Calculator'!$C$8*'Investment Calculator'!$F$4,'Investment Calculator'!$C$6,"")</f>
        <v/>
      </c>
      <c r="E1642" s="27" t="str">
        <f>IFERROR((F1641+D1642)*'Investment Calculator'!$C$7/'Investment Calculator'!$F$4,"")</f>
        <v/>
      </c>
      <c r="F1642" s="27" t="str">
        <f>IFERROR(ABS(FV('Investment Calculator'!$C$7/'Investment Calculator'!$F$4,'SIP Schedule'!C1642,'SIP Schedule'!D1642,,1)),"")</f>
        <v/>
      </c>
    </row>
    <row r="1643" spans="3:6" x14ac:dyDescent="0.3">
      <c r="C1643" s="1" t="str">
        <f>IF(C1642&lt;'Investment Calculator'!$C$8*'Investment Calculator'!$F$4,'SIP Schedule'!C1642+1,"")</f>
        <v/>
      </c>
      <c r="D1643" s="27" t="str">
        <f>IF(C1643&lt;='Investment Calculator'!$C$8*'Investment Calculator'!$F$4,'Investment Calculator'!$C$6,"")</f>
        <v/>
      </c>
      <c r="E1643" s="27" t="str">
        <f>IFERROR((F1642+D1643)*'Investment Calculator'!$C$7/'Investment Calculator'!$F$4,"")</f>
        <v/>
      </c>
      <c r="F1643" s="27" t="str">
        <f>IFERROR(ABS(FV('Investment Calculator'!$C$7/'Investment Calculator'!$F$4,'SIP Schedule'!C1643,'SIP Schedule'!D1643,,1)),"")</f>
        <v/>
      </c>
    </row>
    <row r="1644" spans="3:6" x14ac:dyDescent="0.3">
      <c r="C1644" s="1" t="str">
        <f>IF(C1643&lt;'Investment Calculator'!$C$8*'Investment Calculator'!$F$4,'SIP Schedule'!C1643+1,"")</f>
        <v/>
      </c>
      <c r="D1644" s="27" t="str">
        <f>IF(C1644&lt;='Investment Calculator'!$C$8*'Investment Calculator'!$F$4,'Investment Calculator'!$C$6,"")</f>
        <v/>
      </c>
      <c r="E1644" s="27" t="str">
        <f>IFERROR((F1643+D1644)*'Investment Calculator'!$C$7/'Investment Calculator'!$F$4,"")</f>
        <v/>
      </c>
      <c r="F1644" s="27" t="str">
        <f>IFERROR(ABS(FV('Investment Calculator'!$C$7/'Investment Calculator'!$F$4,'SIP Schedule'!C1644,'SIP Schedule'!D1644,,1)),"")</f>
        <v/>
      </c>
    </row>
    <row r="1645" spans="3:6" x14ac:dyDescent="0.3">
      <c r="C1645" s="1" t="str">
        <f>IF(C1644&lt;'Investment Calculator'!$C$8*'Investment Calculator'!$F$4,'SIP Schedule'!C1644+1,"")</f>
        <v/>
      </c>
      <c r="D1645" s="27" t="str">
        <f>IF(C1645&lt;='Investment Calculator'!$C$8*'Investment Calculator'!$F$4,'Investment Calculator'!$C$6,"")</f>
        <v/>
      </c>
      <c r="E1645" s="27" t="str">
        <f>IFERROR((F1644+D1645)*'Investment Calculator'!$C$7/'Investment Calculator'!$F$4,"")</f>
        <v/>
      </c>
      <c r="F1645" s="27" t="str">
        <f>IFERROR(ABS(FV('Investment Calculator'!$C$7/'Investment Calculator'!$F$4,'SIP Schedule'!C1645,'SIP Schedule'!D1645,,1)),"")</f>
        <v/>
      </c>
    </row>
    <row r="1646" spans="3:6" x14ac:dyDescent="0.3">
      <c r="C1646" s="1" t="str">
        <f>IF(C1645&lt;'Investment Calculator'!$C$8*'Investment Calculator'!$F$4,'SIP Schedule'!C1645+1,"")</f>
        <v/>
      </c>
      <c r="D1646" s="27" t="str">
        <f>IF(C1646&lt;='Investment Calculator'!$C$8*'Investment Calculator'!$F$4,'Investment Calculator'!$C$6,"")</f>
        <v/>
      </c>
      <c r="E1646" s="27" t="str">
        <f>IFERROR((F1645+D1646)*'Investment Calculator'!$C$7/'Investment Calculator'!$F$4,"")</f>
        <v/>
      </c>
      <c r="F1646" s="27" t="str">
        <f>IFERROR(ABS(FV('Investment Calculator'!$C$7/'Investment Calculator'!$F$4,'SIP Schedule'!C1646,'SIP Schedule'!D1646,,1)),"")</f>
        <v/>
      </c>
    </row>
    <row r="1647" spans="3:6" x14ac:dyDescent="0.3">
      <c r="C1647" s="1" t="str">
        <f>IF(C1646&lt;'Investment Calculator'!$C$8*'Investment Calculator'!$F$4,'SIP Schedule'!C1646+1,"")</f>
        <v/>
      </c>
      <c r="D1647" s="27" t="str">
        <f>IF(C1647&lt;='Investment Calculator'!$C$8*'Investment Calculator'!$F$4,'Investment Calculator'!$C$6,"")</f>
        <v/>
      </c>
      <c r="E1647" s="27" t="str">
        <f>IFERROR((F1646+D1647)*'Investment Calculator'!$C$7/'Investment Calculator'!$F$4,"")</f>
        <v/>
      </c>
      <c r="F1647" s="27" t="str">
        <f>IFERROR(ABS(FV('Investment Calculator'!$C$7/'Investment Calculator'!$F$4,'SIP Schedule'!C1647,'SIP Schedule'!D1647,,1)),"")</f>
        <v/>
      </c>
    </row>
    <row r="1648" spans="3:6" x14ac:dyDescent="0.3">
      <c r="C1648" s="1" t="str">
        <f>IF(C1647&lt;'Investment Calculator'!$C$8*'Investment Calculator'!$F$4,'SIP Schedule'!C1647+1,"")</f>
        <v/>
      </c>
      <c r="D1648" s="27" t="str">
        <f>IF(C1648&lt;='Investment Calculator'!$C$8*'Investment Calculator'!$F$4,'Investment Calculator'!$C$6,"")</f>
        <v/>
      </c>
      <c r="E1648" s="27" t="str">
        <f>IFERROR((F1647+D1648)*'Investment Calculator'!$C$7/'Investment Calculator'!$F$4,"")</f>
        <v/>
      </c>
      <c r="F1648" s="27" t="str">
        <f>IFERROR(ABS(FV('Investment Calculator'!$C$7/'Investment Calculator'!$F$4,'SIP Schedule'!C1648,'SIP Schedule'!D1648,,1)),"")</f>
        <v/>
      </c>
    </row>
    <row r="1649" spans="3:6" x14ac:dyDescent="0.3">
      <c r="C1649" s="1" t="str">
        <f>IF(C1648&lt;'Investment Calculator'!$C$8*'Investment Calculator'!$F$4,'SIP Schedule'!C1648+1,"")</f>
        <v/>
      </c>
      <c r="D1649" s="27" t="str">
        <f>IF(C1649&lt;='Investment Calculator'!$C$8*'Investment Calculator'!$F$4,'Investment Calculator'!$C$6,"")</f>
        <v/>
      </c>
      <c r="E1649" s="27" t="str">
        <f>IFERROR((F1648+D1649)*'Investment Calculator'!$C$7/'Investment Calculator'!$F$4,"")</f>
        <v/>
      </c>
      <c r="F1649" s="27" t="str">
        <f>IFERROR(ABS(FV('Investment Calculator'!$C$7/'Investment Calculator'!$F$4,'SIP Schedule'!C1649,'SIP Schedule'!D1649,,1)),"")</f>
        <v/>
      </c>
    </row>
    <row r="1650" spans="3:6" x14ac:dyDescent="0.3">
      <c r="C1650" s="1" t="str">
        <f>IF(C1649&lt;'Investment Calculator'!$C$8*'Investment Calculator'!$F$4,'SIP Schedule'!C1649+1,"")</f>
        <v/>
      </c>
      <c r="D1650" s="27" t="str">
        <f>IF(C1650&lt;='Investment Calculator'!$C$8*'Investment Calculator'!$F$4,'Investment Calculator'!$C$6,"")</f>
        <v/>
      </c>
      <c r="E1650" s="27" t="str">
        <f>IFERROR((F1649+D1650)*'Investment Calculator'!$C$7/'Investment Calculator'!$F$4,"")</f>
        <v/>
      </c>
      <c r="F1650" s="27" t="str">
        <f>IFERROR(ABS(FV('Investment Calculator'!$C$7/'Investment Calculator'!$F$4,'SIP Schedule'!C1650,'SIP Schedule'!D1650,,1)),"")</f>
        <v/>
      </c>
    </row>
    <row r="1651" spans="3:6" x14ac:dyDescent="0.3">
      <c r="C1651" s="1" t="str">
        <f>IF(C1650&lt;'Investment Calculator'!$C$8*'Investment Calculator'!$F$4,'SIP Schedule'!C1650+1,"")</f>
        <v/>
      </c>
      <c r="D1651" s="27" t="str">
        <f>IF(C1651&lt;='Investment Calculator'!$C$8*'Investment Calculator'!$F$4,'Investment Calculator'!$C$6,"")</f>
        <v/>
      </c>
      <c r="E1651" s="27" t="str">
        <f>IFERROR((F1650+D1651)*'Investment Calculator'!$C$7/'Investment Calculator'!$F$4,"")</f>
        <v/>
      </c>
      <c r="F1651" s="27" t="str">
        <f>IFERROR(ABS(FV('Investment Calculator'!$C$7/'Investment Calculator'!$F$4,'SIP Schedule'!C1651,'SIP Schedule'!D1651,,1)),"")</f>
        <v/>
      </c>
    </row>
    <row r="1652" spans="3:6" x14ac:dyDescent="0.3">
      <c r="C1652" s="1" t="str">
        <f>IF(C1651&lt;'Investment Calculator'!$C$8*'Investment Calculator'!$F$4,'SIP Schedule'!C1651+1,"")</f>
        <v/>
      </c>
      <c r="D1652" s="27" t="str">
        <f>IF(C1652&lt;='Investment Calculator'!$C$8*'Investment Calculator'!$F$4,'Investment Calculator'!$C$6,"")</f>
        <v/>
      </c>
      <c r="E1652" s="27" t="str">
        <f>IFERROR((F1651+D1652)*'Investment Calculator'!$C$7/'Investment Calculator'!$F$4,"")</f>
        <v/>
      </c>
      <c r="F1652" s="27" t="str">
        <f>IFERROR(ABS(FV('Investment Calculator'!$C$7/'Investment Calculator'!$F$4,'SIP Schedule'!C1652,'SIP Schedule'!D1652,,1)),"")</f>
        <v/>
      </c>
    </row>
    <row r="1653" spans="3:6" x14ac:dyDescent="0.3">
      <c r="C1653" s="1" t="str">
        <f>IF(C1652&lt;'Investment Calculator'!$C$8*'Investment Calculator'!$F$4,'SIP Schedule'!C1652+1,"")</f>
        <v/>
      </c>
      <c r="D1653" s="27" t="str">
        <f>IF(C1653&lt;='Investment Calculator'!$C$8*'Investment Calculator'!$F$4,'Investment Calculator'!$C$6,"")</f>
        <v/>
      </c>
      <c r="E1653" s="27" t="str">
        <f>IFERROR((F1652+D1653)*'Investment Calculator'!$C$7/'Investment Calculator'!$F$4,"")</f>
        <v/>
      </c>
      <c r="F1653" s="27" t="str">
        <f>IFERROR(ABS(FV('Investment Calculator'!$C$7/'Investment Calculator'!$F$4,'SIP Schedule'!C1653,'SIP Schedule'!D1653,,1)),"")</f>
        <v/>
      </c>
    </row>
    <row r="1654" spans="3:6" x14ac:dyDescent="0.3">
      <c r="C1654" s="1" t="str">
        <f>IF(C1653&lt;'Investment Calculator'!$C$8*'Investment Calculator'!$F$4,'SIP Schedule'!C1653+1,"")</f>
        <v/>
      </c>
      <c r="D1654" s="27" t="str">
        <f>IF(C1654&lt;='Investment Calculator'!$C$8*'Investment Calculator'!$F$4,'Investment Calculator'!$C$6,"")</f>
        <v/>
      </c>
      <c r="E1654" s="27" t="str">
        <f>IFERROR((F1653+D1654)*'Investment Calculator'!$C$7/'Investment Calculator'!$F$4,"")</f>
        <v/>
      </c>
      <c r="F1654" s="27" t="str">
        <f>IFERROR(ABS(FV('Investment Calculator'!$C$7/'Investment Calculator'!$F$4,'SIP Schedule'!C1654,'SIP Schedule'!D1654,,1)),"")</f>
        <v/>
      </c>
    </row>
    <row r="1655" spans="3:6" x14ac:dyDescent="0.3">
      <c r="C1655" s="1" t="str">
        <f>IF(C1654&lt;'Investment Calculator'!$C$8*'Investment Calculator'!$F$4,'SIP Schedule'!C1654+1,"")</f>
        <v/>
      </c>
      <c r="D1655" s="27" t="str">
        <f>IF(C1655&lt;='Investment Calculator'!$C$8*'Investment Calculator'!$F$4,'Investment Calculator'!$C$6,"")</f>
        <v/>
      </c>
      <c r="E1655" s="27" t="str">
        <f>IFERROR((F1654+D1655)*'Investment Calculator'!$C$7/'Investment Calculator'!$F$4,"")</f>
        <v/>
      </c>
      <c r="F1655" s="27" t="str">
        <f>IFERROR(ABS(FV('Investment Calculator'!$C$7/'Investment Calculator'!$F$4,'SIP Schedule'!C1655,'SIP Schedule'!D1655,,1)),"")</f>
        <v/>
      </c>
    </row>
    <row r="1656" spans="3:6" x14ac:dyDescent="0.3">
      <c r="C1656" s="1" t="str">
        <f>IF(C1655&lt;'Investment Calculator'!$C$8*'Investment Calculator'!$F$4,'SIP Schedule'!C1655+1,"")</f>
        <v/>
      </c>
      <c r="D1656" s="27" t="str">
        <f>IF(C1656&lt;='Investment Calculator'!$C$8*'Investment Calculator'!$F$4,'Investment Calculator'!$C$6,"")</f>
        <v/>
      </c>
      <c r="E1656" s="27" t="str">
        <f>IFERROR((F1655+D1656)*'Investment Calculator'!$C$7/'Investment Calculator'!$F$4,"")</f>
        <v/>
      </c>
      <c r="F1656" s="27" t="str">
        <f>IFERROR(ABS(FV('Investment Calculator'!$C$7/'Investment Calculator'!$F$4,'SIP Schedule'!C1656,'SIP Schedule'!D1656,,1)),"")</f>
        <v/>
      </c>
    </row>
    <row r="1657" spans="3:6" x14ac:dyDescent="0.3">
      <c r="C1657" s="1" t="str">
        <f>IF(C1656&lt;'Investment Calculator'!$C$8*'Investment Calculator'!$F$4,'SIP Schedule'!C1656+1,"")</f>
        <v/>
      </c>
      <c r="D1657" s="27" t="str">
        <f>IF(C1657&lt;='Investment Calculator'!$C$8*'Investment Calculator'!$F$4,'Investment Calculator'!$C$6,"")</f>
        <v/>
      </c>
      <c r="E1657" s="27" t="str">
        <f>IFERROR((F1656+D1657)*'Investment Calculator'!$C$7/'Investment Calculator'!$F$4,"")</f>
        <v/>
      </c>
      <c r="F1657" s="27" t="str">
        <f>IFERROR(ABS(FV('Investment Calculator'!$C$7/'Investment Calculator'!$F$4,'SIP Schedule'!C1657,'SIP Schedule'!D1657,,1)),"")</f>
        <v/>
      </c>
    </row>
    <row r="1658" spans="3:6" x14ac:dyDescent="0.3">
      <c r="C1658" s="1" t="str">
        <f>IF(C1657&lt;'Investment Calculator'!$C$8*'Investment Calculator'!$F$4,'SIP Schedule'!C1657+1,"")</f>
        <v/>
      </c>
      <c r="D1658" s="27" t="str">
        <f>IF(C1658&lt;='Investment Calculator'!$C$8*'Investment Calculator'!$F$4,'Investment Calculator'!$C$6,"")</f>
        <v/>
      </c>
      <c r="E1658" s="27" t="str">
        <f>IFERROR((F1657+D1658)*'Investment Calculator'!$C$7/'Investment Calculator'!$F$4,"")</f>
        <v/>
      </c>
      <c r="F1658" s="27" t="str">
        <f>IFERROR(ABS(FV('Investment Calculator'!$C$7/'Investment Calculator'!$F$4,'SIP Schedule'!C1658,'SIP Schedule'!D1658,,1)),"")</f>
        <v/>
      </c>
    </row>
    <row r="1659" spans="3:6" x14ac:dyDescent="0.3">
      <c r="C1659" s="1" t="str">
        <f>IF(C1658&lt;'Investment Calculator'!$C$8*'Investment Calculator'!$F$4,'SIP Schedule'!C1658+1,"")</f>
        <v/>
      </c>
      <c r="D1659" s="27" t="str">
        <f>IF(C1659&lt;='Investment Calculator'!$C$8*'Investment Calculator'!$F$4,'Investment Calculator'!$C$6,"")</f>
        <v/>
      </c>
      <c r="E1659" s="27" t="str">
        <f>IFERROR((F1658+D1659)*'Investment Calculator'!$C$7/'Investment Calculator'!$F$4,"")</f>
        <v/>
      </c>
      <c r="F1659" s="27" t="str">
        <f>IFERROR(ABS(FV('Investment Calculator'!$C$7/'Investment Calculator'!$F$4,'SIP Schedule'!C1659,'SIP Schedule'!D1659,,1)),"")</f>
        <v/>
      </c>
    </row>
    <row r="1660" spans="3:6" x14ac:dyDescent="0.3">
      <c r="C1660" s="1" t="str">
        <f>IF(C1659&lt;'Investment Calculator'!$C$8*'Investment Calculator'!$F$4,'SIP Schedule'!C1659+1,"")</f>
        <v/>
      </c>
      <c r="D1660" s="27" t="str">
        <f>IF(C1660&lt;='Investment Calculator'!$C$8*'Investment Calculator'!$F$4,'Investment Calculator'!$C$6,"")</f>
        <v/>
      </c>
      <c r="E1660" s="27" t="str">
        <f>IFERROR((F1659+D1660)*'Investment Calculator'!$C$7/'Investment Calculator'!$F$4,"")</f>
        <v/>
      </c>
      <c r="F1660" s="27" t="str">
        <f>IFERROR(ABS(FV('Investment Calculator'!$C$7/'Investment Calculator'!$F$4,'SIP Schedule'!C1660,'SIP Schedule'!D1660,,1)),"")</f>
        <v/>
      </c>
    </row>
    <row r="1661" spans="3:6" x14ac:dyDescent="0.3">
      <c r="C1661" s="1" t="str">
        <f>IF(C1660&lt;'Investment Calculator'!$C$8*'Investment Calculator'!$F$4,'SIP Schedule'!C1660+1,"")</f>
        <v/>
      </c>
      <c r="D1661" s="27" t="str">
        <f>IF(C1661&lt;='Investment Calculator'!$C$8*'Investment Calculator'!$F$4,'Investment Calculator'!$C$6,"")</f>
        <v/>
      </c>
      <c r="E1661" s="27" t="str">
        <f>IFERROR((F1660+D1661)*'Investment Calculator'!$C$7/'Investment Calculator'!$F$4,"")</f>
        <v/>
      </c>
      <c r="F1661" s="27" t="str">
        <f>IFERROR(ABS(FV('Investment Calculator'!$C$7/'Investment Calculator'!$F$4,'SIP Schedule'!C1661,'SIP Schedule'!D1661,,1)),"")</f>
        <v/>
      </c>
    </row>
    <row r="1662" spans="3:6" x14ac:dyDescent="0.3">
      <c r="C1662" s="1" t="str">
        <f>IF(C1661&lt;'Investment Calculator'!$C$8*'Investment Calculator'!$F$4,'SIP Schedule'!C1661+1,"")</f>
        <v/>
      </c>
      <c r="D1662" s="27" t="str">
        <f>IF(C1662&lt;='Investment Calculator'!$C$8*'Investment Calculator'!$F$4,'Investment Calculator'!$C$6,"")</f>
        <v/>
      </c>
      <c r="E1662" s="27" t="str">
        <f>IFERROR((F1661+D1662)*'Investment Calculator'!$C$7/'Investment Calculator'!$F$4,"")</f>
        <v/>
      </c>
      <c r="F1662" s="27" t="str">
        <f>IFERROR(ABS(FV('Investment Calculator'!$C$7/'Investment Calculator'!$F$4,'SIP Schedule'!C1662,'SIP Schedule'!D1662,,1)),"")</f>
        <v/>
      </c>
    </row>
    <row r="1663" spans="3:6" x14ac:dyDescent="0.3">
      <c r="C1663" s="1" t="str">
        <f>IF(C1662&lt;'Investment Calculator'!$C$8*'Investment Calculator'!$F$4,'SIP Schedule'!C1662+1,"")</f>
        <v/>
      </c>
      <c r="D1663" s="27" t="str">
        <f>IF(C1663&lt;='Investment Calculator'!$C$8*'Investment Calculator'!$F$4,'Investment Calculator'!$C$6,"")</f>
        <v/>
      </c>
      <c r="E1663" s="27" t="str">
        <f>IFERROR((F1662+D1663)*'Investment Calculator'!$C$7/'Investment Calculator'!$F$4,"")</f>
        <v/>
      </c>
      <c r="F1663" s="27" t="str">
        <f>IFERROR(ABS(FV('Investment Calculator'!$C$7/'Investment Calculator'!$F$4,'SIP Schedule'!C1663,'SIP Schedule'!D1663,,1)),"")</f>
        <v/>
      </c>
    </row>
    <row r="1664" spans="3:6" x14ac:dyDescent="0.3">
      <c r="C1664" s="1" t="str">
        <f>IF(C1663&lt;'Investment Calculator'!$C$8*'Investment Calculator'!$F$4,'SIP Schedule'!C1663+1,"")</f>
        <v/>
      </c>
      <c r="D1664" s="27" t="str">
        <f>IF(C1664&lt;='Investment Calculator'!$C$8*'Investment Calculator'!$F$4,'Investment Calculator'!$C$6,"")</f>
        <v/>
      </c>
      <c r="E1664" s="27" t="str">
        <f>IFERROR((F1663+D1664)*'Investment Calculator'!$C$7/'Investment Calculator'!$F$4,"")</f>
        <v/>
      </c>
      <c r="F1664" s="27" t="str">
        <f>IFERROR(ABS(FV('Investment Calculator'!$C$7/'Investment Calculator'!$F$4,'SIP Schedule'!C1664,'SIP Schedule'!D1664,,1)),"")</f>
        <v/>
      </c>
    </row>
    <row r="1665" spans="3:6" x14ac:dyDescent="0.3">
      <c r="C1665" s="1" t="str">
        <f>IF(C1664&lt;'Investment Calculator'!$C$8*'Investment Calculator'!$F$4,'SIP Schedule'!C1664+1,"")</f>
        <v/>
      </c>
      <c r="D1665" s="27" t="str">
        <f>IF(C1665&lt;='Investment Calculator'!$C$8*'Investment Calculator'!$F$4,'Investment Calculator'!$C$6,"")</f>
        <v/>
      </c>
      <c r="E1665" s="27" t="str">
        <f>IFERROR((F1664+D1665)*'Investment Calculator'!$C$7/'Investment Calculator'!$F$4,"")</f>
        <v/>
      </c>
      <c r="F1665" s="27" t="str">
        <f>IFERROR(ABS(FV('Investment Calculator'!$C$7/'Investment Calculator'!$F$4,'SIP Schedule'!C1665,'SIP Schedule'!D1665,,1)),"")</f>
        <v/>
      </c>
    </row>
    <row r="1666" spans="3:6" x14ac:dyDescent="0.3">
      <c r="C1666" s="1" t="str">
        <f>IF(C1665&lt;'Investment Calculator'!$C$8*'Investment Calculator'!$F$4,'SIP Schedule'!C1665+1,"")</f>
        <v/>
      </c>
      <c r="D1666" s="27" t="str">
        <f>IF(C1666&lt;='Investment Calculator'!$C$8*'Investment Calculator'!$F$4,'Investment Calculator'!$C$6,"")</f>
        <v/>
      </c>
      <c r="E1666" s="27" t="str">
        <f>IFERROR((F1665+D1666)*'Investment Calculator'!$C$7/'Investment Calculator'!$F$4,"")</f>
        <v/>
      </c>
      <c r="F1666" s="27" t="str">
        <f>IFERROR(ABS(FV('Investment Calculator'!$C$7/'Investment Calculator'!$F$4,'SIP Schedule'!C1666,'SIP Schedule'!D1666,,1)),"")</f>
        <v/>
      </c>
    </row>
    <row r="1667" spans="3:6" x14ac:dyDescent="0.3">
      <c r="C1667" s="1" t="str">
        <f>IF(C1666&lt;'Investment Calculator'!$C$8*'Investment Calculator'!$F$4,'SIP Schedule'!C1666+1,"")</f>
        <v/>
      </c>
      <c r="D1667" s="27" t="str">
        <f>IF(C1667&lt;='Investment Calculator'!$C$8*'Investment Calculator'!$F$4,'Investment Calculator'!$C$6,"")</f>
        <v/>
      </c>
      <c r="E1667" s="27" t="str">
        <f>IFERROR((F1666+D1667)*'Investment Calculator'!$C$7/'Investment Calculator'!$F$4,"")</f>
        <v/>
      </c>
      <c r="F1667" s="27" t="str">
        <f>IFERROR(ABS(FV('Investment Calculator'!$C$7/'Investment Calculator'!$F$4,'SIP Schedule'!C1667,'SIP Schedule'!D1667,,1)),"")</f>
        <v/>
      </c>
    </row>
    <row r="1668" spans="3:6" x14ac:dyDescent="0.3">
      <c r="C1668" s="1" t="str">
        <f>IF(C1667&lt;'Investment Calculator'!$C$8*'Investment Calculator'!$F$4,'SIP Schedule'!C1667+1,"")</f>
        <v/>
      </c>
      <c r="D1668" s="27" t="str">
        <f>IF(C1668&lt;='Investment Calculator'!$C$8*'Investment Calculator'!$F$4,'Investment Calculator'!$C$6,"")</f>
        <v/>
      </c>
      <c r="E1668" s="27" t="str">
        <f>IFERROR((F1667+D1668)*'Investment Calculator'!$C$7/'Investment Calculator'!$F$4,"")</f>
        <v/>
      </c>
      <c r="F1668" s="27" t="str">
        <f>IFERROR(ABS(FV('Investment Calculator'!$C$7/'Investment Calculator'!$F$4,'SIP Schedule'!C1668,'SIP Schedule'!D1668,,1)),"")</f>
        <v/>
      </c>
    </row>
    <row r="1669" spans="3:6" x14ac:dyDescent="0.3">
      <c r="C1669" s="1" t="str">
        <f>IF(C1668&lt;'Investment Calculator'!$C$8*'Investment Calculator'!$F$4,'SIP Schedule'!C1668+1,"")</f>
        <v/>
      </c>
      <c r="D1669" s="27" t="str">
        <f>IF(C1669&lt;='Investment Calculator'!$C$8*'Investment Calculator'!$F$4,'Investment Calculator'!$C$6,"")</f>
        <v/>
      </c>
      <c r="E1669" s="27" t="str">
        <f>IFERROR((F1668+D1669)*'Investment Calculator'!$C$7/'Investment Calculator'!$F$4,"")</f>
        <v/>
      </c>
      <c r="F1669" s="27" t="str">
        <f>IFERROR(ABS(FV('Investment Calculator'!$C$7/'Investment Calculator'!$F$4,'SIP Schedule'!C1669,'SIP Schedule'!D1669,,1)),"")</f>
        <v/>
      </c>
    </row>
    <row r="1670" spans="3:6" x14ac:dyDescent="0.3">
      <c r="C1670" s="1" t="str">
        <f>IF(C1669&lt;'Investment Calculator'!$C$8*'Investment Calculator'!$F$4,'SIP Schedule'!C1669+1,"")</f>
        <v/>
      </c>
      <c r="D1670" s="27" t="str">
        <f>IF(C1670&lt;='Investment Calculator'!$C$8*'Investment Calculator'!$F$4,'Investment Calculator'!$C$6,"")</f>
        <v/>
      </c>
      <c r="E1670" s="27" t="str">
        <f>IFERROR((F1669+D1670)*'Investment Calculator'!$C$7/'Investment Calculator'!$F$4,"")</f>
        <v/>
      </c>
      <c r="F1670" s="27" t="str">
        <f>IFERROR(ABS(FV('Investment Calculator'!$C$7/'Investment Calculator'!$F$4,'SIP Schedule'!C1670,'SIP Schedule'!D1670,,1)),"")</f>
        <v/>
      </c>
    </row>
    <row r="1671" spans="3:6" x14ac:dyDescent="0.3">
      <c r="C1671" s="1" t="str">
        <f>IF(C1670&lt;'Investment Calculator'!$C$8*'Investment Calculator'!$F$4,'SIP Schedule'!C1670+1,"")</f>
        <v/>
      </c>
      <c r="D1671" s="27" t="str">
        <f>IF(C1671&lt;='Investment Calculator'!$C$8*'Investment Calculator'!$F$4,'Investment Calculator'!$C$6,"")</f>
        <v/>
      </c>
      <c r="E1671" s="27" t="str">
        <f>IFERROR((F1670+D1671)*'Investment Calculator'!$C$7/'Investment Calculator'!$F$4,"")</f>
        <v/>
      </c>
      <c r="F1671" s="27" t="str">
        <f>IFERROR(ABS(FV('Investment Calculator'!$C$7/'Investment Calculator'!$F$4,'SIP Schedule'!C1671,'SIP Schedule'!D1671,,1)),"")</f>
        <v/>
      </c>
    </row>
    <row r="1672" spans="3:6" x14ac:dyDescent="0.3">
      <c r="C1672" s="1" t="str">
        <f>IF(C1671&lt;'Investment Calculator'!$C$8*'Investment Calculator'!$F$4,'SIP Schedule'!C1671+1,"")</f>
        <v/>
      </c>
      <c r="D1672" s="27" t="str">
        <f>IF(C1672&lt;='Investment Calculator'!$C$8*'Investment Calculator'!$F$4,'Investment Calculator'!$C$6,"")</f>
        <v/>
      </c>
      <c r="E1672" s="27" t="str">
        <f>IFERROR((F1671+D1672)*'Investment Calculator'!$C$7/'Investment Calculator'!$F$4,"")</f>
        <v/>
      </c>
      <c r="F1672" s="27" t="str">
        <f>IFERROR(ABS(FV('Investment Calculator'!$C$7/'Investment Calculator'!$F$4,'SIP Schedule'!C1672,'SIP Schedule'!D1672,,1)),"")</f>
        <v/>
      </c>
    </row>
    <row r="1673" spans="3:6" x14ac:dyDescent="0.3">
      <c r="C1673" s="1" t="str">
        <f>IF(C1672&lt;'Investment Calculator'!$C$8*'Investment Calculator'!$F$4,'SIP Schedule'!C1672+1,"")</f>
        <v/>
      </c>
      <c r="D1673" s="27" t="str">
        <f>IF(C1673&lt;='Investment Calculator'!$C$8*'Investment Calculator'!$F$4,'Investment Calculator'!$C$6,"")</f>
        <v/>
      </c>
      <c r="E1673" s="27" t="str">
        <f>IFERROR((F1672+D1673)*'Investment Calculator'!$C$7/'Investment Calculator'!$F$4,"")</f>
        <v/>
      </c>
      <c r="F1673" s="27" t="str">
        <f>IFERROR(ABS(FV('Investment Calculator'!$C$7/'Investment Calculator'!$F$4,'SIP Schedule'!C1673,'SIP Schedule'!D1673,,1)),"")</f>
        <v/>
      </c>
    </row>
    <row r="1674" spans="3:6" x14ac:dyDescent="0.3">
      <c r="C1674" s="1" t="str">
        <f>IF(C1673&lt;'Investment Calculator'!$C$8*'Investment Calculator'!$F$4,'SIP Schedule'!C1673+1,"")</f>
        <v/>
      </c>
      <c r="D1674" s="27" t="str">
        <f>IF(C1674&lt;='Investment Calculator'!$C$8*'Investment Calculator'!$F$4,'Investment Calculator'!$C$6,"")</f>
        <v/>
      </c>
      <c r="E1674" s="27" t="str">
        <f>IFERROR((F1673+D1674)*'Investment Calculator'!$C$7/'Investment Calculator'!$F$4,"")</f>
        <v/>
      </c>
      <c r="F1674" s="27" t="str">
        <f>IFERROR(ABS(FV('Investment Calculator'!$C$7/'Investment Calculator'!$F$4,'SIP Schedule'!C1674,'SIP Schedule'!D1674,,1)),"")</f>
        <v/>
      </c>
    </row>
    <row r="1675" spans="3:6" x14ac:dyDescent="0.3">
      <c r="C1675" s="1" t="str">
        <f>IF(C1674&lt;'Investment Calculator'!$C$8*'Investment Calculator'!$F$4,'SIP Schedule'!C1674+1,"")</f>
        <v/>
      </c>
      <c r="D1675" s="27" t="str">
        <f>IF(C1675&lt;='Investment Calculator'!$C$8*'Investment Calculator'!$F$4,'Investment Calculator'!$C$6,"")</f>
        <v/>
      </c>
      <c r="E1675" s="27" t="str">
        <f>IFERROR((F1674+D1675)*'Investment Calculator'!$C$7/'Investment Calculator'!$F$4,"")</f>
        <v/>
      </c>
      <c r="F1675" s="27" t="str">
        <f>IFERROR(ABS(FV('Investment Calculator'!$C$7/'Investment Calculator'!$F$4,'SIP Schedule'!C1675,'SIP Schedule'!D1675,,1)),"")</f>
        <v/>
      </c>
    </row>
    <row r="1676" spans="3:6" x14ac:dyDescent="0.3">
      <c r="C1676" s="1" t="str">
        <f>IF(C1675&lt;'Investment Calculator'!$C$8*'Investment Calculator'!$F$4,'SIP Schedule'!C1675+1,"")</f>
        <v/>
      </c>
      <c r="D1676" s="27" t="str">
        <f>IF(C1676&lt;='Investment Calculator'!$C$8*'Investment Calculator'!$F$4,'Investment Calculator'!$C$6,"")</f>
        <v/>
      </c>
      <c r="E1676" s="27" t="str">
        <f>IFERROR((F1675+D1676)*'Investment Calculator'!$C$7/'Investment Calculator'!$F$4,"")</f>
        <v/>
      </c>
      <c r="F1676" s="27" t="str">
        <f>IFERROR(ABS(FV('Investment Calculator'!$C$7/'Investment Calculator'!$F$4,'SIP Schedule'!C1676,'SIP Schedule'!D1676,,1)),"")</f>
        <v/>
      </c>
    </row>
    <row r="1677" spans="3:6" x14ac:dyDescent="0.3">
      <c r="C1677" s="1" t="str">
        <f>IF(C1676&lt;'Investment Calculator'!$C$8*'Investment Calculator'!$F$4,'SIP Schedule'!C1676+1,"")</f>
        <v/>
      </c>
      <c r="D1677" s="27" t="str">
        <f>IF(C1677&lt;='Investment Calculator'!$C$8*'Investment Calculator'!$F$4,'Investment Calculator'!$C$6,"")</f>
        <v/>
      </c>
      <c r="E1677" s="27" t="str">
        <f>IFERROR((F1676+D1677)*'Investment Calculator'!$C$7/'Investment Calculator'!$F$4,"")</f>
        <v/>
      </c>
      <c r="F1677" s="27" t="str">
        <f>IFERROR(ABS(FV('Investment Calculator'!$C$7/'Investment Calculator'!$F$4,'SIP Schedule'!C1677,'SIP Schedule'!D1677,,1)),"")</f>
        <v/>
      </c>
    </row>
    <row r="1678" spans="3:6" x14ac:dyDescent="0.3">
      <c r="C1678" s="1" t="str">
        <f>IF(C1677&lt;'Investment Calculator'!$C$8*'Investment Calculator'!$F$4,'SIP Schedule'!C1677+1,"")</f>
        <v/>
      </c>
      <c r="D1678" s="27" t="str">
        <f>IF(C1678&lt;='Investment Calculator'!$C$8*'Investment Calculator'!$F$4,'Investment Calculator'!$C$6,"")</f>
        <v/>
      </c>
      <c r="E1678" s="27" t="str">
        <f>IFERROR((F1677+D1678)*'Investment Calculator'!$C$7/'Investment Calculator'!$F$4,"")</f>
        <v/>
      </c>
      <c r="F1678" s="27" t="str">
        <f>IFERROR(ABS(FV('Investment Calculator'!$C$7/'Investment Calculator'!$F$4,'SIP Schedule'!C1678,'SIP Schedule'!D1678,,1)),"")</f>
        <v/>
      </c>
    </row>
    <row r="1679" spans="3:6" x14ac:dyDescent="0.3">
      <c r="C1679" s="1" t="str">
        <f>IF(C1678&lt;'Investment Calculator'!$C$8*'Investment Calculator'!$F$4,'SIP Schedule'!C1678+1,"")</f>
        <v/>
      </c>
      <c r="D1679" s="27" t="str">
        <f>IF(C1679&lt;='Investment Calculator'!$C$8*'Investment Calculator'!$F$4,'Investment Calculator'!$C$6,"")</f>
        <v/>
      </c>
      <c r="E1679" s="27" t="str">
        <f>IFERROR((F1678+D1679)*'Investment Calculator'!$C$7/'Investment Calculator'!$F$4,"")</f>
        <v/>
      </c>
      <c r="F1679" s="27" t="str">
        <f>IFERROR(ABS(FV('Investment Calculator'!$C$7/'Investment Calculator'!$F$4,'SIP Schedule'!C1679,'SIP Schedule'!D1679,,1)),"")</f>
        <v/>
      </c>
    </row>
    <row r="1680" spans="3:6" x14ac:dyDescent="0.3">
      <c r="C1680" s="1" t="str">
        <f>IF(C1679&lt;'Investment Calculator'!$C$8*'Investment Calculator'!$F$4,'SIP Schedule'!C1679+1,"")</f>
        <v/>
      </c>
      <c r="D1680" s="27" t="str">
        <f>IF(C1680&lt;='Investment Calculator'!$C$8*'Investment Calculator'!$F$4,'Investment Calculator'!$C$6,"")</f>
        <v/>
      </c>
      <c r="E1680" s="27" t="str">
        <f>IFERROR((F1679+D1680)*'Investment Calculator'!$C$7/'Investment Calculator'!$F$4,"")</f>
        <v/>
      </c>
      <c r="F1680" s="27" t="str">
        <f>IFERROR(ABS(FV('Investment Calculator'!$C$7/'Investment Calculator'!$F$4,'SIP Schedule'!C1680,'SIP Schedule'!D1680,,1)),"")</f>
        <v/>
      </c>
    </row>
    <row r="1681" spans="3:6" x14ac:dyDescent="0.3">
      <c r="C1681" s="1" t="str">
        <f>IF(C1680&lt;'Investment Calculator'!$C$8*'Investment Calculator'!$F$4,'SIP Schedule'!C1680+1,"")</f>
        <v/>
      </c>
      <c r="D1681" s="27" t="str">
        <f>IF(C1681&lt;='Investment Calculator'!$C$8*'Investment Calculator'!$F$4,'Investment Calculator'!$C$6,"")</f>
        <v/>
      </c>
      <c r="E1681" s="27" t="str">
        <f>IFERROR((F1680+D1681)*'Investment Calculator'!$C$7/'Investment Calculator'!$F$4,"")</f>
        <v/>
      </c>
      <c r="F1681" s="27" t="str">
        <f>IFERROR(ABS(FV('Investment Calculator'!$C$7/'Investment Calculator'!$F$4,'SIP Schedule'!C1681,'SIP Schedule'!D1681,,1)),"")</f>
        <v/>
      </c>
    </row>
    <row r="1682" spans="3:6" x14ac:dyDescent="0.3">
      <c r="C1682" s="1" t="str">
        <f>IF(C1681&lt;'Investment Calculator'!$C$8*'Investment Calculator'!$F$4,'SIP Schedule'!C1681+1,"")</f>
        <v/>
      </c>
      <c r="D1682" s="27" t="str">
        <f>IF(C1682&lt;='Investment Calculator'!$C$8*'Investment Calculator'!$F$4,'Investment Calculator'!$C$6,"")</f>
        <v/>
      </c>
      <c r="E1682" s="27" t="str">
        <f>IFERROR((F1681+D1682)*'Investment Calculator'!$C$7/'Investment Calculator'!$F$4,"")</f>
        <v/>
      </c>
      <c r="F1682" s="27" t="str">
        <f>IFERROR(ABS(FV('Investment Calculator'!$C$7/'Investment Calculator'!$F$4,'SIP Schedule'!C1682,'SIP Schedule'!D1682,,1)),"")</f>
        <v/>
      </c>
    </row>
    <row r="1683" spans="3:6" x14ac:dyDescent="0.3">
      <c r="C1683" s="1" t="str">
        <f>IF(C1682&lt;'Investment Calculator'!$C$8*'Investment Calculator'!$F$4,'SIP Schedule'!C1682+1,"")</f>
        <v/>
      </c>
      <c r="D1683" s="27" t="str">
        <f>IF(C1683&lt;='Investment Calculator'!$C$8*'Investment Calculator'!$F$4,'Investment Calculator'!$C$6,"")</f>
        <v/>
      </c>
      <c r="E1683" s="27" t="str">
        <f>IFERROR((F1682+D1683)*'Investment Calculator'!$C$7/'Investment Calculator'!$F$4,"")</f>
        <v/>
      </c>
      <c r="F1683" s="27" t="str">
        <f>IFERROR(ABS(FV('Investment Calculator'!$C$7/'Investment Calculator'!$F$4,'SIP Schedule'!C1683,'SIP Schedule'!D1683,,1)),"")</f>
        <v/>
      </c>
    </row>
    <row r="1684" spans="3:6" x14ac:dyDescent="0.3">
      <c r="C1684" s="1" t="str">
        <f>IF(C1683&lt;'Investment Calculator'!$C$8*'Investment Calculator'!$F$4,'SIP Schedule'!C1683+1,"")</f>
        <v/>
      </c>
      <c r="D1684" s="27" t="str">
        <f>IF(C1684&lt;='Investment Calculator'!$C$8*'Investment Calculator'!$F$4,'Investment Calculator'!$C$6,"")</f>
        <v/>
      </c>
      <c r="E1684" s="27" t="str">
        <f>IFERROR((F1683+D1684)*'Investment Calculator'!$C$7/'Investment Calculator'!$F$4,"")</f>
        <v/>
      </c>
      <c r="F1684" s="27" t="str">
        <f>IFERROR(ABS(FV('Investment Calculator'!$C$7/'Investment Calculator'!$F$4,'SIP Schedule'!C1684,'SIP Schedule'!D1684,,1)),"")</f>
        <v/>
      </c>
    </row>
    <row r="1685" spans="3:6" x14ac:dyDescent="0.3">
      <c r="C1685" s="1" t="str">
        <f>IF(C1684&lt;'Investment Calculator'!$C$8*'Investment Calculator'!$F$4,'SIP Schedule'!C1684+1,"")</f>
        <v/>
      </c>
      <c r="D1685" s="27" t="str">
        <f>IF(C1685&lt;='Investment Calculator'!$C$8*'Investment Calculator'!$F$4,'Investment Calculator'!$C$6,"")</f>
        <v/>
      </c>
      <c r="E1685" s="27" t="str">
        <f>IFERROR((F1684+D1685)*'Investment Calculator'!$C$7/'Investment Calculator'!$F$4,"")</f>
        <v/>
      </c>
      <c r="F1685" s="27" t="str">
        <f>IFERROR(ABS(FV('Investment Calculator'!$C$7/'Investment Calculator'!$F$4,'SIP Schedule'!C1685,'SIP Schedule'!D1685,,1)),"")</f>
        <v/>
      </c>
    </row>
    <row r="1686" spans="3:6" x14ac:dyDescent="0.3">
      <c r="C1686" s="1" t="str">
        <f>IF(C1685&lt;'Investment Calculator'!$C$8*'Investment Calculator'!$F$4,'SIP Schedule'!C1685+1,"")</f>
        <v/>
      </c>
      <c r="D1686" s="27" t="str">
        <f>IF(C1686&lt;='Investment Calculator'!$C$8*'Investment Calculator'!$F$4,'Investment Calculator'!$C$6,"")</f>
        <v/>
      </c>
      <c r="E1686" s="27" t="str">
        <f>IFERROR((F1685+D1686)*'Investment Calculator'!$C$7/'Investment Calculator'!$F$4,"")</f>
        <v/>
      </c>
      <c r="F1686" s="27" t="str">
        <f>IFERROR(ABS(FV('Investment Calculator'!$C$7/'Investment Calculator'!$F$4,'SIP Schedule'!C1686,'SIP Schedule'!D1686,,1)),"")</f>
        <v/>
      </c>
    </row>
    <row r="1687" spans="3:6" x14ac:dyDescent="0.3">
      <c r="C1687" s="1" t="str">
        <f>IF(C1686&lt;'Investment Calculator'!$C$8*'Investment Calculator'!$F$4,'SIP Schedule'!C1686+1,"")</f>
        <v/>
      </c>
      <c r="D1687" s="27" t="str">
        <f>IF(C1687&lt;='Investment Calculator'!$C$8*'Investment Calculator'!$F$4,'Investment Calculator'!$C$6,"")</f>
        <v/>
      </c>
      <c r="E1687" s="27" t="str">
        <f>IFERROR((F1686+D1687)*'Investment Calculator'!$C$7/'Investment Calculator'!$F$4,"")</f>
        <v/>
      </c>
      <c r="F1687" s="27" t="str">
        <f>IFERROR(ABS(FV('Investment Calculator'!$C$7/'Investment Calculator'!$F$4,'SIP Schedule'!C1687,'SIP Schedule'!D1687,,1)),"")</f>
        <v/>
      </c>
    </row>
    <row r="1688" spans="3:6" x14ac:dyDescent="0.3">
      <c r="C1688" s="1" t="str">
        <f>IF(C1687&lt;'Investment Calculator'!$C$8*'Investment Calculator'!$F$4,'SIP Schedule'!C1687+1,"")</f>
        <v/>
      </c>
      <c r="D1688" s="27" t="str">
        <f>IF(C1688&lt;='Investment Calculator'!$C$8*'Investment Calculator'!$F$4,'Investment Calculator'!$C$6,"")</f>
        <v/>
      </c>
      <c r="E1688" s="27" t="str">
        <f>IFERROR((F1687+D1688)*'Investment Calculator'!$C$7/'Investment Calculator'!$F$4,"")</f>
        <v/>
      </c>
      <c r="F1688" s="27" t="str">
        <f>IFERROR(ABS(FV('Investment Calculator'!$C$7/'Investment Calculator'!$F$4,'SIP Schedule'!C1688,'SIP Schedule'!D1688,,1)),"")</f>
        <v/>
      </c>
    </row>
    <row r="1689" spans="3:6" x14ac:dyDescent="0.3">
      <c r="C1689" s="1" t="str">
        <f>IF(C1688&lt;'Investment Calculator'!$C$8*'Investment Calculator'!$F$4,'SIP Schedule'!C1688+1,"")</f>
        <v/>
      </c>
      <c r="D1689" s="27" t="str">
        <f>IF(C1689&lt;='Investment Calculator'!$C$8*'Investment Calculator'!$F$4,'Investment Calculator'!$C$6,"")</f>
        <v/>
      </c>
      <c r="E1689" s="27" t="str">
        <f>IFERROR((F1688+D1689)*'Investment Calculator'!$C$7/'Investment Calculator'!$F$4,"")</f>
        <v/>
      </c>
      <c r="F1689" s="27" t="str">
        <f>IFERROR(ABS(FV('Investment Calculator'!$C$7/'Investment Calculator'!$F$4,'SIP Schedule'!C1689,'SIP Schedule'!D1689,,1)),"")</f>
        <v/>
      </c>
    </row>
    <row r="1690" spans="3:6" x14ac:dyDescent="0.3">
      <c r="C1690" s="1" t="str">
        <f>IF(C1689&lt;'Investment Calculator'!$C$8*'Investment Calculator'!$F$4,'SIP Schedule'!C1689+1,"")</f>
        <v/>
      </c>
      <c r="D1690" s="27" t="str">
        <f>IF(C1690&lt;='Investment Calculator'!$C$8*'Investment Calculator'!$F$4,'Investment Calculator'!$C$6,"")</f>
        <v/>
      </c>
      <c r="E1690" s="27" t="str">
        <f>IFERROR((F1689+D1690)*'Investment Calculator'!$C$7/'Investment Calculator'!$F$4,"")</f>
        <v/>
      </c>
      <c r="F1690" s="27" t="str">
        <f>IFERROR(ABS(FV('Investment Calculator'!$C$7/'Investment Calculator'!$F$4,'SIP Schedule'!C1690,'SIP Schedule'!D1690,,1)),"")</f>
        <v/>
      </c>
    </row>
    <row r="1691" spans="3:6" x14ac:dyDescent="0.3">
      <c r="C1691" s="1" t="str">
        <f>IF(C1690&lt;'Investment Calculator'!$C$8*'Investment Calculator'!$F$4,'SIP Schedule'!C1690+1,"")</f>
        <v/>
      </c>
      <c r="D1691" s="27" t="str">
        <f>IF(C1691&lt;='Investment Calculator'!$C$8*'Investment Calculator'!$F$4,'Investment Calculator'!$C$6,"")</f>
        <v/>
      </c>
      <c r="E1691" s="27" t="str">
        <f>IFERROR((F1690+D1691)*'Investment Calculator'!$C$7/'Investment Calculator'!$F$4,"")</f>
        <v/>
      </c>
      <c r="F1691" s="27" t="str">
        <f>IFERROR(ABS(FV('Investment Calculator'!$C$7/'Investment Calculator'!$F$4,'SIP Schedule'!C1691,'SIP Schedule'!D1691,,1)),"")</f>
        <v/>
      </c>
    </row>
    <row r="1692" spans="3:6" x14ac:dyDescent="0.3">
      <c r="C1692" s="1" t="str">
        <f>IF(C1691&lt;'Investment Calculator'!$C$8*'Investment Calculator'!$F$4,'SIP Schedule'!C1691+1,"")</f>
        <v/>
      </c>
      <c r="D1692" s="27" t="str">
        <f>IF(C1692&lt;='Investment Calculator'!$C$8*'Investment Calculator'!$F$4,'Investment Calculator'!$C$6,"")</f>
        <v/>
      </c>
      <c r="E1692" s="27" t="str">
        <f>IFERROR((F1691+D1692)*'Investment Calculator'!$C$7/'Investment Calculator'!$F$4,"")</f>
        <v/>
      </c>
      <c r="F1692" s="27" t="str">
        <f>IFERROR(ABS(FV('Investment Calculator'!$C$7/'Investment Calculator'!$F$4,'SIP Schedule'!C1692,'SIP Schedule'!D1692,,1)),"")</f>
        <v/>
      </c>
    </row>
    <row r="1693" spans="3:6" x14ac:dyDescent="0.3">
      <c r="C1693" s="1" t="str">
        <f>IF(C1692&lt;'Investment Calculator'!$C$8*'Investment Calculator'!$F$4,'SIP Schedule'!C1692+1,"")</f>
        <v/>
      </c>
      <c r="D1693" s="27" t="str">
        <f>IF(C1693&lt;='Investment Calculator'!$C$8*'Investment Calculator'!$F$4,'Investment Calculator'!$C$6,"")</f>
        <v/>
      </c>
      <c r="E1693" s="27" t="str">
        <f>IFERROR((F1692+D1693)*'Investment Calculator'!$C$7/'Investment Calculator'!$F$4,"")</f>
        <v/>
      </c>
      <c r="F1693" s="27" t="str">
        <f>IFERROR(ABS(FV('Investment Calculator'!$C$7/'Investment Calculator'!$F$4,'SIP Schedule'!C1693,'SIP Schedule'!D1693,,1)),"")</f>
        <v/>
      </c>
    </row>
    <row r="1694" spans="3:6" x14ac:dyDescent="0.3">
      <c r="C1694" s="1" t="str">
        <f>IF(C1693&lt;'Investment Calculator'!$C$8*'Investment Calculator'!$F$4,'SIP Schedule'!C1693+1,"")</f>
        <v/>
      </c>
      <c r="D1694" s="27" t="str">
        <f>IF(C1694&lt;='Investment Calculator'!$C$8*'Investment Calculator'!$F$4,'Investment Calculator'!$C$6,"")</f>
        <v/>
      </c>
      <c r="E1694" s="27" t="str">
        <f>IFERROR((F1693+D1694)*'Investment Calculator'!$C$7/'Investment Calculator'!$F$4,"")</f>
        <v/>
      </c>
      <c r="F1694" s="27" t="str">
        <f>IFERROR(ABS(FV('Investment Calculator'!$C$7/'Investment Calculator'!$F$4,'SIP Schedule'!C1694,'SIP Schedule'!D1694,,1)),"")</f>
        <v/>
      </c>
    </row>
    <row r="1695" spans="3:6" x14ac:dyDescent="0.3">
      <c r="C1695" s="1" t="str">
        <f>IF(C1694&lt;'Investment Calculator'!$C$8*'Investment Calculator'!$F$4,'SIP Schedule'!C1694+1,"")</f>
        <v/>
      </c>
      <c r="D1695" s="27" t="str">
        <f>IF(C1695&lt;='Investment Calculator'!$C$8*'Investment Calculator'!$F$4,'Investment Calculator'!$C$6,"")</f>
        <v/>
      </c>
      <c r="E1695" s="27" t="str">
        <f>IFERROR((F1694+D1695)*'Investment Calculator'!$C$7/'Investment Calculator'!$F$4,"")</f>
        <v/>
      </c>
      <c r="F1695" s="27" t="str">
        <f>IFERROR(ABS(FV('Investment Calculator'!$C$7/'Investment Calculator'!$F$4,'SIP Schedule'!C1695,'SIP Schedule'!D1695,,1)),"")</f>
        <v/>
      </c>
    </row>
    <row r="1696" spans="3:6" x14ac:dyDescent="0.3">
      <c r="C1696" s="1" t="str">
        <f>IF(C1695&lt;'Investment Calculator'!$C$8*'Investment Calculator'!$F$4,'SIP Schedule'!C1695+1,"")</f>
        <v/>
      </c>
      <c r="D1696" s="27" t="str">
        <f>IF(C1696&lt;='Investment Calculator'!$C$8*'Investment Calculator'!$F$4,'Investment Calculator'!$C$6,"")</f>
        <v/>
      </c>
      <c r="E1696" s="27" t="str">
        <f>IFERROR((F1695+D1696)*'Investment Calculator'!$C$7/'Investment Calculator'!$F$4,"")</f>
        <v/>
      </c>
      <c r="F1696" s="27" t="str">
        <f>IFERROR(ABS(FV('Investment Calculator'!$C$7/'Investment Calculator'!$F$4,'SIP Schedule'!C1696,'SIP Schedule'!D1696,,1)),"")</f>
        <v/>
      </c>
    </row>
    <row r="1697" spans="3:6" x14ac:dyDescent="0.3">
      <c r="C1697" s="1" t="str">
        <f>IF(C1696&lt;'Investment Calculator'!$C$8*'Investment Calculator'!$F$4,'SIP Schedule'!C1696+1,"")</f>
        <v/>
      </c>
      <c r="D1697" s="27" t="str">
        <f>IF(C1697&lt;='Investment Calculator'!$C$8*'Investment Calculator'!$F$4,'Investment Calculator'!$C$6,"")</f>
        <v/>
      </c>
      <c r="E1697" s="27" t="str">
        <f>IFERROR((F1696+D1697)*'Investment Calculator'!$C$7/'Investment Calculator'!$F$4,"")</f>
        <v/>
      </c>
      <c r="F1697" s="27" t="str">
        <f>IFERROR(ABS(FV('Investment Calculator'!$C$7/'Investment Calculator'!$F$4,'SIP Schedule'!C1697,'SIP Schedule'!D1697,,1)),"")</f>
        <v/>
      </c>
    </row>
    <row r="1698" spans="3:6" x14ac:dyDescent="0.3">
      <c r="C1698" s="1" t="str">
        <f>IF(C1697&lt;'Investment Calculator'!$C$8*'Investment Calculator'!$F$4,'SIP Schedule'!C1697+1,"")</f>
        <v/>
      </c>
      <c r="D1698" s="27" t="str">
        <f>IF(C1698&lt;='Investment Calculator'!$C$8*'Investment Calculator'!$F$4,'Investment Calculator'!$C$6,"")</f>
        <v/>
      </c>
      <c r="E1698" s="27" t="str">
        <f>IFERROR((F1697+D1698)*'Investment Calculator'!$C$7/'Investment Calculator'!$F$4,"")</f>
        <v/>
      </c>
      <c r="F1698" s="27" t="str">
        <f>IFERROR(ABS(FV('Investment Calculator'!$C$7/'Investment Calculator'!$F$4,'SIP Schedule'!C1698,'SIP Schedule'!D1698,,1)),"")</f>
        <v/>
      </c>
    </row>
    <row r="1699" spans="3:6" x14ac:dyDescent="0.3">
      <c r="C1699" s="1" t="str">
        <f>IF(C1698&lt;'Investment Calculator'!$C$8*'Investment Calculator'!$F$4,'SIP Schedule'!C1698+1,"")</f>
        <v/>
      </c>
      <c r="D1699" s="27" t="str">
        <f>IF(C1699&lt;='Investment Calculator'!$C$8*'Investment Calculator'!$F$4,'Investment Calculator'!$C$6,"")</f>
        <v/>
      </c>
      <c r="E1699" s="27" t="str">
        <f>IFERROR((F1698+D1699)*'Investment Calculator'!$C$7/'Investment Calculator'!$F$4,"")</f>
        <v/>
      </c>
      <c r="F1699" s="27" t="str">
        <f>IFERROR(ABS(FV('Investment Calculator'!$C$7/'Investment Calculator'!$F$4,'SIP Schedule'!C1699,'SIP Schedule'!D1699,,1)),"")</f>
        <v/>
      </c>
    </row>
    <row r="1700" spans="3:6" x14ac:dyDescent="0.3">
      <c r="C1700" s="1" t="str">
        <f>IF(C1699&lt;'Investment Calculator'!$C$8*'Investment Calculator'!$F$4,'SIP Schedule'!C1699+1,"")</f>
        <v/>
      </c>
      <c r="D1700" s="27" t="str">
        <f>IF(C1700&lt;='Investment Calculator'!$C$8*'Investment Calculator'!$F$4,'Investment Calculator'!$C$6,"")</f>
        <v/>
      </c>
      <c r="E1700" s="27" t="str">
        <f>IFERROR((F1699+D1700)*'Investment Calculator'!$C$7/'Investment Calculator'!$F$4,"")</f>
        <v/>
      </c>
      <c r="F1700" s="27" t="str">
        <f>IFERROR(ABS(FV('Investment Calculator'!$C$7/'Investment Calculator'!$F$4,'SIP Schedule'!C1700,'SIP Schedule'!D1700,,1)),"")</f>
        <v/>
      </c>
    </row>
    <row r="1701" spans="3:6" x14ac:dyDescent="0.3">
      <c r="C1701" s="1" t="str">
        <f>IF(C1700&lt;'Investment Calculator'!$C$8*'Investment Calculator'!$F$4,'SIP Schedule'!C1700+1,"")</f>
        <v/>
      </c>
      <c r="D1701" s="27" t="str">
        <f>IF(C1701&lt;='Investment Calculator'!$C$8*'Investment Calculator'!$F$4,'Investment Calculator'!$C$6,"")</f>
        <v/>
      </c>
      <c r="E1701" s="27" t="str">
        <f>IFERROR((F1700+D1701)*'Investment Calculator'!$C$7/'Investment Calculator'!$F$4,"")</f>
        <v/>
      </c>
      <c r="F1701" s="27" t="str">
        <f>IFERROR(ABS(FV('Investment Calculator'!$C$7/'Investment Calculator'!$F$4,'SIP Schedule'!C1701,'SIP Schedule'!D1701,,1)),"")</f>
        <v/>
      </c>
    </row>
    <row r="1702" spans="3:6" x14ac:dyDescent="0.3">
      <c r="C1702" s="1" t="str">
        <f>IF(C1701&lt;'Investment Calculator'!$C$8*'Investment Calculator'!$F$4,'SIP Schedule'!C1701+1,"")</f>
        <v/>
      </c>
      <c r="D1702" s="27" t="str">
        <f>IF(C1702&lt;='Investment Calculator'!$C$8*'Investment Calculator'!$F$4,'Investment Calculator'!$C$6,"")</f>
        <v/>
      </c>
      <c r="E1702" s="27" t="str">
        <f>IFERROR((F1701+D1702)*'Investment Calculator'!$C$7/'Investment Calculator'!$F$4,"")</f>
        <v/>
      </c>
      <c r="F1702" s="27" t="str">
        <f>IFERROR(ABS(FV('Investment Calculator'!$C$7/'Investment Calculator'!$F$4,'SIP Schedule'!C1702,'SIP Schedule'!D1702,,1)),"")</f>
        <v/>
      </c>
    </row>
    <row r="1703" spans="3:6" x14ac:dyDescent="0.3">
      <c r="C1703" s="1" t="str">
        <f>IF(C1702&lt;'Investment Calculator'!$C$8*'Investment Calculator'!$F$4,'SIP Schedule'!C1702+1,"")</f>
        <v/>
      </c>
      <c r="D1703" s="27" t="str">
        <f>IF(C1703&lt;='Investment Calculator'!$C$8*'Investment Calculator'!$F$4,'Investment Calculator'!$C$6,"")</f>
        <v/>
      </c>
      <c r="E1703" s="27" t="str">
        <f>IFERROR((F1702+D1703)*'Investment Calculator'!$C$7/'Investment Calculator'!$F$4,"")</f>
        <v/>
      </c>
      <c r="F1703" s="27" t="str">
        <f>IFERROR(ABS(FV('Investment Calculator'!$C$7/'Investment Calculator'!$F$4,'SIP Schedule'!C1703,'SIP Schedule'!D1703,,1)),"")</f>
        <v/>
      </c>
    </row>
    <row r="1704" spans="3:6" x14ac:dyDescent="0.3">
      <c r="C1704" s="1" t="str">
        <f>IF(C1703&lt;'Investment Calculator'!$C$8*'Investment Calculator'!$F$4,'SIP Schedule'!C1703+1,"")</f>
        <v/>
      </c>
      <c r="D1704" s="27" t="str">
        <f>IF(C1704&lt;='Investment Calculator'!$C$8*'Investment Calculator'!$F$4,'Investment Calculator'!$C$6,"")</f>
        <v/>
      </c>
      <c r="E1704" s="27" t="str">
        <f>IFERROR((F1703+D1704)*'Investment Calculator'!$C$7/'Investment Calculator'!$F$4,"")</f>
        <v/>
      </c>
      <c r="F1704" s="27" t="str">
        <f>IFERROR(ABS(FV('Investment Calculator'!$C$7/'Investment Calculator'!$F$4,'SIP Schedule'!C1704,'SIP Schedule'!D1704,,1)),"")</f>
        <v/>
      </c>
    </row>
    <row r="1705" spans="3:6" x14ac:dyDescent="0.3">
      <c r="C1705" s="1" t="str">
        <f>IF(C1704&lt;'Investment Calculator'!$C$8*'Investment Calculator'!$F$4,'SIP Schedule'!C1704+1,"")</f>
        <v/>
      </c>
      <c r="D1705" s="27" t="str">
        <f>IF(C1705&lt;='Investment Calculator'!$C$8*'Investment Calculator'!$F$4,'Investment Calculator'!$C$6,"")</f>
        <v/>
      </c>
      <c r="E1705" s="27" t="str">
        <f>IFERROR((F1704+D1705)*'Investment Calculator'!$C$7/'Investment Calculator'!$F$4,"")</f>
        <v/>
      </c>
      <c r="F1705" s="27" t="str">
        <f>IFERROR(ABS(FV('Investment Calculator'!$C$7/'Investment Calculator'!$F$4,'SIP Schedule'!C1705,'SIP Schedule'!D1705,,1)),"")</f>
        <v/>
      </c>
    </row>
    <row r="1706" spans="3:6" x14ac:dyDescent="0.3">
      <c r="C1706" s="1" t="str">
        <f>IF(C1705&lt;'Investment Calculator'!$C$8*'Investment Calculator'!$F$4,'SIP Schedule'!C1705+1,"")</f>
        <v/>
      </c>
      <c r="D1706" s="27" t="str">
        <f>IF(C1706&lt;='Investment Calculator'!$C$8*'Investment Calculator'!$F$4,'Investment Calculator'!$C$6,"")</f>
        <v/>
      </c>
      <c r="E1706" s="27" t="str">
        <f>IFERROR((F1705+D1706)*'Investment Calculator'!$C$7/'Investment Calculator'!$F$4,"")</f>
        <v/>
      </c>
      <c r="F1706" s="27" t="str">
        <f>IFERROR(ABS(FV('Investment Calculator'!$C$7/'Investment Calculator'!$F$4,'SIP Schedule'!C1706,'SIP Schedule'!D1706,,1)),"")</f>
        <v/>
      </c>
    </row>
    <row r="1707" spans="3:6" x14ac:dyDescent="0.3">
      <c r="C1707" s="1" t="str">
        <f>IF(C1706&lt;'Investment Calculator'!$C$8*'Investment Calculator'!$F$4,'SIP Schedule'!C1706+1,"")</f>
        <v/>
      </c>
      <c r="D1707" s="27" t="str">
        <f>IF(C1707&lt;='Investment Calculator'!$C$8*'Investment Calculator'!$F$4,'Investment Calculator'!$C$6,"")</f>
        <v/>
      </c>
      <c r="E1707" s="27" t="str">
        <f>IFERROR((F1706+D1707)*'Investment Calculator'!$C$7/'Investment Calculator'!$F$4,"")</f>
        <v/>
      </c>
      <c r="F1707" s="27" t="str">
        <f>IFERROR(ABS(FV('Investment Calculator'!$C$7/'Investment Calculator'!$F$4,'SIP Schedule'!C1707,'SIP Schedule'!D1707,,1)),"")</f>
        <v/>
      </c>
    </row>
    <row r="1708" spans="3:6" x14ac:dyDescent="0.3">
      <c r="C1708" s="1" t="str">
        <f>IF(C1707&lt;'Investment Calculator'!$C$8*'Investment Calculator'!$F$4,'SIP Schedule'!C1707+1,"")</f>
        <v/>
      </c>
      <c r="D1708" s="27" t="str">
        <f>IF(C1708&lt;='Investment Calculator'!$C$8*'Investment Calculator'!$F$4,'Investment Calculator'!$C$6,"")</f>
        <v/>
      </c>
      <c r="E1708" s="27" t="str">
        <f>IFERROR((F1707+D1708)*'Investment Calculator'!$C$7/'Investment Calculator'!$F$4,"")</f>
        <v/>
      </c>
      <c r="F1708" s="27" t="str">
        <f>IFERROR(ABS(FV('Investment Calculator'!$C$7/'Investment Calculator'!$F$4,'SIP Schedule'!C1708,'SIP Schedule'!D1708,,1)),"")</f>
        <v/>
      </c>
    </row>
    <row r="1709" spans="3:6" x14ac:dyDescent="0.3">
      <c r="C1709" s="1" t="str">
        <f>IF(C1708&lt;'Investment Calculator'!$C$8*'Investment Calculator'!$F$4,'SIP Schedule'!C1708+1,"")</f>
        <v/>
      </c>
      <c r="D1709" s="27" t="str">
        <f>IF(C1709&lt;='Investment Calculator'!$C$8*'Investment Calculator'!$F$4,'Investment Calculator'!$C$6,"")</f>
        <v/>
      </c>
      <c r="E1709" s="27" t="str">
        <f>IFERROR((F1708+D1709)*'Investment Calculator'!$C$7/'Investment Calculator'!$F$4,"")</f>
        <v/>
      </c>
      <c r="F1709" s="27" t="str">
        <f>IFERROR(ABS(FV('Investment Calculator'!$C$7/'Investment Calculator'!$F$4,'SIP Schedule'!C1709,'SIP Schedule'!D1709,,1)),"")</f>
        <v/>
      </c>
    </row>
    <row r="1710" spans="3:6" x14ac:dyDescent="0.3">
      <c r="C1710" s="1" t="str">
        <f>IF(C1709&lt;'Investment Calculator'!$C$8*'Investment Calculator'!$F$4,'SIP Schedule'!C1709+1,"")</f>
        <v/>
      </c>
      <c r="D1710" s="27" t="str">
        <f>IF(C1710&lt;='Investment Calculator'!$C$8*'Investment Calculator'!$F$4,'Investment Calculator'!$C$6,"")</f>
        <v/>
      </c>
      <c r="E1710" s="27" t="str">
        <f>IFERROR((F1709+D1710)*'Investment Calculator'!$C$7/'Investment Calculator'!$F$4,"")</f>
        <v/>
      </c>
      <c r="F1710" s="27" t="str">
        <f>IFERROR(ABS(FV('Investment Calculator'!$C$7/'Investment Calculator'!$F$4,'SIP Schedule'!C1710,'SIP Schedule'!D1710,,1)),"")</f>
        <v/>
      </c>
    </row>
    <row r="1711" spans="3:6" x14ac:dyDescent="0.3">
      <c r="C1711" s="1" t="str">
        <f>IF(C1710&lt;'Investment Calculator'!$C$8*'Investment Calculator'!$F$4,'SIP Schedule'!C1710+1,"")</f>
        <v/>
      </c>
      <c r="D1711" s="27" t="str">
        <f>IF(C1711&lt;='Investment Calculator'!$C$8*'Investment Calculator'!$F$4,'Investment Calculator'!$C$6,"")</f>
        <v/>
      </c>
      <c r="E1711" s="27" t="str">
        <f>IFERROR((F1710+D1711)*'Investment Calculator'!$C$7/'Investment Calculator'!$F$4,"")</f>
        <v/>
      </c>
      <c r="F1711" s="27" t="str">
        <f>IFERROR(ABS(FV('Investment Calculator'!$C$7/'Investment Calculator'!$F$4,'SIP Schedule'!C1711,'SIP Schedule'!D1711,,1)),"")</f>
        <v/>
      </c>
    </row>
    <row r="1712" spans="3:6" x14ac:dyDescent="0.3">
      <c r="C1712" s="1" t="str">
        <f>IF(C1711&lt;'Investment Calculator'!$C$8*'Investment Calculator'!$F$4,'SIP Schedule'!C1711+1,"")</f>
        <v/>
      </c>
      <c r="D1712" s="27" t="str">
        <f>IF(C1712&lt;='Investment Calculator'!$C$8*'Investment Calculator'!$F$4,'Investment Calculator'!$C$6,"")</f>
        <v/>
      </c>
      <c r="E1712" s="27" t="str">
        <f>IFERROR((F1711+D1712)*'Investment Calculator'!$C$7/'Investment Calculator'!$F$4,"")</f>
        <v/>
      </c>
      <c r="F1712" s="27" t="str">
        <f>IFERROR(ABS(FV('Investment Calculator'!$C$7/'Investment Calculator'!$F$4,'SIP Schedule'!C1712,'SIP Schedule'!D1712,,1)),"")</f>
        <v/>
      </c>
    </row>
    <row r="1713" spans="3:6" x14ac:dyDescent="0.3">
      <c r="C1713" s="1" t="str">
        <f>IF(C1712&lt;'Investment Calculator'!$C$8*'Investment Calculator'!$F$4,'SIP Schedule'!C1712+1,"")</f>
        <v/>
      </c>
      <c r="D1713" s="27" t="str">
        <f>IF(C1713&lt;='Investment Calculator'!$C$8*'Investment Calculator'!$F$4,'Investment Calculator'!$C$6,"")</f>
        <v/>
      </c>
      <c r="E1713" s="27" t="str">
        <f>IFERROR((F1712+D1713)*'Investment Calculator'!$C$7/'Investment Calculator'!$F$4,"")</f>
        <v/>
      </c>
      <c r="F1713" s="27" t="str">
        <f>IFERROR(ABS(FV('Investment Calculator'!$C$7/'Investment Calculator'!$F$4,'SIP Schedule'!C1713,'SIP Schedule'!D1713,,1)),"")</f>
        <v/>
      </c>
    </row>
    <row r="1714" spans="3:6" x14ac:dyDescent="0.3">
      <c r="C1714" s="1" t="str">
        <f>IF(C1713&lt;'Investment Calculator'!$C$8*'Investment Calculator'!$F$4,'SIP Schedule'!C1713+1,"")</f>
        <v/>
      </c>
      <c r="D1714" s="27" t="str">
        <f>IF(C1714&lt;='Investment Calculator'!$C$8*'Investment Calculator'!$F$4,'Investment Calculator'!$C$6,"")</f>
        <v/>
      </c>
      <c r="E1714" s="27" t="str">
        <f>IFERROR((F1713+D1714)*'Investment Calculator'!$C$7/'Investment Calculator'!$F$4,"")</f>
        <v/>
      </c>
      <c r="F1714" s="27" t="str">
        <f>IFERROR(ABS(FV('Investment Calculator'!$C$7/'Investment Calculator'!$F$4,'SIP Schedule'!C1714,'SIP Schedule'!D1714,,1)),"")</f>
        <v/>
      </c>
    </row>
    <row r="1715" spans="3:6" x14ac:dyDescent="0.3">
      <c r="C1715" s="1" t="str">
        <f>IF(C1714&lt;'Investment Calculator'!$C$8*'Investment Calculator'!$F$4,'SIP Schedule'!C1714+1,"")</f>
        <v/>
      </c>
      <c r="D1715" s="27" t="str">
        <f>IF(C1715&lt;='Investment Calculator'!$C$8*'Investment Calculator'!$F$4,'Investment Calculator'!$C$6,"")</f>
        <v/>
      </c>
      <c r="E1715" s="27" t="str">
        <f>IFERROR((F1714+D1715)*'Investment Calculator'!$C$7/'Investment Calculator'!$F$4,"")</f>
        <v/>
      </c>
      <c r="F1715" s="27" t="str">
        <f>IFERROR(ABS(FV('Investment Calculator'!$C$7/'Investment Calculator'!$F$4,'SIP Schedule'!C1715,'SIP Schedule'!D1715,,1)),"")</f>
        <v/>
      </c>
    </row>
    <row r="1716" spans="3:6" x14ac:dyDescent="0.3">
      <c r="C1716" s="1" t="str">
        <f>IF(C1715&lt;'Investment Calculator'!$C$8*'Investment Calculator'!$F$4,'SIP Schedule'!C1715+1,"")</f>
        <v/>
      </c>
      <c r="D1716" s="27" t="str">
        <f>IF(C1716&lt;='Investment Calculator'!$C$8*'Investment Calculator'!$F$4,'Investment Calculator'!$C$6,"")</f>
        <v/>
      </c>
      <c r="E1716" s="27" t="str">
        <f>IFERROR((F1715+D1716)*'Investment Calculator'!$C$7/'Investment Calculator'!$F$4,"")</f>
        <v/>
      </c>
      <c r="F1716" s="27" t="str">
        <f>IFERROR(ABS(FV('Investment Calculator'!$C$7/'Investment Calculator'!$F$4,'SIP Schedule'!C1716,'SIP Schedule'!D1716,,1)),"")</f>
        <v/>
      </c>
    </row>
    <row r="1717" spans="3:6" x14ac:dyDescent="0.3">
      <c r="C1717" s="1" t="str">
        <f>IF(C1716&lt;'Investment Calculator'!$C$8*'Investment Calculator'!$F$4,'SIP Schedule'!C1716+1,"")</f>
        <v/>
      </c>
      <c r="D1717" s="27" t="str">
        <f>IF(C1717&lt;='Investment Calculator'!$C$8*'Investment Calculator'!$F$4,'Investment Calculator'!$C$6,"")</f>
        <v/>
      </c>
      <c r="E1717" s="27" t="str">
        <f>IFERROR((F1716+D1717)*'Investment Calculator'!$C$7/'Investment Calculator'!$F$4,"")</f>
        <v/>
      </c>
      <c r="F1717" s="27" t="str">
        <f>IFERROR(ABS(FV('Investment Calculator'!$C$7/'Investment Calculator'!$F$4,'SIP Schedule'!C1717,'SIP Schedule'!D1717,,1)),"")</f>
        <v/>
      </c>
    </row>
    <row r="1718" spans="3:6" x14ac:dyDescent="0.3">
      <c r="C1718" s="1" t="str">
        <f>IF(C1717&lt;'Investment Calculator'!$C$8*'Investment Calculator'!$F$4,'SIP Schedule'!C1717+1,"")</f>
        <v/>
      </c>
      <c r="D1718" s="27" t="str">
        <f>IF(C1718&lt;='Investment Calculator'!$C$8*'Investment Calculator'!$F$4,'Investment Calculator'!$C$6,"")</f>
        <v/>
      </c>
      <c r="E1718" s="27" t="str">
        <f>IFERROR((F1717+D1718)*'Investment Calculator'!$C$7/'Investment Calculator'!$F$4,"")</f>
        <v/>
      </c>
      <c r="F1718" s="27" t="str">
        <f>IFERROR(ABS(FV('Investment Calculator'!$C$7/'Investment Calculator'!$F$4,'SIP Schedule'!C1718,'SIP Schedule'!D1718,,1)),"")</f>
        <v/>
      </c>
    </row>
    <row r="1719" spans="3:6" x14ac:dyDescent="0.3">
      <c r="C1719" s="1" t="str">
        <f>IF(C1718&lt;'Investment Calculator'!$C$8*'Investment Calculator'!$F$4,'SIP Schedule'!C1718+1,"")</f>
        <v/>
      </c>
      <c r="D1719" s="27" t="str">
        <f>IF(C1719&lt;='Investment Calculator'!$C$8*'Investment Calculator'!$F$4,'Investment Calculator'!$C$6,"")</f>
        <v/>
      </c>
      <c r="E1719" s="27" t="str">
        <f>IFERROR((F1718+D1719)*'Investment Calculator'!$C$7/'Investment Calculator'!$F$4,"")</f>
        <v/>
      </c>
      <c r="F1719" s="27" t="str">
        <f>IFERROR(ABS(FV('Investment Calculator'!$C$7/'Investment Calculator'!$F$4,'SIP Schedule'!C1719,'SIP Schedule'!D1719,,1)),"")</f>
        <v/>
      </c>
    </row>
    <row r="1720" spans="3:6" x14ac:dyDescent="0.3">
      <c r="C1720" s="1" t="str">
        <f>IF(C1719&lt;'Investment Calculator'!$C$8*'Investment Calculator'!$F$4,'SIP Schedule'!C1719+1,"")</f>
        <v/>
      </c>
      <c r="D1720" s="27" t="str">
        <f>IF(C1720&lt;='Investment Calculator'!$C$8*'Investment Calculator'!$F$4,'Investment Calculator'!$C$6,"")</f>
        <v/>
      </c>
      <c r="E1720" s="27" t="str">
        <f>IFERROR((F1719+D1720)*'Investment Calculator'!$C$7/'Investment Calculator'!$F$4,"")</f>
        <v/>
      </c>
      <c r="F1720" s="27" t="str">
        <f>IFERROR(ABS(FV('Investment Calculator'!$C$7/'Investment Calculator'!$F$4,'SIP Schedule'!C1720,'SIP Schedule'!D1720,,1)),"")</f>
        <v/>
      </c>
    </row>
    <row r="1721" spans="3:6" x14ac:dyDescent="0.3">
      <c r="C1721" s="1" t="str">
        <f>IF(C1720&lt;'Investment Calculator'!$C$8*'Investment Calculator'!$F$4,'SIP Schedule'!C1720+1,"")</f>
        <v/>
      </c>
      <c r="D1721" s="27" t="str">
        <f>IF(C1721&lt;='Investment Calculator'!$C$8*'Investment Calculator'!$F$4,'Investment Calculator'!$C$6,"")</f>
        <v/>
      </c>
      <c r="E1721" s="27" t="str">
        <f>IFERROR((F1720+D1721)*'Investment Calculator'!$C$7/'Investment Calculator'!$F$4,"")</f>
        <v/>
      </c>
      <c r="F1721" s="27" t="str">
        <f>IFERROR(ABS(FV('Investment Calculator'!$C$7/'Investment Calculator'!$F$4,'SIP Schedule'!C1721,'SIP Schedule'!D1721,,1)),"")</f>
        <v/>
      </c>
    </row>
    <row r="1722" spans="3:6" x14ac:dyDescent="0.3">
      <c r="C1722" s="1" t="str">
        <f>IF(C1721&lt;'Investment Calculator'!$C$8*'Investment Calculator'!$F$4,'SIP Schedule'!C1721+1,"")</f>
        <v/>
      </c>
      <c r="D1722" s="27" t="str">
        <f>IF(C1722&lt;='Investment Calculator'!$C$8*'Investment Calculator'!$F$4,'Investment Calculator'!$C$6,"")</f>
        <v/>
      </c>
      <c r="E1722" s="27" t="str">
        <f>IFERROR((F1721+D1722)*'Investment Calculator'!$C$7/'Investment Calculator'!$F$4,"")</f>
        <v/>
      </c>
      <c r="F1722" s="27" t="str">
        <f>IFERROR(ABS(FV('Investment Calculator'!$C$7/'Investment Calculator'!$F$4,'SIP Schedule'!C1722,'SIP Schedule'!D1722,,1)),"")</f>
        <v/>
      </c>
    </row>
    <row r="1723" spans="3:6" x14ac:dyDescent="0.3">
      <c r="C1723" s="1" t="str">
        <f>IF(C1722&lt;'Investment Calculator'!$C$8*'Investment Calculator'!$F$4,'SIP Schedule'!C1722+1,"")</f>
        <v/>
      </c>
      <c r="D1723" s="27" t="str">
        <f>IF(C1723&lt;='Investment Calculator'!$C$8*'Investment Calculator'!$F$4,'Investment Calculator'!$C$6,"")</f>
        <v/>
      </c>
      <c r="E1723" s="27" t="str">
        <f>IFERROR((F1722+D1723)*'Investment Calculator'!$C$7/'Investment Calculator'!$F$4,"")</f>
        <v/>
      </c>
      <c r="F1723" s="27" t="str">
        <f>IFERROR(ABS(FV('Investment Calculator'!$C$7/'Investment Calculator'!$F$4,'SIP Schedule'!C1723,'SIP Schedule'!D1723,,1)),"")</f>
        <v/>
      </c>
    </row>
    <row r="1724" spans="3:6" x14ac:dyDescent="0.3">
      <c r="C1724" s="1" t="str">
        <f>IF(C1723&lt;'Investment Calculator'!$C$8*'Investment Calculator'!$F$4,'SIP Schedule'!C1723+1,"")</f>
        <v/>
      </c>
      <c r="D1724" s="27" t="str">
        <f>IF(C1724&lt;='Investment Calculator'!$C$8*'Investment Calculator'!$F$4,'Investment Calculator'!$C$6,"")</f>
        <v/>
      </c>
      <c r="E1724" s="27" t="str">
        <f>IFERROR((F1723+D1724)*'Investment Calculator'!$C$7/'Investment Calculator'!$F$4,"")</f>
        <v/>
      </c>
      <c r="F1724" s="27" t="str">
        <f>IFERROR(ABS(FV('Investment Calculator'!$C$7/'Investment Calculator'!$F$4,'SIP Schedule'!C1724,'SIP Schedule'!D1724,,1)),"")</f>
        <v/>
      </c>
    </row>
    <row r="1725" spans="3:6" x14ac:dyDescent="0.3">
      <c r="C1725" s="1" t="str">
        <f>IF(C1724&lt;'Investment Calculator'!$C$8*'Investment Calculator'!$F$4,'SIP Schedule'!C1724+1,"")</f>
        <v/>
      </c>
      <c r="D1725" s="27" t="str">
        <f>IF(C1725&lt;='Investment Calculator'!$C$8*'Investment Calculator'!$F$4,'Investment Calculator'!$C$6,"")</f>
        <v/>
      </c>
      <c r="E1725" s="27" t="str">
        <f>IFERROR((F1724+D1725)*'Investment Calculator'!$C$7/'Investment Calculator'!$F$4,"")</f>
        <v/>
      </c>
      <c r="F1725" s="27" t="str">
        <f>IFERROR(ABS(FV('Investment Calculator'!$C$7/'Investment Calculator'!$F$4,'SIP Schedule'!C1725,'SIP Schedule'!D1725,,1)),"")</f>
        <v/>
      </c>
    </row>
    <row r="1726" spans="3:6" x14ac:dyDescent="0.3">
      <c r="C1726" s="1" t="str">
        <f>IF(C1725&lt;'Investment Calculator'!$C$8*'Investment Calculator'!$F$4,'SIP Schedule'!C1725+1,"")</f>
        <v/>
      </c>
      <c r="D1726" s="27" t="str">
        <f>IF(C1726&lt;='Investment Calculator'!$C$8*'Investment Calculator'!$F$4,'Investment Calculator'!$C$6,"")</f>
        <v/>
      </c>
      <c r="E1726" s="27" t="str">
        <f>IFERROR((F1725+D1726)*'Investment Calculator'!$C$7/'Investment Calculator'!$F$4,"")</f>
        <v/>
      </c>
      <c r="F1726" s="27" t="str">
        <f>IFERROR(ABS(FV('Investment Calculator'!$C$7/'Investment Calculator'!$F$4,'SIP Schedule'!C1726,'SIP Schedule'!D1726,,1)),"")</f>
        <v/>
      </c>
    </row>
    <row r="1727" spans="3:6" x14ac:dyDescent="0.3">
      <c r="C1727" s="1" t="str">
        <f>IF(C1726&lt;'Investment Calculator'!$C$8*'Investment Calculator'!$F$4,'SIP Schedule'!C1726+1,"")</f>
        <v/>
      </c>
      <c r="D1727" s="27" t="str">
        <f>IF(C1727&lt;='Investment Calculator'!$C$8*'Investment Calculator'!$F$4,'Investment Calculator'!$C$6,"")</f>
        <v/>
      </c>
      <c r="E1727" s="27" t="str">
        <f>IFERROR((F1726+D1727)*'Investment Calculator'!$C$7/'Investment Calculator'!$F$4,"")</f>
        <v/>
      </c>
      <c r="F1727" s="27" t="str">
        <f>IFERROR(ABS(FV('Investment Calculator'!$C$7/'Investment Calculator'!$F$4,'SIP Schedule'!C1727,'SIP Schedule'!D1727,,1)),"")</f>
        <v/>
      </c>
    </row>
    <row r="1728" spans="3:6" x14ac:dyDescent="0.3">
      <c r="C1728" s="1" t="str">
        <f>IF(C1727&lt;'Investment Calculator'!$C$8*'Investment Calculator'!$F$4,'SIP Schedule'!C1727+1,"")</f>
        <v/>
      </c>
      <c r="D1728" s="27" t="str">
        <f>IF(C1728&lt;='Investment Calculator'!$C$8*'Investment Calculator'!$F$4,'Investment Calculator'!$C$6,"")</f>
        <v/>
      </c>
      <c r="E1728" s="27" t="str">
        <f>IFERROR((F1727+D1728)*'Investment Calculator'!$C$7/'Investment Calculator'!$F$4,"")</f>
        <v/>
      </c>
      <c r="F1728" s="27" t="str">
        <f>IFERROR(ABS(FV('Investment Calculator'!$C$7/'Investment Calculator'!$F$4,'SIP Schedule'!C1728,'SIP Schedule'!D1728,,1)),"")</f>
        <v/>
      </c>
    </row>
    <row r="1729" spans="3:6" x14ac:dyDescent="0.3">
      <c r="C1729" s="1" t="str">
        <f>IF(C1728&lt;'Investment Calculator'!$C$8*'Investment Calculator'!$F$4,'SIP Schedule'!C1728+1,"")</f>
        <v/>
      </c>
      <c r="D1729" s="27" t="str">
        <f>IF(C1729&lt;='Investment Calculator'!$C$8*'Investment Calculator'!$F$4,'Investment Calculator'!$C$6,"")</f>
        <v/>
      </c>
      <c r="E1729" s="27" t="str">
        <f>IFERROR((F1728+D1729)*'Investment Calculator'!$C$7/'Investment Calculator'!$F$4,"")</f>
        <v/>
      </c>
      <c r="F1729" s="27" t="str">
        <f>IFERROR(ABS(FV('Investment Calculator'!$C$7/'Investment Calculator'!$F$4,'SIP Schedule'!C1729,'SIP Schedule'!D1729,,1)),"")</f>
        <v/>
      </c>
    </row>
    <row r="1730" spans="3:6" x14ac:dyDescent="0.3">
      <c r="C1730" s="1" t="str">
        <f>IF(C1729&lt;'Investment Calculator'!$C$8*'Investment Calculator'!$F$4,'SIP Schedule'!C1729+1,"")</f>
        <v/>
      </c>
      <c r="D1730" s="27" t="str">
        <f>IF(C1730&lt;='Investment Calculator'!$C$8*'Investment Calculator'!$F$4,'Investment Calculator'!$C$6,"")</f>
        <v/>
      </c>
      <c r="E1730" s="27" t="str">
        <f>IFERROR((F1729+D1730)*'Investment Calculator'!$C$7/'Investment Calculator'!$F$4,"")</f>
        <v/>
      </c>
      <c r="F1730" s="27" t="str">
        <f>IFERROR(ABS(FV('Investment Calculator'!$C$7/'Investment Calculator'!$F$4,'SIP Schedule'!C1730,'SIP Schedule'!D1730,,1)),"")</f>
        <v/>
      </c>
    </row>
    <row r="1731" spans="3:6" x14ac:dyDescent="0.3">
      <c r="C1731" s="1" t="str">
        <f>IF(C1730&lt;'Investment Calculator'!$C$8*'Investment Calculator'!$F$4,'SIP Schedule'!C1730+1,"")</f>
        <v/>
      </c>
      <c r="D1731" s="27" t="str">
        <f>IF(C1731&lt;='Investment Calculator'!$C$8*'Investment Calculator'!$F$4,'Investment Calculator'!$C$6,"")</f>
        <v/>
      </c>
      <c r="E1731" s="27" t="str">
        <f>IFERROR((F1730+D1731)*'Investment Calculator'!$C$7/'Investment Calculator'!$F$4,"")</f>
        <v/>
      </c>
      <c r="F1731" s="27" t="str">
        <f>IFERROR(ABS(FV('Investment Calculator'!$C$7/'Investment Calculator'!$F$4,'SIP Schedule'!C1731,'SIP Schedule'!D1731,,1)),"")</f>
        <v/>
      </c>
    </row>
    <row r="1732" spans="3:6" x14ac:dyDescent="0.3">
      <c r="C1732" s="1" t="str">
        <f>IF(C1731&lt;'Investment Calculator'!$C$8*'Investment Calculator'!$F$4,'SIP Schedule'!C1731+1,"")</f>
        <v/>
      </c>
      <c r="D1732" s="27" t="str">
        <f>IF(C1732&lt;='Investment Calculator'!$C$8*'Investment Calculator'!$F$4,'Investment Calculator'!$C$6,"")</f>
        <v/>
      </c>
      <c r="E1732" s="27" t="str">
        <f>IFERROR((F1731+D1732)*'Investment Calculator'!$C$7/'Investment Calculator'!$F$4,"")</f>
        <v/>
      </c>
      <c r="F1732" s="27" t="str">
        <f>IFERROR(ABS(FV('Investment Calculator'!$C$7/'Investment Calculator'!$F$4,'SIP Schedule'!C1732,'SIP Schedule'!D1732,,1)),"")</f>
        <v/>
      </c>
    </row>
    <row r="1733" spans="3:6" x14ac:dyDescent="0.3">
      <c r="C1733" s="1" t="str">
        <f>IF(C1732&lt;'Investment Calculator'!$C$8*'Investment Calculator'!$F$4,'SIP Schedule'!C1732+1,"")</f>
        <v/>
      </c>
      <c r="D1733" s="27" t="str">
        <f>IF(C1733&lt;='Investment Calculator'!$C$8*'Investment Calculator'!$F$4,'Investment Calculator'!$C$6,"")</f>
        <v/>
      </c>
      <c r="E1733" s="27" t="str">
        <f>IFERROR((F1732+D1733)*'Investment Calculator'!$C$7/'Investment Calculator'!$F$4,"")</f>
        <v/>
      </c>
      <c r="F1733" s="27" t="str">
        <f>IFERROR(ABS(FV('Investment Calculator'!$C$7/'Investment Calculator'!$F$4,'SIP Schedule'!C1733,'SIP Schedule'!D1733,,1)),"")</f>
        <v/>
      </c>
    </row>
    <row r="1734" spans="3:6" x14ac:dyDescent="0.3">
      <c r="C1734" s="1" t="str">
        <f>IF(C1733&lt;'Investment Calculator'!$C$8*'Investment Calculator'!$F$4,'SIP Schedule'!C1733+1,"")</f>
        <v/>
      </c>
      <c r="D1734" s="27" t="str">
        <f>IF(C1734&lt;='Investment Calculator'!$C$8*'Investment Calculator'!$F$4,'Investment Calculator'!$C$6,"")</f>
        <v/>
      </c>
      <c r="E1734" s="27" t="str">
        <f>IFERROR((F1733+D1734)*'Investment Calculator'!$C$7/'Investment Calculator'!$F$4,"")</f>
        <v/>
      </c>
      <c r="F1734" s="27" t="str">
        <f>IFERROR(ABS(FV('Investment Calculator'!$C$7/'Investment Calculator'!$F$4,'SIP Schedule'!C1734,'SIP Schedule'!D1734,,1)),"")</f>
        <v/>
      </c>
    </row>
    <row r="1735" spans="3:6" x14ac:dyDescent="0.3">
      <c r="C1735" s="1" t="str">
        <f>IF(C1734&lt;'Investment Calculator'!$C$8*'Investment Calculator'!$F$4,'SIP Schedule'!C1734+1,"")</f>
        <v/>
      </c>
      <c r="D1735" s="27" t="str">
        <f>IF(C1735&lt;='Investment Calculator'!$C$8*'Investment Calculator'!$F$4,'Investment Calculator'!$C$6,"")</f>
        <v/>
      </c>
      <c r="E1735" s="27" t="str">
        <f>IFERROR((F1734+D1735)*'Investment Calculator'!$C$7/'Investment Calculator'!$F$4,"")</f>
        <v/>
      </c>
      <c r="F1735" s="27" t="str">
        <f>IFERROR(ABS(FV('Investment Calculator'!$C$7/'Investment Calculator'!$F$4,'SIP Schedule'!C1735,'SIP Schedule'!D1735,,1)),"")</f>
        <v/>
      </c>
    </row>
    <row r="1736" spans="3:6" x14ac:dyDescent="0.3">
      <c r="C1736" s="1" t="str">
        <f>IF(C1735&lt;'Investment Calculator'!$C$8*'Investment Calculator'!$F$4,'SIP Schedule'!C1735+1,"")</f>
        <v/>
      </c>
      <c r="D1736" s="27" t="str">
        <f>IF(C1736&lt;='Investment Calculator'!$C$8*'Investment Calculator'!$F$4,'Investment Calculator'!$C$6,"")</f>
        <v/>
      </c>
      <c r="E1736" s="27" t="str">
        <f>IFERROR((F1735+D1736)*'Investment Calculator'!$C$7/'Investment Calculator'!$F$4,"")</f>
        <v/>
      </c>
      <c r="F1736" s="27" t="str">
        <f>IFERROR(ABS(FV('Investment Calculator'!$C$7/'Investment Calculator'!$F$4,'SIP Schedule'!C1736,'SIP Schedule'!D1736,,1)),"")</f>
        <v/>
      </c>
    </row>
    <row r="1737" spans="3:6" x14ac:dyDescent="0.3">
      <c r="C1737" s="1" t="str">
        <f>IF(C1736&lt;'Investment Calculator'!$C$8*'Investment Calculator'!$F$4,'SIP Schedule'!C1736+1,"")</f>
        <v/>
      </c>
      <c r="D1737" s="27" t="str">
        <f>IF(C1737&lt;='Investment Calculator'!$C$8*'Investment Calculator'!$F$4,'Investment Calculator'!$C$6,"")</f>
        <v/>
      </c>
      <c r="E1737" s="27" t="str">
        <f>IFERROR((F1736+D1737)*'Investment Calculator'!$C$7/'Investment Calculator'!$F$4,"")</f>
        <v/>
      </c>
      <c r="F1737" s="27" t="str">
        <f>IFERROR(ABS(FV('Investment Calculator'!$C$7/'Investment Calculator'!$F$4,'SIP Schedule'!C1737,'SIP Schedule'!D1737,,1)),"")</f>
        <v/>
      </c>
    </row>
    <row r="1738" spans="3:6" x14ac:dyDescent="0.3">
      <c r="C1738" s="1" t="str">
        <f>IF(C1737&lt;'Investment Calculator'!$C$8*'Investment Calculator'!$F$4,'SIP Schedule'!C1737+1,"")</f>
        <v/>
      </c>
      <c r="D1738" s="27" t="str">
        <f>IF(C1738&lt;='Investment Calculator'!$C$8*'Investment Calculator'!$F$4,'Investment Calculator'!$C$6,"")</f>
        <v/>
      </c>
      <c r="E1738" s="27" t="str">
        <f>IFERROR((F1737+D1738)*'Investment Calculator'!$C$7/'Investment Calculator'!$F$4,"")</f>
        <v/>
      </c>
      <c r="F1738" s="27" t="str">
        <f>IFERROR(ABS(FV('Investment Calculator'!$C$7/'Investment Calculator'!$F$4,'SIP Schedule'!C1738,'SIP Schedule'!D1738,,1)),"")</f>
        <v/>
      </c>
    </row>
    <row r="1739" spans="3:6" x14ac:dyDescent="0.3">
      <c r="C1739" s="1" t="str">
        <f>IF(C1738&lt;'Investment Calculator'!$C$8*'Investment Calculator'!$F$4,'SIP Schedule'!C1738+1,"")</f>
        <v/>
      </c>
      <c r="D1739" s="27" t="str">
        <f>IF(C1739&lt;='Investment Calculator'!$C$8*'Investment Calculator'!$F$4,'Investment Calculator'!$C$6,"")</f>
        <v/>
      </c>
      <c r="E1739" s="27" t="str">
        <f>IFERROR((F1738+D1739)*'Investment Calculator'!$C$7/'Investment Calculator'!$F$4,"")</f>
        <v/>
      </c>
      <c r="F1739" s="27" t="str">
        <f>IFERROR(ABS(FV('Investment Calculator'!$C$7/'Investment Calculator'!$F$4,'SIP Schedule'!C1739,'SIP Schedule'!D1739,,1)),"")</f>
        <v/>
      </c>
    </row>
    <row r="1740" spans="3:6" x14ac:dyDescent="0.3">
      <c r="C1740" s="1" t="str">
        <f>IF(C1739&lt;'Investment Calculator'!$C$8*'Investment Calculator'!$F$4,'SIP Schedule'!C1739+1,"")</f>
        <v/>
      </c>
      <c r="D1740" s="27" t="str">
        <f>IF(C1740&lt;='Investment Calculator'!$C$8*'Investment Calculator'!$F$4,'Investment Calculator'!$C$6,"")</f>
        <v/>
      </c>
      <c r="E1740" s="27" t="str">
        <f>IFERROR((F1739+D1740)*'Investment Calculator'!$C$7/'Investment Calculator'!$F$4,"")</f>
        <v/>
      </c>
      <c r="F1740" s="27" t="str">
        <f>IFERROR(ABS(FV('Investment Calculator'!$C$7/'Investment Calculator'!$F$4,'SIP Schedule'!C1740,'SIP Schedule'!D1740,,1)),"")</f>
        <v/>
      </c>
    </row>
    <row r="1741" spans="3:6" x14ac:dyDescent="0.3">
      <c r="C1741" s="1" t="str">
        <f>IF(C1740&lt;'Investment Calculator'!$C$8*'Investment Calculator'!$F$4,'SIP Schedule'!C1740+1,"")</f>
        <v/>
      </c>
      <c r="D1741" s="27" t="str">
        <f>IF(C1741&lt;='Investment Calculator'!$C$8*'Investment Calculator'!$F$4,'Investment Calculator'!$C$6,"")</f>
        <v/>
      </c>
      <c r="E1741" s="27" t="str">
        <f>IFERROR((F1740+D1741)*'Investment Calculator'!$C$7/'Investment Calculator'!$F$4,"")</f>
        <v/>
      </c>
      <c r="F1741" s="27" t="str">
        <f>IFERROR(ABS(FV('Investment Calculator'!$C$7/'Investment Calculator'!$F$4,'SIP Schedule'!C1741,'SIP Schedule'!D1741,,1)),"")</f>
        <v/>
      </c>
    </row>
    <row r="1742" spans="3:6" x14ac:dyDescent="0.3">
      <c r="C1742" s="1" t="str">
        <f>IF(C1741&lt;'Investment Calculator'!$C$8*'Investment Calculator'!$F$4,'SIP Schedule'!C1741+1,"")</f>
        <v/>
      </c>
      <c r="D1742" s="27" t="str">
        <f>IF(C1742&lt;='Investment Calculator'!$C$8*'Investment Calculator'!$F$4,'Investment Calculator'!$C$6,"")</f>
        <v/>
      </c>
      <c r="E1742" s="27" t="str">
        <f>IFERROR((F1741+D1742)*'Investment Calculator'!$C$7/'Investment Calculator'!$F$4,"")</f>
        <v/>
      </c>
      <c r="F1742" s="27" t="str">
        <f>IFERROR(ABS(FV('Investment Calculator'!$C$7/'Investment Calculator'!$F$4,'SIP Schedule'!C1742,'SIP Schedule'!D1742,,1)),"")</f>
        <v/>
      </c>
    </row>
    <row r="1743" spans="3:6" x14ac:dyDescent="0.3">
      <c r="C1743" s="1" t="str">
        <f>IF(C1742&lt;'Investment Calculator'!$C$8*'Investment Calculator'!$F$4,'SIP Schedule'!C1742+1,"")</f>
        <v/>
      </c>
      <c r="D1743" s="27" t="str">
        <f>IF(C1743&lt;='Investment Calculator'!$C$8*'Investment Calculator'!$F$4,'Investment Calculator'!$C$6,"")</f>
        <v/>
      </c>
      <c r="E1743" s="27" t="str">
        <f>IFERROR((F1742+D1743)*'Investment Calculator'!$C$7/'Investment Calculator'!$F$4,"")</f>
        <v/>
      </c>
      <c r="F1743" s="27" t="str">
        <f>IFERROR(ABS(FV('Investment Calculator'!$C$7/'Investment Calculator'!$F$4,'SIP Schedule'!C1743,'SIP Schedule'!D1743,,1)),"")</f>
        <v/>
      </c>
    </row>
    <row r="1744" spans="3:6" x14ac:dyDescent="0.3">
      <c r="C1744" s="1" t="str">
        <f>IF(C1743&lt;'Investment Calculator'!$C$8*'Investment Calculator'!$F$4,'SIP Schedule'!C1743+1,"")</f>
        <v/>
      </c>
      <c r="D1744" s="27" t="str">
        <f>IF(C1744&lt;='Investment Calculator'!$C$8*'Investment Calculator'!$F$4,'Investment Calculator'!$C$6,"")</f>
        <v/>
      </c>
      <c r="E1744" s="27" t="str">
        <f>IFERROR((F1743+D1744)*'Investment Calculator'!$C$7/'Investment Calculator'!$F$4,"")</f>
        <v/>
      </c>
      <c r="F1744" s="27" t="str">
        <f>IFERROR(ABS(FV('Investment Calculator'!$C$7/'Investment Calculator'!$F$4,'SIP Schedule'!C1744,'SIP Schedule'!D1744,,1)),"")</f>
        <v/>
      </c>
    </row>
    <row r="1745" spans="3:6" x14ac:dyDescent="0.3">
      <c r="C1745" s="1" t="str">
        <f>IF(C1744&lt;'Investment Calculator'!$C$8*'Investment Calculator'!$F$4,'SIP Schedule'!C1744+1,"")</f>
        <v/>
      </c>
      <c r="D1745" s="27" t="str">
        <f>IF(C1745&lt;='Investment Calculator'!$C$8*'Investment Calculator'!$F$4,'Investment Calculator'!$C$6,"")</f>
        <v/>
      </c>
      <c r="E1745" s="27" t="str">
        <f>IFERROR((F1744+D1745)*'Investment Calculator'!$C$7/'Investment Calculator'!$F$4,"")</f>
        <v/>
      </c>
      <c r="F1745" s="27" t="str">
        <f>IFERROR(ABS(FV('Investment Calculator'!$C$7/'Investment Calculator'!$F$4,'SIP Schedule'!C1745,'SIP Schedule'!D1745,,1)),"")</f>
        <v/>
      </c>
    </row>
    <row r="1746" spans="3:6" x14ac:dyDescent="0.3">
      <c r="C1746" s="1" t="str">
        <f>IF(C1745&lt;'Investment Calculator'!$C$8*'Investment Calculator'!$F$4,'SIP Schedule'!C1745+1,"")</f>
        <v/>
      </c>
      <c r="D1746" s="27" t="str">
        <f>IF(C1746&lt;='Investment Calculator'!$C$8*'Investment Calculator'!$F$4,'Investment Calculator'!$C$6,"")</f>
        <v/>
      </c>
      <c r="E1746" s="27" t="str">
        <f>IFERROR((F1745+D1746)*'Investment Calculator'!$C$7/'Investment Calculator'!$F$4,"")</f>
        <v/>
      </c>
      <c r="F1746" s="27" t="str">
        <f>IFERROR(ABS(FV('Investment Calculator'!$C$7/'Investment Calculator'!$F$4,'SIP Schedule'!C1746,'SIP Schedule'!D1746,,1)),"")</f>
        <v/>
      </c>
    </row>
    <row r="1747" spans="3:6" x14ac:dyDescent="0.3">
      <c r="C1747" s="1" t="str">
        <f>IF(C1746&lt;'Investment Calculator'!$C$8*'Investment Calculator'!$F$4,'SIP Schedule'!C1746+1,"")</f>
        <v/>
      </c>
      <c r="D1747" s="27" t="str">
        <f>IF(C1747&lt;='Investment Calculator'!$C$8*'Investment Calculator'!$F$4,'Investment Calculator'!$C$6,"")</f>
        <v/>
      </c>
      <c r="E1747" s="27" t="str">
        <f>IFERROR((F1746+D1747)*'Investment Calculator'!$C$7/'Investment Calculator'!$F$4,"")</f>
        <v/>
      </c>
      <c r="F1747" s="27" t="str">
        <f>IFERROR(ABS(FV('Investment Calculator'!$C$7/'Investment Calculator'!$F$4,'SIP Schedule'!C1747,'SIP Schedule'!D1747,,1)),"")</f>
        <v/>
      </c>
    </row>
    <row r="1748" spans="3:6" x14ac:dyDescent="0.3">
      <c r="C1748" s="1" t="str">
        <f>IF(C1747&lt;'Investment Calculator'!$C$8*'Investment Calculator'!$F$4,'SIP Schedule'!C1747+1,"")</f>
        <v/>
      </c>
      <c r="D1748" s="27" t="str">
        <f>IF(C1748&lt;='Investment Calculator'!$C$8*'Investment Calculator'!$F$4,'Investment Calculator'!$C$6,"")</f>
        <v/>
      </c>
      <c r="E1748" s="27" t="str">
        <f>IFERROR((F1747+D1748)*'Investment Calculator'!$C$7/'Investment Calculator'!$F$4,"")</f>
        <v/>
      </c>
      <c r="F1748" s="27" t="str">
        <f>IFERROR(ABS(FV('Investment Calculator'!$C$7/'Investment Calculator'!$F$4,'SIP Schedule'!C1748,'SIP Schedule'!D1748,,1)),"")</f>
        <v/>
      </c>
    </row>
    <row r="1749" spans="3:6" x14ac:dyDescent="0.3">
      <c r="C1749" s="1" t="str">
        <f>IF(C1748&lt;'Investment Calculator'!$C$8*'Investment Calculator'!$F$4,'SIP Schedule'!C1748+1,"")</f>
        <v/>
      </c>
      <c r="D1749" s="27" t="str">
        <f>IF(C1749&lt;='Investment Calculator'!$C$8*'Investment Calculator'!$F$4,'Investment Calculator'!$C$6,"")</f>
        <v/>
      </c>
      <c r="E1749" s="27" t="str">
        <f>IFERROR((F1748+D1749)*'Investment Calculator'!$C$7/'Investment Calculator'!$F$4,"")</f>
        <v/>
      </c>
      <c r="F1749" s="27" t="str">
        <f>IFERROR(ABS(FV('Investment Calculator'!$C$7/'Investment Calculator'!$F$4,'SIP Schedule'!C1749,'SIP Schedule'!D1749,,1)),"")</f>
        <v/>
      </c>
    </row>
    <row r="1750" spans="3:6" x14ac:dyDescent="0.3">
      <c r="C1750" s="1" t="str">
        <f>IF(C1749&lt;'Investment Calculator'!$C$8*'Investment Calculator'!$F$4,'SIP Schedule'!C1749+1,"")</f>
        <v/>
      </c>
      <c r="D1750" s="27" t="str">
        <f>IF(C1750&lt;='Investment Calculator'!$C$8*'Investment Calculator'!$F$4,'Investment Calculator'!$C$6,"")</f>
        <v/>
      </c>
      <c r="E1750" s="27" t="str">
        <f>IFERROR((F1749+D1750)*'Investment Calculator'!$C$7/'Investment Calculator'!$F$4,"")</f>
        <v/>
      </c>
      <c r="F1750" s="27" t="str">
        <f>IFERROR(ABS(FV('Investment Calculator'!$C$7/'Investment Calculator'!$F$4,'SIP Schedule'!C1750,'SIP Schedule'!D1750,,1)),"")</f>
        <v/>
      </c>
    </row>
    <row r="1751" spans="3:6" x14ac:dyDescent="0.3">
      <c r="C1751" s="1" t="str">
        <f>IF(C1750&lt;'Investment Calculator'!$C$8*'Investment Calculator'!$F$4,'SIP Schedule'!C1750+1,"")</f>
        <v/>
      </c>
      <c r="D1751" s="27" t="str">
        <f>IF(C1751&lt;='Investment Calculator'!$C$8*'Investment Calculator'!$F$4,'Investment Calculator'!$C$6,"")</f>
        <v/>
      </c>
      <c r="E1751" s="27" t="str">
        <f>IFERROR((F1750+D1751)*'Investment Calculator'!$C$7/'Investment Calculator'!$F$4,"")</f>
        <v/>
      </c>
      <c r="F1751" s="27" t="str">
        <f>IFERROR(ABS(FV('Investment Calculator'!$C$7/'Investment Calculator'!$F$4,'SIP Schedule'!C1751,'SIP Schedule'!D1751,,1)),"")</f>
        <v/>
      </c>
    </row>
    <row r="1752" spans="3:6" x14ac:dyDescent="0.3">
      <c r="C1752" s="1" t="str">
        <f>IF(C1751&lt;'Investment Calculator'!$C$8*'Investment Calculator'!$F$4,'SIP Schedule'!C1751+1,"")</f>
        <v/>
      </c>
      <c r="D1752" s="27" t="str">
        <f>IF(C1752&lt;='Investment Calculator'!$C$8*'Investment Calculator'!$F$4,'Investment Calculator'!$C$6,"")</f>
        <v/>
      </c>
      <c r="E1752" s="27" t="str">
        <f>IFERROR((F1751+D1752)*'Investment Calculator'!$C$7/'Investment Calculator'!$F$4,"")</f>
        <v/>
      </c>
      <c r="F1752" s="27" t="str">
        <f>IFERROR(ABS(FV('Investment Calculator'!$C$7/'Investment Calculator'!$F$4,'SIP Schedule'!C1752,'SIP Schedule'!D1752,,1)),"")</f>
        <v/>
      </c>
    </row>
    <row r="1753" spans="3:6" x14ac:dyDescent="0.3">
      <c r="C1753" s="1" t="str">
        <f>IF(C1752&lt;'Investment Calculator'!$C$8*'Investment Calculator'!$F$4,'SIP Schedule'!C1752+1,"")</f>
        <v/>
      </c>
      <c r="D1753" s="27" t="str">
        <f>IF(C1753&lt;='Investment Calculator'!$C$8*'Investment Calculator'!$F$4,'Investment Calculator'!$C$6,"")</f>
        <v/>
      </c>
      <c r="E1753" s="27" t="str">
        <f>IFERROR((F1752+D1753)*'Investment Calculator'!$C$7/'Investment Calculator'!$F$4,"")</f>
        <v/>
      </c>
      <c r="F1753" s="27" t="str">
        <f>IFERROR(ABS(FV('Investment Calculator'!$C$7/'Investment Calculator'!$F$4,'SIP Schedule'!C1753,'SIP Schedule'!D1753,,1)),"")</f>
        <v/>
      </c>
    </row>
    <row r="1754" spans="3:6" x14ac:dyDescent="0.3">
      <c r="C1754" s="1" t="str">
        <f>IF(C1753&lt;'Investment Calculator'!$C$8*'Investment Calculator'!$F$4,'SIP Schedule'!C1753+1,"")</f>
        <v/>
      </c>
      <c r="D1754" s="27" t="str">
        <f>IF(C1754&lt;='Investment Calculator'!$C$8*'Investment Calculator'!$F$4,'Investment Calculator'!$C$6,"")</f>
        <v/>
      </c>
      <c r="E1754" s="27" t="str">
        <f>IFERROR((F1753+D1754)*'Investment Calculator'!$C$7/'Investment Calculator'!$F$4,"")</f>
        <v/>
      </c>
      <c r="F1754" s="27" t="str">
        <f>IFERROR(ABS(FV('Investment Calculator'!$C$7/'Investment Calculator'!$F$4,'SIP Schedule'!C1754,'SIP Schedule'!D1754,,1)),"")</f>
        <v/>
      </c>
    </row>
    <row r="1755" spans="3:6" x14ac:dyDescent="0.3">
      <c r="C1755" s="1" t="str">
        <f>IF(C1754&lt;'Investment Calculator'!$C$8*'Investment Calculator'!$F$4,'SIP Schedule'!C1754+1,"")</f>
        <v/>
      </c>
      <c r="D1755" s="27" t="str">
        <f>IF(C1755&lt;='Investment Calculator'!$C$8*'Investment Calculator'!$F$4,'Investment Calculator'!$C$6,"")</f>
        <v/>
      </c>
      <c r="E1755" s="27" t="str">
        <f>IFERROR((F1754+D1755)*'Investment Calculator'!$C$7/'Investment Calculator'!$F$4,"")</f>
        <v/>
      </c>
      <c r="F1755" s="27" t="str">
        <f>IFERROR(ABS(FV('Investment Calculator'!$C$7/'Investment Calculator'!$F$4,'SIP Schedule'!C1755,'SIP Schedule'!D1755,,1)),"")</f>
        <v/>
      </c>
    </row>
    <row r="1756" spans="3:6" x14ac:dyDescent="0.3">
      <c r="C1756" s="1" t="str">
        <f>IF(C1755&lt;'Investment Calculator'!$C$8*'Investment Calculator'!$F$4,'SIP Schedule'!C1755+1,"")</f>
        <v/>
      </c>
      <c r="D1756" s="27" t="str">
        <f>IF(C1756&lt;='Investment Calculator'!$C$8*'Investment Calculator'!$F$4,'Investment Calculator'!$C$6,"")</f>
        <v/>
      </c>
      <c r="E1756" s="27" t="str">
        <f>IFERROR((F1755+D1756)*'Investment Calculator'!$C$7/'Investment Calculator'!$F$4,"")</f>
        <v/>
      </c>
      <c r="F1756" s="27" t="str">
        <f>IFERROR(ABS(FV('Investment Calculator'!$C$7/'Investment Calculator'!$F$4,'SIP Schedule'!C1756,'SIP Schedule'!D1756,,1)),"")</f>
        <v/>
      </c>
    </row>
    <row r="1757" spans="3:6" x14ac:dyDescent="0.3">
      <c r="C1757" s="1" t="str">
        <f>IF(C1756&lt;'Investment Calculator'!$C$8*'Investment Calculator'!$F$4,'SIP Schedule'!C1756+1,"")</f>
        <v/>
      </c>
      <c r="D1757" s="27" t="str">
        <f>IF(C1757&lt;='Investment Calculator'!$C$8*'Investment Calculator'!$F$4,'Investment Calculator'!$C$6,"")</f>
        <v/>
      </c>
      <c r="E1757" s="27" t="str">
        <f>IFERROR((F1756+D1757)*'Investment Calculator'!$C$7/'Investment Calculator'!$F$4,"")</f>
        <v/>
      </c>
      <c r="F1757" s="27" t="str">
        <f>IFERROR(ABS(FV('Investment Calculator'!$C$7/'Investment Calculator'!$F$4,'SIP Schedule'!C1757,'SIP Schedule'!D1757,,1)),"")</f>
        <v/>
      </c>
    </row>
    <row r="1758" spans="3:6" x14ac:dyDescent="0.3">
      <c r="C1758" s="1" t="str">
        <f>IF(C1757&lt;'Investment Calculator'!$C$8*'Investment Calculator'!$F$4,'SIP Schedule'!C1757+1,"")</f>
        <v/>
      </c>
      <c r="D1758" s="27" t="str">
        <f>IF(C1758&lt;='Investment Calculator'!$C$8*'Investment Calculator'!$F$4,'Investment Calculator'!$C$6,"")</f>
        <v/>
      </c>
      <c r="E1758" s="27" t="str">
        <f>IFERROR((F1757+D1758)*'Investment Calculator'!$C$7/'Investment Calculator'!$F$4,"")</f>
        <v/>
      </c>
      <c r="F1758" s="27" t="str">
        <f>IFERROR(ABS(FV('Investment Calculator'!$C$7/'Investment Calculator'!$F$4,'SIP Schedule'!C1758,'SIP Schedule'!D1758,,1)),"")</f>
        <v/>
      </c>
    </row>
    <row r="1759" spans="3:6" x14ac:dyDescent="0.3">
      <c r="C1759" s="1" t="str">
        <f>IF(C1758&lt;'Investment Calculator'!$C$8*'Investment Calculator'!$F$4,'SIP Schedule'!C1758+1,"")</f>
        <v/>
      </c>
      <c r="D1759" s="27" t="str">
        <f>IF(C1759&lt;='Investment Calculator'!$C$8*'Investment Calculator'!$F$4,'Investment Calculator'!$C$6,"")</f>
        <v/>
      </c>
      <c r="E1759" s="27" t="str">
        <f>IFERROR((F1758+D1759)*'Investment Calculator'!$C$7/'Investment Calculator'!$F$4,"")</f>
        <v/>
      </c>
      <c r="F1759" s="27" t="str">
        <f>IFERROR(ABS(FV('Investment Calculator'!$C$7/'Investment Calculator'!$F$4,'SIP Schedule'!C1759,'SIP Schedule'!D1759,,1)),"")</f>
        <v/>
      </c>
    </row>
    <row r="1760" spans="3:6" x14ac:dyDescent="0.3">
      <c r="C1760" s="1" t="str">
        <f>IF(C1759&lt;'Investment Calculator'!$C$8*'Investment Calculator'!$F$4,'SIP Schedule'!C1759+1,"")</f>
        <v/>
      </c>
      <c r="D1760" s="27" t="str">
        <f>IF(C1760&lt;='Investment Calculator'!$C$8*'Investment Calculator'!$F$4,'Investment Calculator'!$C$6,"")</f>
        <v/>
      </c>
      <c r="E1760" s="27" t="str">
        <f>IFERROR((F1759+D1760)*'Investment Calculator'!$C$7/'Investment Calculator'!$F$4,"")</f>
        <v/>
      </c>
      <c r="F1760" s="27" t="str">
        <f>IFERROR(ABS(FV('Investment Calculator'!$C$7/'Investment Calculator'!$F$4,'SIP Schedule'!C1760,'SIP Schedule'!D1760,,1)),"")</f>
        <v/>
      </c>
    </row>
    <row r="1761" spans="3:6" x14ac:dyDescent="0.3">
      <c r="C1761" s="1" t="str">
        <f>IF(C1760&lt;'Investment Calculator'!$C$8*'Investment Calculator'!$F$4,'SIP Schedule'!C1760+1,"")</f>
        <v/>
      </c>
      <c r="D1761" s="27" t="str">
        <f>IF(C1761&lt;='Investment Calculator'!$C$8*'Investment Calculator'!$F$4,'Investment Calculator'!$C$6,"")</f>
        <v/>
      </c>
      <c r="E1761" s="27" t="str">
        <f>IFERROR((F1760+D1761)*'Investment Calculator'!$C$7/'Investment Calculator'!$F$4,"")</f>
        <v/>
      </c>
      <c r="F1761" s="27" t="str">
        <f>IFERROR(ABS(FV('Investment Calculator'!$C$7/'Investment Calculator'!$F$4,'SIP Schedule'!C1761,'SIP Schedule'!D1761,,1)),"")</f>
        <v/>
      </c>
    </row>
    <row r="1762" spans="3:6" x14ac:dyDescent="0.3">
      <c r="C1762" s="1" t="str">
        <f>IF(C1761&lt;'Investment Calculator'!$C$8*'Investment Calculator'!$F$4,'SIP Schedule'!C1761+1,"")</f>
        <v/>
      </c>
      <c r="D1762" s="27" t="str">
        <f>IF(C1762&lt;='Investment Calculator'!$C$8*'Investment Calculator'!$F$4,'Investment Calculator'!$C$6,"")</f>
        <v/>
      </c>
      <c r="E1762" s="27" t="str">
        <f>IFERROR((F1761+D1762)*'Investment Calculator'!$C$7/'Investment Calculator'!$F$4,"")</f>
        <v/>
      </c>
      <c r="F1762" s="27" t="str">
        <f>IFERROR(ABS(FV('Investment Calculator'!$C$7/'Investment Calculator'!$F$4,'SIP Schedule'!C1762,'SIP Schedule'!D1762,,1)),"")</f>
        <v/>
      </c>
    </row>
    <row r="1763" spans="3:6" x14ac:dyDescent="0.3">
      <c r="C1763" s="1" t="str">
        <f>IF(C1762&lt;'Investment Calculator'!$C$8*'Investment Calculator'!$F$4,'SIP Schedule'!C1762+1,"")</f>
        <v/>
      </c>
      <c r="D1763" s="27" t="str">
        <f>IF(C1763&lt;='Investment Calculator'!$C$8*'Investment Calculator'!$F$4,'Investment Calculator'!$C$6,"")</f>
        <v/>
      </c>
      <c r="E1763" s="27" t="str">
        <f>IFERROR((F1762+D1763)*'Investment Calculator'!$C$7/'Investment Calculator'!$F$4,"")</f>
        <v/>
      </c>
      <c r="F1763" s="27" t="str">
        <f>IFERROR(ABS(FV('Investment Calculator'!$C$7/'Investment Calculator'!$F$4,'SIP Schedule'!C1763,'SIP Schedule'!D1763,,1)),"")</f>
        <v/>
      </c>
    </row>
    <row r="1764" spans="3:6" x14ac:dyDescent="0.3">
      <c r="C1764" s="1" t="str">
        <f>IF(C1763&lt;'Investment Calculator'!$C$8*'Investment Calculator'!$F$4,'SIP Schedule'!C1763+1,"")</f>
        <v/>
      </c>
      <c r="D1764" s="27" t="str">
        <f>IF(C1764&lt;='Investment Calculator'!$C$8*'Investment Calculator'!$F$4,'Investment Calculator'!$C$6,"")</f>
        <v/>
      </c>
      <c r="E1764" s="27" t="str">
        <f>IFERROR((F1763+D1764)*'Investment Calculator'!$C$7/'Investment Calculator'!$F$4,"")</f>
        <v/>
      </c>
      <c r="F1764" s="27" t="str">
        <f>IFERROR(ABS(FV('Investment Calculator'!$C$7/'Investment Calculator'!$F$4,'SIP Schedule'!C1764,'SIP Schedule'!D1764,,1)),"")</f>
        <v/>
      </c>
    </row>
    <row r="1765" spans="3:6" x14ac:dyDescent="0.3">
      <c r="C1765" s="1" t="str">
        <f>IF(C1764&lt;'Investment Calculator'!$C$8*'Investment Calculator'!$F$4,'SIP Schedule'!C1764+1,"")</f>
        <v/>
      </c>
      <c r="D1765" s="27" t="str">
        <f>IF(C1765&lt;='Investment Calculator'!$C$8*'Investment Calculator'!$F$4,'Investment Calculator'!$C$6,"")</f>
        <v/>
      </c>
      <c r="E1765" s="27" t="str">
        <f>IFERROR((F1764+D1765)*'Investment Calculator'!$C$7/'Investment Calculator'!$F$4,"")</f>
        <v/>
      </c>
      <c r="F1765" s="27" t="str">
        <f>IFERROR(ABS(FV('Investment Calculator'!$C$7/'Investment Calculator'!$F$4,'SIP Schedule'!C1765,'SIP Schedule'!D1765,,1)),"")</f>
        <v/>
      </c>
    </row>
    <row r="1766" spans="3:6" x14ac:dyDescent="0.3">
      <c r="C1766" s="1" t="str">
        <f>IF(C1765&lt;'Investment Calculator'!$C$8*'Investment Calculator'!$F$4,'SIP Schedule'!C1765+1,"")</f>
        <v/>
      </c>
      <c r="D1766" s="27" t="str">
        <f>IF(C1766&lt;='Investment Calculator'!$C$8*'Investment Calculator'!$F$4,'Investment Calculator'!$C$6,"")</f>
        <v/>
      </c>
      <c r="E1766" s="27" t="str">
        <f>IFERROR((F1765+D1766)*'Investment Calculator'!$C$7/'Investment Calculator'!$F$4,"")</f>
        <v/>
      </c>
      <c r="F1766" s="27" t="str">
        <f>IFERROR(ABS(FV('Investment Calculator'!$C$7/'Investment Calculator'!$F$4,'SIP Schedule'!C1766,'SIP Schedule'!D1766,,1)),"")</f>
        <v/>
      </c>
    </row>
    <row r="1767" spans="3:6" x14ac:dyDescent="0.3">
      <c r="C1767" s="1" t="str">
        <f>IF(C1766&lt;'Investment Calculator'!$C$8*'Investment Calculator'!$F$4,'SIP Schedule'!C1766+1,"")</f>
        <v/>
      </c>
      <c r="D1767" s="27" t="str">
        <f>IF(C1767&lt;='Investment Calculator'!$C$8*'Investment Calculator'!$F$4,'Investment Calculator'!$C$6,"")</f>
        <v/>
      </c>
      <c r="E1767" s="27" t="str">
        <f>IFERROR((F1766+D1767)*'Investment Calculator'!$C$7/'Investment Calculator'!$F$4,"")</f>
        <v/>
      </c>
      <c r="F1767" s="27" t="str">
        <f>IFERROR(ABS(FV('Investment Calculator'!$C$7/'Investment Calculator'!$F$4,'SIP Schedule'!C1767,'SIP Schedule'!D1767,,1)),"")</f>
        <v/>
      </c>
    </row>
    <row r="1768" spans="3:6" x14ac:dyDescent="0.3">
      <c r="C1768" s="1" t="str">
        <f>IF(C1767&lt;'Investment Calculator'!$C$8*'Investment Calculator'!$F$4,'SIP Schedule'!C1767+1,"")</f>
        <v/>
      </c>
      <c r="D1768" s="27" t="str">
        <f>IF(C1768&lt;='Investment Calculator'!$C$8*'Investment Calculator'!$F$4,'Investment Calculator'!$C$6,"")</f>
        <v/>
      </c>
      <c r="E1768" s="27" t="str">
        <f>IFERROR((F1767+D1768)*'Investment Calculator'!$C$7/'Investment Calculator'!$F$4,"")</f>
        <v/>
      </c>
      <c r="F1768" s="27" t="str">
        <f>IFERROR(ABS(FV('Investment Calculator'!$C$7/'Investment Calculator'!$F$4,'SIP Schedule'!C1768,'SIP Schedule'!D1768,,1)),"")</f>
        <v/>
      </c>
    </row>
    <row r="1769" spans="3:6" x14ac:dyDescent="0.3">
      <c r="C1769" s="1" t="str">
        <f>IF(C1768&lt;'Investment Calculator'!$C$8*'Investment Calculator'!$F$4,'SIP Schedule'!C1768+1,"")</f>
        <v/>
      </c>
      <c r="D1769" s="27" t="str">
        <f>IF(C1769&lt;='Investment Calculator'!$C$8*'Investment Calculator'!$F$4,'Investment Calculator'!$C$6,"")</f>
        <v/>
      </c>
      <c r="E1769" s="27" t="str">
        <f>IFERROR((F1768+D1769)*'Investment Calculator'!$C$7/'Investment Calculator'!$F$4,"")</f>
        <v/>
      </c>
      <c r="F1769" s="27" t="str">
        <f>IFERROR(ABS(FV('Investment Calculator'!$C$7/'Investment Calculator'!$F$4,'SIP Schedule'!C1769,'SIP Schedule'!D1769,,1)),"")</f>
        <v/>
      </c>
    </row>
    <row r="1770" spans="3:6" x14ac:dyDescent="0.3">
      <c r="C1770" s="1" t="str">
        <f>IF(C1769&lt;'Investment Calculator'!$C$8*'Investment Calculator'!$F$4,'SIP Schedule'!C1769+1,"")</f>
        <v/>
      </c>
      <c r="D1770" s="27" t="str">
        <f>IF(C1770&lt;='Investment Calculator'!$C$8*'Investment Calculator'!$F$4,'Investment Calculator'!$C$6,"")</f>
        <v/>
      </c>
      <c r="E1770" s="27" t="str">
        <f>IFERROR((F1769+D1770)*'Investment Calculator'!$C$7/'Investment Calculator'!$F$4,"")</f>
        <v/>
      </c>
      <c r="F1770" s="27" t="str">
        <f>IFERROR(ABS(FV('Investment Calculator'!$C$7/'Investment Calculator'!$F$4,'SIP Schedule'!C1770,'SIP Schedule'!D1770,,1)),"")</f>
        <v/>
      </c>
    </row>
    <row r="1771" spans="3:6" x14ac:dyDescent="0.3">
      <c r="C1771" s="1" t="str">
        <f>IF(C1770&lt;'Investment Calculator'!$C$8*'Investment Calculator'!$F$4,'SIP Schedule'!C1770+1,"")</f>
        <v/>
      </c>
      <c r="D1771" s="27" t="str">
        <f>IF(C1771&lt;='Investment Calculator'!$C$8*'Investment Calculator'!$F$4,'Investment Calculator'!$C$6,"")</f>
        <v/>
      </c>
      <c r="E1771" s="27" t="str">
        <f>IFERROR((F1770+D1771)*'Investment Calculator'!$C$7/'Investment Calculator'!$F$4,"")</f>
        <v/>
      </c>
      <c r="F1771" s="27" t="str">
        <f>IFERROR(ABS(FV('Investment Calculator'!$C$7/'Investment Calculator'!$F$4,'SIP Schedule'!C1771,'SIP Schedule'!D1771,,1)),"")</f>
        <v/>
      </c>
    </row>
    <row r="1772" spans="3:6" x14ac:dyDescent="0.3">
      <c r="C1772" s="1" t="str">
        <f>IF(C1771&lt;'Investment Calculator'!$C$8*'Investment Calculator'!$F$4,'SIP Schedule'!C1771+1,"")</f>
        <v/>
      </c>
      <c r="D1772" s="27" t="str">
        <f>IF(C1772&lt;='Investment Calculator'!$C$8*'Investment Calculator'!$F$4,'Investment Calculator'!$C$6,"")</f>
        <v/>
      </c>
      <c r="E1772" s="27" t="str">
        <f>IFERROR((F1771+D1772)*'Investment Calculator'!$C$7/'Investment Calculator'!$F$4,"")</f>
        <v/>
      </c>
      <c r="F1772" s="27" t="str">
        <f>IFERROR(ABS(FV('Investment Calculator'!$C$7/'Investment Calculator'!$F$4,'SIP Schedule'!C1772,'SIP Schedule'!D1772,,1)),"")</f>
        <v/>
      </c>
    </row>
    <row r="1773" spans="3:6" x14ac:dyDescent="0.3">
      <c r="C1773" s="1" t="str">
        <f>IF(C1772&lt;'Investment Calculator'!$C$8*'Investment Calculator'!$F$4,'SIP Schedule'!C1772+1,"")</f>
        <v/>
      </c>
      <c r="D1773" s="27" t="str">
        <f>IF(C1773&lt;='Investment Calculator'!$C$8*'Investment Calculator'!$F$4,'Investment Calculator'!$C$6,"")</f>
        <v/>
      </c>
      <c r="E1773" s="27" t="str">
        <f>IFERROR((F1772+D1773)*'Investment Calculator'!$C$7/'Investment Calculator'!$F$4,"")</f>
        <v/>
      </c>
      <c r="F1773" s="27" t="str">
        <f>IFERROR(ABS(FV('Investment Calculator'!$C$7/'Investment Calculator'!$F$4,'SIP Schedule'!C1773,'SIP Schedule'!D1773,,1)),"")</f>
        <v/>
      </c>
    </row>
    <row r="1774" spans="3:6" x14ac:dyDescent="0.3">
      <c r="C1774" s="1" t="str">
        <f>IF(C1773&lt;'Investment Calculator'!$C$8*'Investment Calculator'!$F$4,'SIP Schedule'!C1773+1,"")</f>
        <v/>
      </c>
      <c r="D1774" s="27" t="str">
        <f>IF(C1774&lt;='Investment Calculator'!$C$8*'Investment Calculator'!$F$4,'Investment Calculator'!$C$6,"")</f>
        <v/>
      </c>
      <c r="E1774" s="27" t="str">
        <f>IFERROR((F1773+D1774)*'Investment Calculator'!$C$7/'Investment Calculator'!$F$4,"")</f>
        <v/>
      </c>
      <c r="F1774" s="27" t="str">
        <f>IFERROR(ABS(FV('Investment Calculator'!$C$7/'Investment Calculator'!$F$4,'SIP Schedule'!C1774,'SIP Schedule'!D1774,,1)),"")</f>
        <v/>
      </c>
    </row>
    <row r="1775" spans="3:6" x14ac:dyDescent="0.3">
      <c r="C1775" s="1" t="str">
        <f>IF(C1774&lt;'Investment Calculator'!$C$8*'Investment Calculator'!$F$4,'SIP Schedule'!C1774+1,"")</f>
        <v/>
      </c>
      <c r="D1775" s="27" t="str">
        <f>IF(C1775&lt;='Investment Calculator'!$C$8*'Investment Calculator'!$F$4,'Investment Calculator'!$C$6,"")</f>
        <v/>
      </c>
      <c r="E1775" s="27" t="str">
        <f>IFERROR((F1774+D1775)*'Investment Calculator'!$C$7/'Investment Calculator'!$F$4,"")</f>
        <v/>
      </c>
      <c r="F1775" s="27" t="str">
        <f>IFERROR(ABS(FV('Investment Calculator'!$C$7/'Investment Calculator'!$F$4,'SIP Schedule'!C1775,'SIP Schedule'!D1775,,1)),"")</f>
        <v/>
      </c>
    </row>
    <row r="1776" spans="3:6" x14ac:dyDescent="0.3">
      <c r="C1776" s="1" t="str">
        <f>IF(C1775&lt;'Investment Calculator'!$C$8*'Investment Calculator'!$F$4,'SIP Schedule'!C1775+1,"")</f>
        <v/>
      </c>
      <c r="D1776" s="27" t="str">
        <f>IF(C1776&lt;='Investment Calculator'!$C$8*'Investment Calculator'!$F$4,'Investment Calculator'!$C$6,"")</f>
        <v/>
      </c>
      <c r="E1776" s="27" t="str">
        <f>IFERROR((F1775+D1776)*'Investment Calculator'!$C$7/'Investment Calculator'!$F$4,"")</f>
        <v/>
      </c>
      <c r="F1776" s="27" t="str">
        <f>IFERROR(ABS(FV('Investment Calculator'!$C$7/'Investment Calculator'!$F$4,'SIP Schedule'!C1776,'SIP Schedule'!D1776,,1)),"")</f>
        <v/>
      </c>
    </row>
    <row r="1777" spans="3:6" x14ac:dyDescent="0.3">
      <c r="C1777" s="1" t="str">
        <f>IF(C1776&lt;'Investment Calculator'!$C$8*'Investment Calculator'!$F$4,'SIP Schedule'!C1776+1,"")</f>
        <v/>
      </c>
      <c r="D1777" s="27" t="str">
        <f>IF(C1777&lt;='Investment Calculator'!$C$8*'Investment Calculator'!$F$4,'Investment Calculator'!$C$6,"")</f>
        <v/>
      </c>
      <c r="E1777" s="27" t="str">
        <f>IFERROR((F1776+D1777)*'Investment Calculator'!$C$7/'Investment Calculator'!$F$4,"")</f>
        <v/>
      </c>
      <c r="F1777" s="27" t="str">
        <f>IFERROR(ABS(FV('Investment Calculator'!$C$7/'Investment Calculator'!$F$4,'SIP Schedule'!C1777,'SIP Schedule'!D1777,,1)),"")</f>
        <v/>
      </c>
    </row>
    <row r="1778" spans="3:6" x14ac:dyDescent="0.3">
      <c r="C1778" s="1" t="str">
        <f>IF(C1777&lt;'Investment Calculator'!$C$8*'Investment Calculator'!$F$4,'SIP Schedule'!C1777+1,"")</f>
        <v/>
      </c>
      <c r="D1778" s="27" t="str">
        <f>IF(C1778&lt;='Investment Calculator'!$C$8*'Investment Calculator'!$F$4,'Investment Calculator'!$C$6,"")</f>
        <v/>
      </c>
      <c r="E1778" s="27" t="str">
        <f>IFERROR((F1777+D1778)*'Investment Calculator'!$C$7/'Investment Calculator'!$F$4,"")</f>
        <v/>
      </c>
      <c r="F1778" s="27" t="str">
        <f>IFERROR(ABS(FV('Investment Calculator'!$C$7/'Investment Calculator'!$F$4,'SIP Schedule'!C1778,'SIP Schedule'!D1778,,1)),"")</f>
        <v/>
      </c>
    </row>
    <row r="1779" spans="3:6" x14ac:dyDescent="0.3">
      <c r="C1779" s="1" t="str">
        <f>IF(C1778&lt;'Investment Calculator'!$C$8*'Investment Calculator'!$F$4,'SIP Schedule'!C1778+1,"")</f>
        <v/>
      </c>
      <c r="D1779" s="27" t="str">
        <f>IF(C1779&lt;='Investment Calculator'!$C$8*'Investment Calculator'!$F$4,'Investment Calculator'!$C$6,"")</f>
        <v/>
      </c>
      <c r="E1779" s="27" t="str">
        <f>IFERROR((F1778+D1779)*'Investment Calculator'!$C$7/'Investment Calculator'!$F$4,"")</f>
        <v/>
      </c>
      <c r="F1779" s="27" t="str">
        <f>IFERROR(ABS(FV('Investment Calculator'!$C$7/'Investment Calculator'!$F$4,'SIP Schedule'!C1779,'SIP Schedule'!D1779,,1)),"")</f>
        <v/>
      </c>
    </row>
    <row r="1780" spans="3:6" x14ac:dyDescent="0.3">
      <c r="C1780" s="1" t="str">
        <f>IF(C1779&lt;'Investment Calculator'!$C$8*'Investment Calculator'!$F$4,'SIP Schedule'!C1779+1,"")</f>
        <v/>
      </c>
      <c r="D1780" s="27" t="str">
        <f>IF(C1780&lt;='Investment Calculator'!$C$8*'Investment Calculator'!$F$4,'Investment Calculator'!$C$6,"")</f>
        <v/>
      </c>
      <c r="E1780" s="27" t="str">
        <f>IFERROR((F1779+D1780)*'Investment Calculator'!$C$7/'Investment Calculator'!$F$4,"")</f>
        <v/>
      </c>
      <c r="F1780" s="27" t="str">
        <f>IFERROR(ABS(FV('Investment Calculator'!$C$7/'Investment Calculator'!$F$4,'SIP Schedule'!C1780,'SIP Schedule'!D1780,,1)),"")</f>
        <v/>
      </c>
    </row>
    <row r="1781" spans="3:6" x14ac:dyDescent="0.3">
      <c r="C1781" s="1" t="str">
        <f>IF(C1780&lt;'Investment Calculator'!$C$8*'Investment Calculator'!$F$4,'SIP Schedule'!C1780+1,"")</f>
        <v/>
      </c>
      <c r="D1781" s="27" t="str">
        <f>IF(C1781&lt;='Investment Calculator'!$C$8*'Investment Calculator'!$F$4,'Investment Calculator'!$C$6,"")</f>
        <v/>
      </c>
      <c r="E1781" s="27" t="str">
        <f>IFERROR((F1780+D1781)*'Investment Calculator'!$C$7/'Investment Calculator'!$F$4,"")</f>
        <v/>
      </c>
      <c r="F1781" s="27" t="str">
        <f>IFERROR(ABS(FV('Investment Calculator'!$C$7/'Investment Calculator'!$F$4,'SIP Schedule'!C1781,'SIP Schedule'!D1781,,1)),"")</f>
        <v/>
      </c>
    </row>
    <row r="1782" spans="3:6" x14ac:dyDescent="0.3">
      <c r="C1782" s="1" t="str">
        <f>IF(C1781&lt;'Investment Calculator'!$C$8*'Investment Calculator'!$F$4,'SIP Schedule'!C1781+1,"")</f>
        <v/>
      </c>
      <c r="D1782" s="27" t="str">
        <f>IF(C1782&lt;='Investment Calculator'!$C$8*'Investment Calculator'!$F$4,'Investment Calculator'!$C$6,"")</f>
        <v/>
      </c>
      <c r="E1782" s="27" t="str">
        <f>IFERROR((F1781+D1782)*'Investment Calculator'!$C$7/'Investment Calculator'!$F$4,"")</f>
        <v/>
      </c>
      <c r="F1782" s="27" t="str">
        <f>IFERROR(ABS(FV('Investment Calculator'!$C$7/'Investment Calculator'!$F$4,'SIP Schedule'!C1782,'SIP Schedule'!D1782,,1)),"")</f>
        <v/>
      </c>
    </row>
    <row r="1783" spans="3:6" x14ac:dyDescent="0.3">
      <c r="C1783" s="1" t="str">
        <f>IF(C1782&lt;'Investment Calculator'!$C$8*'Investment Calculator'!$F$4,'SIP Schedule'!C1782+1,"")</f>
        <v/>
      </c>
      <c r="D1783" s="27" t="str">
        <f>IF(C1783&lt;='Investment Calculator'!$C$8*'Investment Calculator'!$F$4,'Investment Calculator'!$C$6,"")</f>
        <v/>
      </c>
      <c r="E1783" s="27" t="str">
        <f>IFERROR((F1782+D1783)*'Investment Calculator'!$C$7/'Investment Calculator'!$F$4,"")</f>
        <v/>
      </c>
      <c r="F1783" s="27" t="str">
        <f>IFERROR(ABS(FV('Investment Calculator'!$C$7/'Investment Calculator'!$F$4,'SIP Schedule'!C1783,'SIP Schedule'!D1783,,1)),"")</f>
        <v/>
      </c>
    </row>
    <row r="1784" spans="3:6" x14ac:dyDescent="0.3">
      <c r="C1784" s="1" t="str">
        <f>IF(C1783&lt;'Investment Calculator'!$C$8*'Investment Calculator'!$F$4,'SIP Schedule'!C1783+1,"")</f>
        <v/>
      </c>
      <c r="D1784" s="27" t="str">
        <f>IF(C1784&lt;='Investment Calculator'!$C$8*'Investment Calculator'!$F$4,'Investment Calculator'!$C$6,"")</f>
        <v/>
      </c>
      <c r="E1784" s="27" t="str">
        <f>IFERROR((F1783+D1784)*'Investment Calculator'!$C$7/'Investment Calculator'!$F$4,"")</f>
        <v/>
      </c>
      <c r="F1784" s="27" t="str">
        <f>IFERROR(ABS(FV('Investment Calculator'!$C$7/'Investment Calculator'!$F$4,'SIP Schedule'!C1784,'SIP Schedule'!D1784,,1)),"")</f>
        <v/>
      </c>
    </row>
    <row r="1785" spans="3:6" x14ac:dyDescent="0.3">
      <c r="C1785" s="1" t="str">
        <f>IF(C1784&lt;'Investment Calculator'!$C$8*'Investment Calculator'!$F$4,'SIP Schedule'!C1784+1,"")</f>
        <v/>
      </c>
      <c r="D1785" s="27" t="str">
        <f>IF(C1785&lt;='Investment Calculator'!$C$8*'Investment Calculator'!$F$4,'Investment Calculator'!$C$6,"")</f>
        <v/>
      </c>
      <c r="E1785" s="27" t="str">
        <f>IFERROR((F1784+D1785)*'Investment Calculator'!$C$7/'Investment Calculator'!$F$4,"")</f>
        <v/>
      </c>
      <c r="F1785" s="27" t="str">
        <f>IFERROR(ABS(FV('Investment Calculator'!$C$7/'Investment Calculator'!$F$4,'SIP Schedule'!C1785,'SIP Schedule'!D1785,,1)),"")</f>
        <v/>
      </c>
    </row>
    <row r="1786" spans="3:6" x14ac:dyDescent="0.3">
      <c r="C1786" s="1" t="str">
        <f>IF(C1785&lt;'Investment Calculator'!$C$8*'Investment Calculator'!$F$4,'SIP Schedule'!C1785+1,"")</f>
        <v/>
      </c>
      <c r="D1786" s="27" t="str">
        <f>IF(C1786&lt;='Investment Calculator'!$C$8*'Investment Calculator'!$F$4,'Investment Calculator'!$C$6,"")</f>
        <v/>
      </c>
      <c r="E1786" s="27" t="str">
        <f>IFERROR((F1785+D1786)*'Investment Calculator'!$C$7/'Investment Calculator'!$F$4,"")</f>
        <v/>
      </c>
      <c r="F1786" s="27" t="str">
        <f>IFERROR(ABS(FV('Investment Calculator'!$C$7/'Investment Calculator'!$F$4,'SIP Schedule'!C1786,'SIP Schedule'!D1786,,1)),"")</f>
        <v/>
      </c>
    </row>
    <row r="1787" spans="3:6" x14ac:dyDescent="0.3">
      <c r="C1787" s="1" t="str">
        <f>IF(C1786&lt;'Investment Calculator'!$C$8*'Investment Calculator'!$F$4,'SIP Schedule'!C1786+1,"")</f>
        <v/>
      </c>
      <c r="D1787" s="27" t="str">
        <f>IF(C1787&lt;='Investment Calculator'!$C$8*'Investment Calculator'!$F$4,'Investment Calculator'!$C$6,"")</f>
        <v/>
      </c>
      <c r="E1787" s="27" t="str">
        <f>IFERROR((F1786+D1787)*'Investment Calculator'!$C$7/'Investment Calculator'!$F$4,"")</f>
        <v/>
      </c>
      <c r="F1787" s="27" t="str">
        <f>IFERROR(ABS(FV('Investment Calculator'!$C$7/'Investment Calculator'!$F$4,'SIP Schedule'!C1787,'SIP Schedule'!D1787,,1)),"")</f>
        <v/>
      </c>
    </row>
    <row r="1788" spans="3:6" x14ac:dyDescent="0.3">
      <c r="C1788" s="1" t="str">
        <f>IF(C1787&lt;'Investment Calculator'!$C$8*'Investment Calculator'!$F$4,'SIP Schedule'!C1787+1,"")</f>
        <v/>
      </c>
      <c r="D1788" s="27" t="str">
        <f>IF(C1788&lt;='Investment Calculator'!$C$8*'Investment Calculator'!$F$4,'Investment Calculator'!$C$6,"")</f>
        <v/>
      </c>
      <c r="E1788" s="27" t="str">
        <f>IFERROR((F1787+D1788)*'Investment Calculator'!$C$7/'Investment Calculator'!$F$4,"")</f>
        <v/>
      </c>
      <c r="F1788" s="27" t="str">
        <f>IFERROR(ABS(FV('Investment Calculator'!$C$7/'Investment Calculator'!$F$4,'SIP Schedule'!C1788,'SIP Schedule'!D1788,,1)),"")</f>
        <v/>
      </c>
    </row>
    <row r="1789" spans="3:6" x14ac:dyDescent="0.3">
      <c r="C1789" s="1" t="str">
        <f>IF(C1788&lt;'Investment Calculator'!$C$8*'Investment Calculator'!$F$4,'SIP Schedule'!C1788+1,"")</f>
        <v/>
      </c>
      <c r="D1789" s="27" t="str">
        <f>IF(C1789&lt;='Investment Calculator'!$C$8*'Investment Calculator'!$F$4,'Investment Calculator'!$C$6,"")</f>
        <v/>
      </c>
      <c r="E1789" s="27" t="str">
        <f>IFERROR((F1788+D1789)*'Investment Calculator'!$C$7/'Investment Calculator'!$F$4,"")</f>
        <v/>
      </c>
      <c r="F1789" s="27" t="str">
        <f>IFERROR(ABS(FV('Investment Calculator'!$C$7/'Investment Calculator'!$F$4,'SIP Schedule'!C1789,'SIP Schedule'!D1789,,1)),"")</f>
        <v/>
      </c>
    </row>
    <row r="1790" spans="3:6" x14ac:dyDescent="0.3">
      <c r="C1790" s="1" t="str">
        <f>IF(C1789&lt;'Investment Calculator'!$C$8*'Investment Calculator'!$F$4,'SIP Schedule'!C1789+1,"")</f>
        <v/>
      </c>
      <c r="D1790" s="27" t="str">
        <f>IF(C1790&lt;='Investment Calculator'!$C$8*'Investment Calculator'!$F$4,'Investment Calculator'!$C$6,"")</f>
        <v/>
      </c>
      <c r="E1790" s="27" t="str">
        <f>IFERROR((F1789+D1790)*'Investment Calculator'!$C$7/'Investment Calculator'!$F$4,"")</f>
        <v/>
      </c>
      <c r="F1790" s="27" t="str">
        <f>IFERROR(ABS(FV('Investment Calculator'!$C$7/'Investment Calculator'!$F$4,'SIP Schedule'!C1790,'SIP Schedule'!D1790,,1)),"")</f>
        <v/>
      </c>
    </row>
    <row r="1791" spans="3:6" x14ac:dyDescent="0.3">
      <c r="C1791" s="1" t="str">
        <f>IF(C1790&lt;'Investment Calculator'!$C$8*'Investment Calculator'!$F$4,'SIP Schedule'!C1790+1,"")</f>
        <v/>
      </c>
      <c r="D1791" s="27" t="str">
        <f>IF(C1791&lt;='Investment Calculator'!$C$8*'Investment Calculator'!$F$4,'Investment Calculator'!$C$6,"")</f>
        <v/>
      </c>
      <c r="E1791" s="27" t="str">
        <f>IFERROR((F1790+D1791)*'Investment Calculator'!$C$7/'Investment Calculator'!$F$4,"")</f>
        <v/>
      </c>
      <c r="F1791" s="27" t="str">
        <f>IFERROR(ABS(FV('Investment Calculator'!$C$7/'Investment Calculator'!$F$4,'SIP Schedule'!C1791,'SIP Schedule'!D1791,,1)),"")</f>
        <v/>
      </c>
    </row>
    <row r="1792" spans="3:6" x14ac:dyDescent="0.3">
      <c r="C1792" s="1" t="str">
        <f>IF(C1791&lt;'Investment Calculator'!$C$8*'Investment Calculator'!$F$4,'SIP Schedule'!C1791+1,"")</f>
        <v/>
      </c>
      <c r="D1792" s="27" t="str">
        <f>IF(C1792&lt;='Investment Calculator'!$C$8*'Investment Calculator'!$F$4,'Investment Calculator'!$C$6,"")</f>
        <v/>
      </c>
      <c r="E1792" s="27" t="str">
        <f>IFERROR((F1791+D1792)*'Investment Calculator'!$C$7/'Investment Calculator'!$F$4,"")</f>
        <v/>
      </c>
      <c r="F1792" s="27" t="str">
        <f>IFERROR(ABS(FV('Investment Calculator'!$C$7/'Investment Calculator'!$F$4,'SIP Schedule'!C1792,'SIP Schedule'!D1792,,1)),"")</f>
        <v/>
      </c>
    </row>
    <row r="1793" spans="3:6" x14ac:dyDescent="0.3">
      <c r="C1793" s="1" t="str">
        <f>IF(C1792&lt;'Investment Calculator'!$C$8*'Investment Calculator'!$F$4,'SIP Schedule'!C1792+1,"")</f>
        <v/>
      </c>
      <c r="D1793" s="27" t="str">
        <f>IF(C1793&lt;='Investment Calculator'!$C$8*'Investment Calculator'!$F$4,'Investment Calculator'!$C$6,"")</f>
        <v/>
      </c>
      <c r="E1793" s="27" t="str">
        <f>IFERROR((F1792+D1793)*'Investment Calculator'!$C$7/'Investment Calculator'!$F$4,"")</f>
        <v/>
      </c>
      <c r="F1793" s="27" t="str">
        <f>IFERROR(ABS(FV('Investment Calculator'!$C$7/'Investment Calculator'!$F$4,'SIP Schedule'!C1793,'SIP Schedule'!D1793,,1)),"")</f>
        <v/>
      </c>
    </row>
    <row r="1794" spans="3:6" x14ac:dyDescent="0.3">
      <c r="C1794" s="1" t="str">
        <f>IF(C1793&lt;'Investment Calculator'!$C$8*'Investment Calculator'!$F$4,'SIP Schedule'!C1793+1,"")</f>
        <v/>
      </c>
      <c r="D1794" s="27" t="str">
        <f>IF(C1794&lt;='Investment Calculator'!$C$8*'Investment Calculator'!$F$4,'Investment Calculator'!$C$6,"")</f>
        <v/>
      </c>
      <c r="E1794" s="27" t="str">
        <f>IFERROR((F1793+D1794)*'Investment Calculator'!$C$7/'Investment Calculator'!$F$4,"")</f>
        <v/>
      </c>
      <c r="F1794" s="27" t="str">
        <f>IFERROR(ABS(FV('Investment Calculator'!$C$7/'Investment Calculator'!$F$4,'SIP Schedule'!C1794,'SIP Schedule'!D1794,,1)),"")</f>
        <v/>
      </c>
    </row>
    <row r="1795" spans="3:6" x14ac:dyDescent="0.3">
      <c r="C1795" s="1" t="str">
        <f>IF(C1794&lt;'Investment Calculator'!$C$8*'Investment Calculator'!$F$4,'SIP Schedule'!C1794+1,"")</f>
        <v/>
      </c>
      <c r="D1795" s="27" t="str">
        <f>IF(C1795&lt;='Investment Calculator'!$C$8*'Investment Calculator'!$F$4,'Investment Calculator'!$C$6,"")</f>
        <v/>
      </c>
      <c r="E1795" s="27" t="str">
        <f>IFERROR((F1794+D1795)*'Investment Calculator'!$C$7/'Investment Calculator'!$F$4,"")</f>
        <v/>
      </c>
      <c r="F1795" s="27" t="str">
        <f>IFERROR(ABS(FV('Investment Calculator'!$C$7/'Investment Calculator'!$F$4,'SIP Schedule'!C1795,'SIP Schedule'!D1795,,1)),"")</f>
        <v/>
      </c>
    </row>
    <row r="1796" spans="3:6" x14ac:dyDescent="0.3">
      <c r="C1796" s="1" t="str">
        <f>IF(C1795&lt;'Investment Calculator'!$C$8*'Investment Calculator'!$F$4,'SIP Schedule'!C1795+1,"")</f>
        <v/>
      </c>
      <c r="D1796" s="27" t="str">
        <f>IF(C1796&lt;='Investment Calculator'!$C$8*'Investment Calculator'!$F$4,'Investment Calculator'!$C$6,"")</f>
        <v/>
      </c>
      <c r="E1796" s="27" t="str">
        <f>IFERROR((F1795+D1796)*'Investment Calculator'!$C$7/'Investment Calculator'!$F$4,"")</f>
        <v/>
      </c>
      <c r="F1796" s="27" t="str">
        <f>IFERROR(ABS(FV('Investment Calculator'!$C$7/'Investment Calculator'!$F$4,'SIP Schedule'!C1796,'SIP Schedule'!D1796,,1)),"")</f>
        <v/>
      </c>
    </row>
    <row r="1797" spans="3:6" x14ac:dyDescent="0.3">
      <c r="C1797" s="1" t="str">
        <f>IF(C1796&lt;'Investment Calculator'!$C$8*'Investment Calculator'!$F$4,'SIP Schedule'!C1796+1,"")</f>
        <v/>
      </c>
      <c r="D1797" s="27" t="str">
        <f>IF(C1797&lt;='Investment Calculator'!$C$8*'Investment Calculator'!$F$4,'Investment Calculator'!$C$6,"")</f>
        <v/>
      </c>
      <c r="E1797" s="27" t="str">
        <f>IFERROR((F1796+D1797)*'Investment Calculator'!$C$7/'Investment Calculator'!$F$4,"")</f>
        <v/>
      </c>
      <c r="F1797" s="27" t="str">
        <f>IFERROR(ABS(FV('Investment Calculator'!$C$7/'Investment Calculator'!$F$4,'SIP Schedule'!C1797,'SIP Schedule'!D1797,,1)),"")</f>
        <v/>
      </c>
    </row>
    <row r="1798" spans="3:6" x14ac:dyDescent="0.3">
      <c r="C1798" s="1" t="str">
        <f>IF(C1797&lt;'Investment Calculator'!$C$8*'Investment Calculator'!$F$4,'SIP Schedule'!C1797+1,"")</f>
        <v/>
      </c>
      <c r="D1798" s="27" t="str">
        <f>IF(C1798&lt;='Investment Calculator'!$C$8*'Investment Calculator'!$F$4,'Investment Calculator'!$C$6,"")</f>
        <v/>
      </c>
      <c r="E1798" s="27" t="str">
        <f>IFERROR((F1797+D1798)*'Investment Calculator'!$C$7/'Investment Calculator'!$F$4,"")</f>
        <v/>
      </c>
      <c r="F1798" s="27" t="str">
        <f>IFERROR(ABS(FV('Investment Calculator'!$C$7/'Investment Calculator'!$F$4,'SIP Schedule'!C1798,'SIP Schedule'!D1798,,1)),"")</f>
        <v/>
      </c>
    </row>
    <row r="1799" spans="3:6" x14ac:dyDescent="0.3">
      <c r="C1799" s="1" t="str">
        <f>IF(C1798&lt;'Investment Calculator'!$C$8*'Investment Calculator'!$F$4,'SIP Schedule'!C1798+1,"")</f>
        <v/>
      </c>
      <c r="D1799" s="27" t="str">
        <f>IF(C1799&lt;='Investment Calculator'!$C$8*'Investment Calculator'!$F$4,'Investment Calculator'!$C$6,"")</f>
        <v/>
      </c>
      <c r="E1799" s="27" t="str">
        <f>IFERROR((F1798+D1799)*'Investment Calculator'!$C$7/'Investment Calculator'!$F$4,"")</f>
        <v/>
      </c>
      <c r="F1799" s="27" t="str">
        <f>IFERROR(ABS(FV('Investment Calculator'!$C$7/'Investment Calculator'!$F$4,'SIP Schedule'!C1799,'SIP Schedule'!D1799,,1)),"")</f>
        <v/>
      </c>
    </row>
    <row r="1800" spans="3:6" x14ac:dyDescent="0.3">
      <c r="C1800" s="1" t="str">
        <f>IF(C1799&lt;'Investment Calculator'!$C$8*'Investment Calculator'!$F$4,'SIP Schedule'!C1799+1,"")</f>
        <v/>
      </c>
      <c r="D1800" s="27" t="str">
        <f>IF(C1800&lt;='Investment Calculator'!$C$8*'Investment Calculator'!$F$4,'Investment Calculator'!$C$6,"")</f>
        <v/>
      </c>
      <c r="E1800" s="27" t="str">
        <f>IFERROR((F1799+D1800)*'Investment Calculator'!$C$7/'Investment Calculator'!$F$4,"")</f>
        <v/>
      </c>
      <c r="F1800" s="27" t="str">
        <f>IFERROR(ABS(FV('Investment Calculator'!$C$7/'Investment Calculator'!$F$4,'SIP Schedule'!C1800,'SIP Schedule'!D1800,,1)),"")</f>
        <v/>
      </c>
    </row>
    <row r="1801" spans="3:6" x14ac:dyDescent="0.3">
      <c r="C1801" s="1" t="str">
        <f>IF(C1800&lt;'Investment Calculator'!$C$8*'Investment Calculator'!$F$4,'SIP Schedule'!C1800+1,"")</f>
        <v/>
      </c>
      <c r="D1801" s="27" t="str">
        <f>IF(C1801&lt;='Investment Calculator'!$C$8*'Investment Calculator'!$F$4,'Investment Calculator'!$C$6,"")</f>
        <v/>
      </c>
      <c r="E1801" s="27" t="str">
        <f>IFERROR((F1800+D1801)*'Investment Calculator'!$C$7/'Investment Calculator'!$F$4,"")</f>
        <v/>
      </c>
      <c r="F1801" s="27" t="str">
        <f>IFERROR(ABS(FV('Investment Calculator'!$C$7/'Investment Calculator'!$F$4,'SIP Schedule'!C1801,'SIP Schedule'!D1801,,1)),"")</f>
        <v/>
      </c>
    </row>
    <row r="1802" spans="3:6" x14ac:dyDescent="0.3">
      <c r="C1802" s="1" t="str">
        <f>IF(C1801&lt;'Investment Calculator'!$C$8*'Investment Calculator'!$F$4,'SIP Schedule'!C1801+1,"")</f>
        <v/>
      </c>
      <c r="D1802" s="27" t="str">
        <f>IF(C1802&lt;='Investment Calculator'!$C$8*'Investment Calculator'!$F$4,'Investment Calculator'!$C$6,"")</f>
        <v/>
      </c>
      <c r="E1802" s="27" t="str">
        <f>IFERROR((F1801+D1802)*'Investment Calculator'!$C$7/'Investment Calculator'!$F$4,"")</f>
        <v/>
      </c>
      <c r="F1802" s="27" t="str">
        <f>IFERROR(ABS(FV('Investment Calculator'!$C$7/'Investment Calculator'!$F$4,'SIP Schedule'!C1802,'SIP Schedule'!D1802,,1)),"")</f>
        <v/>
      </c>
    </row>
    <row r="1803" spans="3:6" x14ac:dyDescent="0.3">
      <c r="C1803" s="1" t="str">
        <f>IF(C1802&lt;'Investment Calculator'!$C$8*'Investment Calculator'!$F$4,'SIP Schedule'!C1802+1,"")</f>
        <v/>
      </c>
      <c r="D1803" s="27" t="str">
        <f>IF(C1803&lt;='Investment Calculator'!$C$8*'Investment Calculator'!$F$4,'Investment Calculator'!$C$6,"")</f>
        <v/>
      </c>
      <c r="E1803" s="27" t="str">
        <f>IFERROR((F1802+D1803)*'Investment Calculator'!$C$7/'Investment Calculator'!$F$4,"")</f>
        <v/>
      </c>
      <c r="F1803" s="27" t="str">
        <f>IFERROR(ABS(FV('Investment Calculator'!$C$7/'Investment Calculator'!$F$4,'SIP Schedule'!C1803,'SIP Schedule'!D1803,,1)),"")</f>
        <v/>
      </c>
    </row>
    <row r="1804" spans="3:6" x14ac:dyDescent="0.3">
      <c r="C1804" s="1" t="str">
        <f>IF(C1803&lt;'Investment Calculator'!$C$8*'Investment Calculator'!$F$4,'SIP Schedule'!C1803+1,"")</f>
        <v/>
      </c>
      <c r="D1804" s="27" t="str">
        <f>IF(C1804&lt;='Investment Calculator'!$C$8*'Investment Calculator'!$F$4,'Investment Calculator'!$C$6,"")</f>
        <v/>
      </c>
      <c r="E1804" s="27" t="str">
        <f>IFERROR((F1803+D1804)*'Investment Calculator'!$C$7/'Investment Calculator'!$F$4,"")</f>
        <v/>
      </c>
      <c r="F1804" s="27" t="str">
        <f>IFERROR(ABS(FV('Investment Calculator'!$C$7/'Investment Calculator'!$F$4,'SIP Schedule'!C1804,'SIP Schedule'!D1804,,1)),"")</f>
        <v/>
      </c>
    </row>
    <row r="1805" spans="3:6" x14ac:dyDescent="0.3">
      <c r="C1805" s="1" t="str">
        <f>IF(C1804&lt;'Investment Calculator'!$C$8*'Investment Calculator'!$F$4,'SIP Schedule'!C1804+1,"")</f>
        <v/>
      </c>
      <c r="D1805" s="27" t="str">
        <f>IF(C1805&lt;='Investment Calculator'!$C$8*'Investment Calculator'!$F$4,'Investment Calculator'!$C$6,"")</f>
        <v/>
      </c>
      <c r="E1805" s="27" t="str">
        <f>IFERROR((F1804+D1805)*'Investment Calculator'!$C$7/'Investment Calculator'!$F$4,"")</f>
        <v/>
      </c>
      <c r="F1805" s="27" t="str">
        <f>IFERROR(ABS(FV('Investment Calculator'!$C$7/'Investment Calculator'!$F$4,'SIP Schedule'!C1805,'SIP Schedule'!D1805,,1)),"")</f>
        <v/>
      </c>
    </row>
    <row r="1806" spans="3:6" x14ac:dyDescent="0.3">
      <c r="C1806" s="1" t="str">
        <f>IF(C1805&lt;'Investment Calculator'!$C$8*'Investment Calculator'!$F$4,'SIP Schedule'!C1805+1,"")</f>
        <v/>
      </c>
      <c r="D1806" s="27" t="str">
        <f>IF(C1806&lt;='Investment Calculator'!$C$8*'Investment Calculator'!$F$4,'Investment Calculator'!$C$6,"")</f>
        <v/>
      </c>
      <c r="E1806" s="27" t="str">
        <f>IFERROR((F1805+D1806)*'Investment Calculator'!$C$7/'Investment Calculator'!$F$4,"")</f>
        <v/>
      </c>
      <c r="F1806" s="27" t="str">
        <f>IFERROR(ABS(FV('Investment Calculator'!$C$7/'Investment Calculator'!$F$4,'SIP Schedule'!C1806,'SIP Schedule'!D1806,,1)),"")</f>
        <v/>
      </c>
    </row>
    <row r="1807" spans="3:6" x14ac:dyDescent="0.3">
      <c r="C1807" s="1" t="str">
        <f>IF(C1806&lt;'Investment Calculator'!$C$8*'Investment Calculator'!$F$4,'SIP Schedule'!C1806+1,"")</f>
        <v/>
      </c>
      <c r="D1807" s="27" t="str">
        <f>IF(C1807&lt;='Investment Calculator'!$C$8*'Investment Calculator'!$F$4,'Investment Calculator'!$C$6,"")</f>
        <v/>
      </c>
      <c r="E1807" s="27" t="str">
        <f>IFERROR((F1806+D1807)*'Investment Calculator'!$C$7/'Investment Calculator'!$F$4,"")</f>
        <v/>
      </c>
      <c r="F1807" s="27" t="str">
        <f>IFERROR(ABS(FV('Investment Calculator'!$C$7/'Investment Calculator'!$F$4,'SIP Schedule'!C1807,'SIP Schedule'!D1807,,1)),"")</f>
        <v/>
      </c>
    </row>
    <row r="1808" spans="3:6" x14ac:dyDescent="0.3">
      <c r="C1808" s="1" t="str">
        <f>IF(C1807&lt;'Investment Calculator'!$C$8*'Investment Calculator'!$F$4,'SIP Schedule'!C1807+1,"")</f>
        <v/>
      </c>
      <c r="D1808" s="27" t="str">
        <f>IF(C1808&lt;='Investment Calculator'!$C$8*'Investment Calculator'!$F$4,'Investment Calculator'!$C$6,"")</f>
        <v/>
      </c>
      <c r="E1808" s="27" t="str">
        <f>IFERROR((F1807+D1808)*'Investment Calculator'!$C$7/'Investment Calculator'!$F$4,"")</f>
        <v/>
      </c>
      <c r="F1808" s="27" t="str">
        <f>IFERROR(ABS(FV('Investment Calculator'!$C$7/'Investment Calculator'!$F$4,'SIP Schedule'!C1808,'SIP Schedule'!D1808,,1)),"")</f>
        <v/>
      </c>
    </row>
    <row r="1809" spans="3:6" x14ac:dyDescent="0.3">
      <c r="C1809" s="1" t="str">
        <f>IF(C1808&lt;'Investment Calculator'!$C$8*'Investment Calculator'!$F$4,'SIP Schedule'!C1808+1,"")</f>
        <v/>
      </c>
      <c r="D1809" s="27" t="str">
        <f>IF(C1809&lt;='Investment Calculator'!$C$8*'Investment Calculator'!$F$4,'Investment Calculator'!$C$6,"")</f>
        <v/>
      </c>
      <c r="E1809" s="27" t="str">
        <f>IFERROR((F1808+D1809)*'Investment Calculator'!$C$7/'Investment Calculator'!$F$4,"")</f>
        <v/>
      </c>
      <c r="F1809" s="27" t="str">
        <f>IFERROR(ABS(FV('Investment Calculator'!$C$7/'Investment Calculator'!$F$4,'SIP Schedule'!C1809,'SIP Schedule'!D1809,,1)),"")</f>
        <v/>
      </c>
    </row>
    <row r="1810" spans="3:6" x14ac:dyDescent="0.3">
      <c r="C1810" s="1" t="str">
        <f>IF(C1809&lt;'Investment Calculator'!$C$8*'Investment Calculator'!$F$4,'SIP Schedule'!C1809+1,"")</f>
        <v/>
      </c>
      <c r="D1810" s="27" t="str">
        <f>IF(C1810&lt;='Investment Calculator'!$C$8*'Investment Calculator'!$F$4,'Investment Calculator'!$C$6,"")</f>
        <v/>
      </c>
      <c r="E1810" s="27" t="str">
        <f>IFERROR((F1809+D1810)*'Investment Calculator'!$C$7/'Investment Calculator'!$F$4,"")</f>
        <v/>
      </c>
      <c r="F1810" s="27" t="str">
        <f>IFERROR(ABS(FV('Investment Calculator'!$C$7/'Investment Calculator'!$F$4,'SIP Schedule'!C1810,'SIP Schedule'!D1810,,1)),"")</f>
        <v/>
      </c>
    </row>
    <row r="1811" spans="3:6" x14ac:dyDescent="0.3">
      <c r="C1811" s="1" t="str">
        <f>IF(C1810&lt;'Investment Calculator'!$C$8*'Investment Calculator'!$F$4,'SIP Schedule'!C1810+1,"")</f>
        <v/>
      </c>
      <c r="D1811" s="27" t="str">
        <f>IF(C1811&lt;='Investment Calculator'!$C$8*'Investment Calculator'!$F$4,'Investment Calculator'!$C$6,"")</f>
        <v/>
      </c>
      <c r="E1811" s="27" t="str">
        <f>IFERROR((F1810+D1811)*'Investment Calculator'!$C$7/'Investment Calculator'!$F$4,"")</f>
        <v/>
      </c>
      <c r="F1811" s="27" t="str">
        <f>IFERROR(ABS(FV('Investment Calculator'!$C$7/'Investment Calculator'!$F$4,'SIP Schedule'!C1811,'SIP Schedule'!D1811,,1)),"")</f>
        <v/>
      </c>
    </row>
    <row r="1812" spans="3:6" x14ac:dyDescent="0.3">
      <c r="C1812" s="1" t="str">
        <f>IF(C1811&lt;'Investment Calculator'!$C$8*'Investment Calculator'!$F$4,'SIP Schedule'!C1811+1,"")</f>
        <v/>
      </c>
      <c r="D1812" s="27" t="str">
        <f>IF(C1812&lt;='Investment Calculator'!$C$8*'Investment Calculator'!$F$4,'Investment Calculator'!$C$6,"")</f>
        <v/>
      </c>
      <c r="E1812" s="27" t="str">
        <f>IFERROR((F1811+D1812)*'Investment Calculator'!$C$7/'Investment Calculator'!$F$4,"")</f>
        <v/>
      </c>
      <c r="F1812" s="27" t="str">
        <f>IFERROR(ABS(FV('Investment Calculator'!$C$7/'Investment Calculator'!$F$4,'SIP Schedule'!C1812,'SIP Schedule'!D1812,,1)),"")</f>
        <v/>
      </c>
    </row>
    <row r="1813" spans="3:6" x14ac:dyDescent="0.3">
      <c r="C1813" s="1" t="str">
        <f>IF(C1812&lt;'Investment Calculator'!$C$8*'Investment Calculator'!$F$4,'SIP Schedule'!C1812+1,"")</f>
        <v/>
      </c>
      <c r="D1813" s="27" t="str">
        <f>IF(C1813&lt;='Investment Calculator'!$C$8*'Investment Calculator'!$F$4,'Investment Calculator'!$C$6,"")</f>
        <v/>
      </c>
      <c r="E1813" s="27" t="str">
        <f>IFERROR((F1812+D1813)*'Investment Calculator'!$C$7/'Investment Calculator'!$F$4,"")</f>
        <v/>
      </c>
      <c r="F1813" s="27" t="str">
        <f>IFERROR(ABS(FV('Investment Calculator'!$C$7/'Investment Calculator'!$F$4,'SIP Schedule'!C1813,'SIP Schedule'!D1813,,1)),"")</f>
        <v/>
      </c>
    </row>
    <row r="1814" spans="3:6" x14ac:dyDescent="0.3">
      <c r="C1814" s="1" t="str">
        <f>IF(C1813&lt;'Investment Calculator'!$C$8*'Investment Calculator'!$F$4,'SIP Schedule'!C1813+1,"")</f>
        <v/>
      </c>
      <c r="D1814" s="27" t="str">
        <f>IF(C1814&lt;='Investment Calculator'!$C$8*'Investment Calculator'!$F$4,'Investment Calculator'!$C$6,"")</f>
        <v/>
      </c>
      <c r="E1814" s="27" t="str">
        <f>IFERROR((F1813+D1814)*'Investment Calculator'!$C$7/'Investment Calculator'!$F$4,"")</f>
        <v/>
      </c>
      <c r="F1814" s="27" t="str">
        <f>IFERROR(ABS(FV('Investment Calculator'!$C$7/'Investment Calculator'!$F$4,'SIP Schedule'!C1814,'SIP Schedule'!D1814,,1)),"")</f>
        <v/>
      </c>
    </row>
    <row r="1815" spans="3:6" x14ac:dyDescent="0.3">
      <c r="C1815" s="1" t="str">
        <f>IF(C1814&lt;'Investment Calculator'!$C$8*'Investment Calculator'!$F$4,'SIP Schedule'!C1814+1,"")</f>
        <v/>
      </c>
      <c r="D1815" s="27" t="str">
        <f>IF(C1815&lt;='Investment Calculator'!$C$8*'Investment Calculator'!$F$4,'Investment Calculator'!$C$6,"")</f>
        <v/>
      </c>
      <c r="E1815" s="27" t="str">
        <f>IFERROR((F1814+D1815)*'Investment Calculator'!$C$7/'Investment Calculator'!$F$4,"")</f>
        <v/>
      </c>
      <c r="F1815" s="27" t="str">
        <f>IFERROR(ABS(FV('Investment Calculator'!$C$7/'Investment Calculator'!$F$4,'SIP Schedule'!C1815,'SIP Schedule'!D1815,,1)),"")</f>
        <v/>
      </c>
    </row>
    <row r="1816" spans="3:6" x14ac:dyDescent="0.3">
      <c r="C1816" s="1" t="str">
        <f>IF(C1815&lt;'Investment Calculator'!$C$8*'Investment Calculator'!$F$4,'SIP Schedule'!C1815+1,"")</f>
        <v/>
      </c>
      <c r="D1816" s="27" t="str">
        <f>IF(C1816&lt;='Investment Calculator'!$C$8*'Investment Calculator'!$F$4,'Investment Calculator'!$C$6,"")</f>
        <v/>
      </c>
      <c r="E1816" s="27" t="str">
        <f>IFERROR((F1815+D1816)*'Investment Calculator'!$C$7/'Investment Calculator'!$F$4,"")</f>
        <v/>
      </c>
      <c r="F1816" s="27" t="str">
        <f>IFERROR(ABS(FV('Investment Calculator'!$C$7/'Investment Calculator'!$F$4,'SIP Schedule'!C1816,'SIP Schedule'!D1816,,1)),"")</f>
        <v/>
      </c>
    </row>
    <row r="1817" spans="3:6" x14ac:dyDescent="0.3">
      <c r="C1817" s="1" t="str">
        <f>IF(C1816&lt;'Investment Calculator'!$C$8*'Investment Calculator'!$F$4,'SIP Schedule'!C1816+1,"")</f>
        <v/>
      </c>
      <c r="D1817" s="27" t="str">
        <f>IF(C1817&lt;='Investment Calculator'!$C$8*'Investment Calculator'!$F$4,'Investment Calculator'!$C$6,"")</f>
        <v/>
      </c>
      <c r="E1817" s="27" t="str">
        <f>IFERROR((F1816+D1817)*'Investment Calculator'!$C$7/'Investment Calculator'!$F$4,"")</f>
        <v/>
      </c>
      <c r="F1817" s="27" t="str">
        <f>IFERROR(ABS(FV('Investment Calculator'!$C$7/'Investment Calculator'!$F$4,'SIP Schedule'!C1817,'SIP Schedule'!D1817,,1)),"")</f>
        <v/>
      </c>
    </row>
    <row r="1818" spans="3:6" x14ac:dyDescent="0.3">
      <c r="C1818" s="1" t="str">
        <f>IF(C1817&lt;'Investment Calculator'!$C$8*'Investment Calculator'!$F$4,'SIP Schedule'!C1817+1,"")</f>
        <v/>
      </c>
      <c r="D1818" s="27" t="str">
        <f>IF(C1818&lt;='Investment Calculator'!$C$8*'Investment Calculator'!$F$4,'Investment Calculator'!$C$6,"")</f>
        <v/>
      </c>
      <c r="E1818" s="27" t="str">
        <f>IFERROR((F1817+D1818)*'Investment Calculator'!$C$7/'Investment Calculator'!$F$4,"")</f>
        <v/>
      </c>
      <c r="F1818" s="27" t="str">
        <f>IFERROR(ABS(FV('Investment Calculator'!$C$7/'Investment Calculator'!$F$4,'SIP Schedule'!C1818,'SIP Schedule'!D1818,,1)),"")</f>
        <v/>
      </c>
    </row>
    <row r="1819" spans="3:6" x14ac:dyDescent="0.3">
      <c r="C1819" s="1" t="str">
        <f>IF(C1818&lt;'Investment Calculator'!$C$8*'Investment Calculator'!$F$4,'SIP Schedule'!C1818+1,"")</f>
        <v/>
      </c>
      <c r="D1819" s="27" t="str">
        <f>IF(C1819&lt;='Investment Calculator'!$C$8*'Investment Calculator'!$F$4,'Investment Calculator'!$C$6,"")</f>
        <v/>
      </c>
      <c r="E1819" s="27" t="str">
        <f>IFERROR((F1818+D1819)*'Investment Calculator'!$C$7/'Investment Calculator'!$F$4,"")</f>
        <v/>
      </c>
      <c r="F1819" s="27" t="str">
        <f>IFERROR(ABS(FV('Investment Calculator'!$C$7/'Investment Calculator'!$F$4,'SIP Schedule'!C1819,'SIP Schedule'!D1819,,1)),"")</f>
        <v/>
      </c>
    </row>
    <row r="1820" spans="3:6" x14ac:dyDescent="0.3">
      <c r="C1820" s="1" t="str">
        <f>IF(C1819&lt;'Investment Calculator'!$C$8*'Investment Calculator'!$F$4,'SIP Schedule'!C1819+1,"")</f>
        <v/>
      </c>
      <c r="D1820" s="27" t="str">
        <f>IF(C1820&lt;='Investment Calculator'!$C$8*'Investment Calculator'!$F$4,'Investment Calculator'!$C$6,"")</f>
        <v/>
      </c>
      <c r="E1820" s="27" t="str">
        <f>IFERROR((F1819+D1820)*'Investment Calculator'!$C$7/'Investment Calculator'!$F$4,"")</f>
        <v/>
      </c>
      <c r="F1820" s="27" t="str">
        <f>IFERROR(ABS(FV('Investment Calculator'!$C$7/'Investment Calculator'!$F$4,'SIP Schedule'!C1820,'SIP Schedule'!D1820,,1)),"")</f>
        <v/>
      </c>
    </row>
    <row r="1821" spans="3:6" x14ac:dyDescent="0.3">
      <c r="C1821" s="1" t="str">
        <f>IF(C1820&lt;'Investment Calculator'!$C$8*'Investment Calculator'!$F$4,'SIP Schedule'!C1820+1,"")</f>
        <v/>
      </c>
      <c r="D1821" s="27" t="str">
        <f>IF(C1821&lt;='Investment Calculator'!$C$8*'Investment Calculator'!$F$4,'Investment Calculator'!$C$6,"")</f>
        <v/>
      </c>
      <c r="E1821" s="27" t="str">
        <f>IFERROR((F1820+D1821)*'Investment Calculator'!$C$7/'Investment Calculator'!$F$4,"")</f>
        <v/>
      </c>
      <c r="F1821" s="27" t="str">
        <f>IFERROR(ABS(FV('Investment Calculator'!$C$7/'Investment Calculator'!$F$4,'SIP Schedule'!C1821,'SIP Schedule'!D1821,,1)),"")</f>
        <v/>
      </c>
    </row>
    <row r="1822" spans="3:6" x14ac:dyDescent="0.3">
      <c r="C1822" s="1" t="str">
        <f>IF(C1821&lt;'Investment Calculator'!$C$8*'Investment Calculator'!$F$4,'SIP Schedule'!C1821+1,"")</f>
        <v/>
      </c>
      <c r="D1822" s="27" t="str">
        <f>IF(C1822&lt;='Investment Calculator'!$C$8*'Investment Calculator'!$F$4,'Investment Calculator'!$C$6,"")</f>
        <v/>
      </c>
      <c r="E1822" s="27" t="str">
        <f>IFERROR((F1821+D1822)*'Investment Calculator'!$C$7/'Investment Calculator'!$F$4,"")</f>
        <v/>
      </c>
      <c r="F1822" s="27" t="str">
        <f>IFERROR(ABS(FV('Investment Calculator'!$C$7/'Investment Calculator'!$F$4,'SIP Schedule'!C1822,'SIP Schedule'!D1822,,1)),"")</f>
        <v/>
      </c>
    </row>
    <row r="1823" spans="3:6" x14ac:dyDescent="0.3">
      <c r="C1823" s="1" t="str">
        <f>IF(C1822&lt;'Investment Calculator'!$C$8*'Investment Calculator'!$F$4,'SIP Schedule'!C1822+1,"")</f>
        <v/>
      </c>
      <c r="D1823" s="27" t="str">
        <f>IF(C1823&lt;='Investment Calculator'!$C$8*'Investment Calculator'!$F$4,'Investment Calculator'!$C$6,"")</f>
        <v/>
      </c>
      <c r="E1823" s="27" t="str">
        <f>IFERROR((F1822+D1823)*'Investment Calculator'!$C$7/'Investment Calculator'!$F$4,"")</f>
        <v/>
      </c>
      <c r="F1823" s="27" t="str">
        <f>IFERROR(ABS(FV('Investment Calculator'!$C$7/'Investment Calculator'!$F$4,'SIP Schedule'!C1823,'SIP Schedule'!D1823,,1)),"")</f>
        <v/>
      </c>
    </row>
    <row r="1824" spans="3:6" x14ac:dyDescent="0.3">
      <c r="C1824" s="1" t="str">
        <f>IF(C1823&lt;'Investment Calculator'!$C$8*'Investment Calculator'!$F$4,'SIP Schedule'!C1823+1,"")</f>
        <v/>
      </c>
      <c r="D1824" s="27" t="str">
        <f>IF(C1824&lt;='Investment Calculator'!$C$8*'Investment Calculator'!$F$4,'Investment Calculator'!$C$6,"")</f>
        <v/>
      </c>
      <c r="E1824" s="27" t="str">
        <f>IFERROR((F1823+D1824)*'Investment Calculator'!$C$7/'Investment Calculator'!$F$4,"")</f>
        <v/>
      </c>
      <c r="F1824" s="27" t="str">
        <f>IFERROR(ABS(FV('Investment Calculator'!$C$7/'Investment Calculator'!$F$4,'SIP Schedule'!C1824,'SIP Schedule'!D1824,,1)),"")</f>
        <v/>
      </c>
    </row>
    <row r="1825" spans="3:6" x14ac:dyDescent="0.3">
      <c r="C1825" s="1" t="str">
        <f>IF(C1824&lt;'Investment Calculator'!$C$8*'Investment Calculator'!$F$4,'SIP Schedule'!C1824+1,"")</f>
        <v/>
      </c>
      <c r="D1825" s="27" t="str">
        <f>IF(C1825&lt;='Investment Calculator'!$C$8*'Investment Calculator'!$F$4,'Investment Calculator'!$C$6,"")</f>
        <v/>
      </c>
      <c r="E1825" s="27" t="str">
        <f>IFERROR((F1824+D1825)*'Investment Calculator'!$C$7/'Investment Calculator'!$F$4,"")</f>
        <v/>
      </c>
      <c r="F1825" s="27" t="str">
        <f>IFERROR(ABS(FV('Investment Calculator'!$C$7/'Investment Calculator'!$F$4,'SIP Schedule'!C1825,'SIP Schedule'!D1825,,1)),"")</f>
        <v/>
      </c>
    </row>
    <row r="1826" spans="3:6" x14ac:dyDescent="0.3">
      <c r="C1826" s="1" t="str">
        <f>IF(C1825&lt;'Investment Calculator'!$C$8*'Investment Calculator'!$F$4,'SIP Schedule'!C1825+1,"")</f>
        <v/>
      </c>
      <c r="D1826" s="27" t="str">
        <f>IF(C1826&lt;='Investment Calculator'!$C$8*'Investment Calculator'!$F$4,'Investment Calculator'!$C$6,"")</f>
        <v/>
      </c>
      <c r="E1826" s="27" t="str">
        <f>IFERROR((F1825+D1826)*'Investment Calculator'!$C$7/'Investment Calculator'!$F$4,"")</f>
        <v/>
      </c>
      <c r="F1826" s="27" t="str">
        <f>IFERROR(ABS(FV('Investment Calculator'!$C$7/'Investment Calculator'!$F$4,'SIP Schedule'!C1826,'SIP Schedule'!D1826,,1)),"")</f>
        <v/>
      </c>
    </row>
    <row r="1827" spans="3:6" x14ac:dyDescent="0.3">
      <c r="C1827" s="1" t="str">
        <f>IF(C1826&lt;'Investment Calculator'!$C$8*'Investment Calculator'!$F$4,'SIP Schedule'!C1826+1,"")</f>
        <v/>
      </c>
      <c r="D1827" s="27" t="str">
        <f>IF(C1827&lt;='Investment Calculator'!$C$8*'Investment Calculator'!$F$4,'Investment Calculator'!$C$6,"")</f>
        <v/>
      </c>
      <c r="E1827" s="27" t="str">
        <f>IFERROR((F1826+D1827)*'Investment Calculator'!$C$7/'Investment Calculator'!$F$4,"")</f>
        <v/>
      </c>
      <c r="F1827" s="27" t="str">
        <f>IFERROR(ABS(FV('Investment Calculator'!$C$7/'Investment Calculator'!$F$4,'SIP Schedule'!C1827,'SIP Schedule'!D1827,,1)),"")</f>
        <v/>
      </c>
    </row>
    <row r="1828" spans="3:6" x14ac:dyDescent="0.3">
      <c r="C1828" s="1" t="str">
        <f>IF(C1827&lt;'Investment Calculator'!$C$8*'Investment Calculator'!$F$4,'SIP Schedule'!C1827+1,"")</f>
        <v/>
      </c>
      <c r="D1828" s="27" t="str">
        <f>IF(C1828&lt;='Investment Calculator'!$C$8*'Investment Calculator'!$F$4,'Investment Calculator'!$C$6,"")</f>
        <v/>
      </c>
      <c r="E1828" s="27" t="str">
        <f>IFERROR((F1827+D1828)*'Investment Calculator'!$C$7/'Investment Calculator'!$F$4,"")</f>
        <v/>
      </c>
      <c r="F1828" s="27" t="str">
        <f>IFERROR(ABS(FV('Investment Calculator'!$C$7/'Investment Calculator'!$F$4,'SIP Schedule'!C1828,'SIP Schedule'!D1828,,1)),"")</f>
        <v/>
      </c>
    </row>
    <row r="1829" spans="3:6" x14ac:dyDescent="0.3">
      <c r="C1829" s="1" t="str">
        <f>IF(C1828&lt;'Investment Calculator'!$C$8*'Investment Calculator'!$F$4,'SIP Schedule'!C1828+1,"")</f>
        <v/>
      </c>
      <c r="D1829" s="27" t="str">
        <f>IF(C1829&lt;='Investment Calculator'!$C$8*'Investment Calculator'!$F$4,'Investment Calculator'!$C$6,"")</f>
        <v/>
      </c>
      <c r="E1829" s="27" t="str">
        <f>IFERROR((F1828+D1829)*'Investment Calculator'!$C$7/'Investment Calculator'!$F$4,"")</f>
        <v/>
      </c>
      <c r="F1829" s="27" t="str">
        <f>IFERROR(ABS(FV('Investment Calculator'!$C$7/'Investment Calculator'!$F$4,'SIP Schedule'!C1829,'SIP Schedule'!D1829,,1)),"")</f>
        <v/>
      </c>
    </row>
    <row r="1830" spans="3:6" x14ac:dyDescent="0.3">
      <c r="C1830" s="1" t="str">
        <f>IF(C1829&lt;'Investment Calculator'!$C$8*'Investment Calculator'!$F$4,'SIP Schedule'!C1829+1,"")</f>
        <v/>
      </c>
      <c r="D1830" s="27" t="str">
        <f>IF(C1830&lt;='Investment Calculator'!$C$8*'Investment Calculator'!$F$4,'Investment Calculator'!$C$6,"")</f>
        <v/>
      </c>
      <c r="E1830" s="27" t="str">
        <f>IFERROR((F1829+D1830)*'Investment Calculator'!$C$7/'Investment Calculator'!$F$4,"")</f>
        <v/>
      </c>
      <c r="F1830" s="27" t="str">
        <f>IFERROR(ABS(FV('Investment Calculator'!$C$7/'Investment Calculator'!$F$4,'SIP Schedule'!C1830,'SIP Schedule'!D1830,,1)),"")</f>
        <v/>
      </c>
    </row>
    <row r="1831" spans="3:6" x14ac:dyDescent="0.3">
      <c r="C1831" s="1" t="str">
        <f>IF(C1830&lt;'Investment Calculator'!$C$8*'Investment Calculator'!$F$4,'SIP Schedule'!C1830+1,"")</f>
        <v/>
      </c>
      <c r="D1831" s="27" t="str">
        <f>IF(C1831&lt;='Investment Calculator'!$C$8*'Investment Calculator'!$F$4,'Investment Calculator'!$C$6,"")</f>
        <v/>
      </c>
      <c r="E1831" s="27" t="str">
        <f>IFERROR((F1830+D1831)*'Investment Calculator'!$C$7/'Investment Calculator'!$F$4,"")</f>
        <v/>
      </c>
      <c r="F1831" s="27" t="str">
        <f>IFERROR(ABS(FV('Investment Calculator'!$C$7/'Investment Calculator'!$F$4,'SIP Schedule'!C1831,'SIP Schedule'!D1831,,1)),"")</f>
        <v/>
      </c>
    </row>
    <row r="1832" spans="3:6" x14ac:dyDescent="0.3">
      <c r="C1832" s="1" t="str">
        <f>IF(C1831&lt;'Investment Calculator'!$C$8*'Investment Calculator'!$F$4,'SIP Schedule'!C1831+1,"")</f>
        <v/>
      </c>
      <c r="D1832" s="27" t="str">
        <f>IF(C1832&lt;='Investment Calculator'!$C$8*'Investment Calculator'!$F$4,'Investment Calculator'!$C$6,"")</f>
        <v/>
      </c>
      <c r="E1832" s="27" t="str">
        <f>IFERROR((F1831+D1832)*'Investment Calculator'!$C$7/'Investment Calculator'!$F$4,"")</f>
        <v/>
      </c>
      <c r="F1832" s="27" t="str">
        <f>IFERROR(ABS(FV('Investment Calculator'!$C$7/'Investment Calculator'!$F$4,'SIP Schedule'!C1832,'SIP Schedule'!D1832,,1)),"")</f>
        <v/>
      </c>
    </row>
    <row r="1833" spans="3:6" x14ac:dyDescent="0.3">
      <c r="C1833" s="1" t="str">
        <f>IF(C1832&lt;'Investment Calculator'!$C$8*'Investment Calculator'!$F$4,'SIP Schedule'!C1832+1,"")</f>
        <v/>
      </c>
      <c r="D1833" s="27" t="str">
        <f>IF(C1833&lt;='Investment Calculator'!$C$8*'Investment Calculator'!$F$4,'Investment Calculator'!$C$6,"")</f>
        <v/>
      </c>
      <c r="E1833" s="27" t="str">
        <f>IFERROR((F1832+D1833)*'Investment Calculator'!$C$7/'Investment Calculator'!$F$4,"")</f>
        <v/>
      </c>
      <c r="F1833" s="27" t="str">
        <f>IFERROR(ABS(FV('Investment Calculator'!$C$7/'Investment Calculator'!$F$4,'SIP Schedule'!C1833,'SIP Schedule'!D1833,,1)),"")</f>
        <v/>
      </c>
    </row>
    <row r="1834" spans="3:6" x14ac:dyDescent="0.3">
      <c r="C1834" s="1" t="str">
        <f>IF(C1833&lt;'Investment Calculator'!$C$8*'Investment Calculator'!$F$4,'SIP Schedule'!C1833+1,"")</f>
        <v/>
      </c>
      <c r="D1834" s="27" t="str">
        <f>IF(C1834&lt;='Investment Calculator'!$C$8*'Investment Calculator'!$F$4,'Investment Calculator'!$C$6,"")</f>
        <v/>
      </c>
      <c r="E1834" s="27" t="str">
        <f>IFERROR((F1833+D1834)*'Investment Calculator'!$C$7/'Investment Calculator'!$F$4,"")</f>
        <v/>
      </c>
      <c r="F1834" s="27" t="str">
        <f>IFERROR(ABS(FV('Investment Calculator'!$C$7/'Investment Calculator'!$F$4,'SIP Schedule'!C1834,'SIP Schedule'!D1834,,1)),"")</f>
        <v/>
      </c>
    </row>
    <row r="1835" spans="3:6" x14ac:dyDescent="0.3">
      <c r="C1835" s="1" t="str">
        <f>IF(C1834&lt;'Investment Calculator'!$C$8*'Investment Calculator'!$F$4,'SIP Schedule'!C1834+1,"")</f>
        <v/>
      </c>
      <c r="D1835" s="27" t="str">
        <f>IF(C1835&lt;='Investment Calculator'!$C$8*'Investment Calculator'!$F$4,'Investment Calculator'!$C$6,"")</f>
        <v/>
      </c>
      <c r="E1835" s="27" t="str">
        <f>IFERROR((F1834+D1835)*'Investment Calculator'!$C$7/'Investment Calculator'!$F$4,"")</f>
        <v/>
      </c>
      <c r="F1835" s="27" t="str">
        <f>IFERROR(ABS(FV('Investment Calculator'!$C$7/'Investment Calculator'!$F$4,'SIP Schedule'!C1835,'SIP Schedule'!D1835,,1)),"")</f>
        <v/>
      </c>
    </row>
    <row r="1836" spans="3:6" x14ac:dyDescent="0.3">
      <c r="C1836" s="1" t="str">
        <f>IF(C1835&lt;'Investment Calculator'!$C$8*'Investment Calculator'!$F$4,'SIP Schedule'!C1835+1,"")</f>
        <v/>
      </c>
      <c r="D1836" s="27" t="str">
        <f>IF(C1836&lt;='Investment Calculator'!$C$8*'Investment Calculator'!$F$4,'Investment Calculator'!$C$6,"")</f>
        <v/>
      </c>
      <c r="E1836" s="27" t="str">
        <f>IFERROR((F1835+D1836)*'Investment Calculator'!$C$7/'Investment Calculator'!$F$4,"")</f>
        <v/>
      </c>
      <c r="F1836" s="27" t="str">
        <f>IFERROR(ABS(FV('Investment Calculator'!$C$7/'Investment Calculator'!$F$4,'SIP Schedule'!C1836,'SIP Schedule'!D1836,,1)),"")</f>
        <v/>
      </c>
    </row>
    <row r="1837" spans="3:6" x14ac:dyDescent="0.3">
      <c r="C1837" s="1" t="str">
        <f>IF(C1836&lt;'Investment Calculator'!$C$8*'Investment Calculator'!$F$4,'SIP Schedule'!C1836+1,"")</f>
        <v/>
      </c>
      <c r="D1837" s="27" t="str">
        <f>IF(C1837&lt;='Investment Calculator'!$C$8*'Investment Calculator'!$F$4,'Investment Calculator'!$C$6,"")</f>
        <v/>
      </c>
      <c r="E1837" s="27" t="str">
        <f>IFERROR((F1836+D1837)*'Investment Calculator'!$C$7/'Investment Calculator'!$F$4,"")</f>
        <v/>
      </c>
      <c r="F1837" s="27" t="str">
        <f>IFERROR(ABS(FV('Investment Calculator'!$C$7/'Investment Calculator'!$F$4,'SIP Schedule'!C1837,'SIP Schedule'!D1837,,1)),"")</f>
        <v/>
      </c>
    </row>
    <row r="1838" spans="3:6" x14ac:dyDescent="0.3">
      <c r="C1838" s="1" t="str">
        <f>IF(C1837&lt;'Investment Calculator'!$C$8*'Investment Calculator'!$F$4,'SIP Schedule'!C1837+1,"")</f>
        <v/>
      </c>
      <c r="D1838" s="27" t="str">
        <f>IF(C1838&lt;='Investment Calculator'!$C$8*'Investment Calculator'!$F$4,'Investment Calculator'!$C$6,"")</f>
        <v/>
      </c>
      <c r="E1838" s="27" t="str">
        <f>IFERROR((F1837+D1838)*'Investment Calculator'!$C$7/'Investment Calculator'!$F$4,"")</f>
        <v/>
      </c>
      <c r="F1838" s="27" t="str">
        <f>IFERROR(ABS(FV('Investment Calculator'!$C$7/'Investment Calculator'!$F$4,'SIP Schedule'!C1838,'SIP Schedule'!D1838,,1)),"")</f>
        <v/>
      </c>
    </row>
    <row r="1839" spans="3:6" x14ac:dyDescent="0.3">
      <c r="C1839" s="1" t="str">
        <f>IF(C1838&lt;'Investment Calculator'!$C$8*'Investment Calculator'!$F$4,'SIP Schedule'!C1838+1,"")</f>
        <v/>
      </c>
      <c r="D1839" s="27" t="str">
        <f>IF(C1839&lt;='Investment Calculator'!$C$8*'Investment Calculator'!$F$4,'Investment Calculator'!$C$6,"")</f>
        <v/>
      </c>
      <c r="E1839" s="27" t="str">
        <f>IFERROR((F1838+D1839)*'Investment Calculator'!$C$7/'Investment Calculator'!$F$4,"")</f>
        <v/>
      </c>
      <c r="F1839" s="27" t="str">
        <f>IFERROR(ABS(FV('Investment Calculator'!$C$7/'Investment Calculator'!$F$4,'SIP Schedule'!C1839,'SIP Schedule'!D1839,,1)),"")</f>
        <v/>
      </c>
    </row>
    <row r="1840" spans="3:6" x14ac:dyDescent="0.3">
      <c r="C1840" s="1" t="str">
        <f>IF(C1839&lt;'Investment Calculator'!$C$8*'Investment Calculator'!$F$4,'SIP Schedule'!C1839+1,"")</f>
        <v/>
      </c>
      <c r="D1840" s="27" t="str">
        <f>IF(C1840&lt;='Investment Calculator'!$C$8*'Investment Calculator'!$F$4,'Investment Calculator'!$C$6,"")</f>
        <v/>
      </c>
      <c r="E1840" s="27" t="str">
        <f>IFERROR((F1839+D1840)*'Investment Calculator'!$C$7/'Investment Calculator'!$F$4,"")</f>
        <v/>
      </c>
      <c r="F1840" s="27" t="str">
        <f>IFERROR(ABS(FV('Investment Calculator'!$C$7/'Investment Calculator'!$F$4,'SIP Schedule'!C1840,'SIP Schedule'!D1840,,1)),"")</f>
        <v/>
      </c>
    </row>
    <row r="1841" spans="3:6" x14ac:dyDescent="0.3">
      <c r="C1841" s="1" t="str">
        <f>IF(C1840&lt;'Investment Calculator'!$C$8*'Investment Calculator'!$F$4,'SIP Schedule'!C1840+1,"")</f>
        <v/>
      </c>
      <c r="D1841" s="27" t="str">
        <f>IF(C1841&lt;='Investment Calculator'!$C$8*'Investment Calculator'!$F$4,'Investment Calculator'!$C$6,"")</f>
        <v/>
      </c>
      <c r="E1841" s="27" t="str">
        <f>IFERROR((F1840+D1841)*'Investment Calculator'!$C$7/'Investment Calculator'!$F$4,"")</f>
        <v/>
      </c>
      <c r="F1841" s="27" t="str">
        <f>IFERROR(ABS(FV('Investment Calculator'!$C$7/'Investment Calculator'!$F$4,'SIP Schedule'!C1841,'SIP Schedule'!D1841,,1)),"")</f>
        <v/>
      </c>
    </row>
    <row r="1842" spans="3:6" x14ac:dyDescent="0.3">
      <c r="C1842" s="1" t="str">
        <f>IF(C1841&lt;'Investment Calculator'!$C$8*'Investment Calculator'!$F$4,'SIP Schedule'!C1841+1,"")</f>
        <v/>
      </c>
      <c r="D1842" s="27" t="str">
        <f>IF(C1842&lt;='Investment Calculator'!$C$8*'Investment Calculator'!$F$4,'Investment Calculator'!$C$6,"")</f>
        <v/>
      </c>
      <c r="E1842" s="27" t="str">
        <f>IFERROR((F1841+D1842)*'Investment Calculator'!$C$7/'Investment Calculator'!$F$4,"")</f>
        <v/>
      </c>
      <c r="F1842" s="27" t="str">
        <f>IFERROR(ABS(FV('Investment Calculator'!$C$7/'Investment Calculator'!$F$4,'SIP Schedule'!C1842,'SIP Schedule'!D1842,,1)),"")</f>
        <v/>
      </c>
    </row>
    <row r="1843" spans="3:6" x14ac:dyDescent="0.3">
      <c r="C1843" s="1" t="str">
        <f>IF(C1842&lt;'Investment Calculator'!$C$8*'Investment Calculator'!$F$4,'SIP Schedule'!C1842+1,"")</f>
        <v/>
      </c>
      <c r="D1843" s="27" t="str">
        <f>IF(C1843&lt;='Investment Calculator'!$C$8*'Investment Calculator'!$F$4,'Investment Calculator'!$C$6,"")</f>
        <v/>
      </c>
      <c r="E1843" s="27" t="str">
        <f>IFERROR((F1842+D1843)*'Investment Calculator'!$C$7/'Investment Calculator'!$F$4,"")</f>
        <v/>
      </c>
      <c r="F1843" s="27" t="str">
        <f>IFERROR(ABS(FV('Investment Calculator'!$C$7/'Investment Calculator'!$F$4,'SIP Schedule'!C1843,'SIP Schedule'!D1843,,1)),"")</f>
        <v/>
      </c>
    </row>
    <row r="1844" spans="3:6" x14ac:dyDescent="0.3">
      <c r="C1844" s="1" t="str">
        <f>IF(C1843&lt;'Investment Calculator'!$C$8*'Investment Calculator'!$F$4,'SIP Schedule'!C1843+1,"")</f>
        <v/>
      </c>
      <c r="D1844" s="27" t="str">
        <f>IF(C1844&lt;='Investment Calculator'!$C$8*'Investment Calculator'!$F$4,'Investment Calculator'!$C$6,"")</f>
        <v/>
      </c>
      <c r="E1844" s="27" t="str">
        <f>IFERROR((F1843+D1844)*'Investment Calculator'!$C$7/'Investment Calculator'!$F$4,"")</f>
        <v/>
      </c>
      <c r="F1844" s="27" t="str">
        <f>IFERROR(ABS(FV('Investment Calculator'!$C$7/'Investment Calculator'!$F$4,'SIP Schedule'!C1844,'SIP Schedule'!D1844,,1)),"")</f>
        <v/>
      </c>
    </row>
    <row r="1845" spans="3:6" x14ac:dyDescent="0.3">
      <c r="C1845" s="1" t="str">
        <f>IF(C1844&lt;'Investment Calculator'!$C$8*'Investment Calculator'!$F$4,'SIP Schedule'!C1844+1,"")</f>
        <v/>
      </c>
      <c r="D1845" s="27" t="str">
        <f>IF(C1845&lt;='Investment Calculator'!$C$8*'Investment Calculator'!$F$4,'Investment Calculator'!$C$6,"")</f>
        <v/>
      </c>
      <c r="E1845" s="27" t="str">
        <f>IFERROR((F1844+D1845)*'Investment Calculator'!$C$7/'Investment Calculator'!$F$4,"")</f>
        <v/>
      </c>
      <c r="F1845" s="27" t="str">
        <f>IFERROR(ABS(FV('Investment Calculator'!$C$7/'Investment Calculator'!$F$4,'SIP Schedule'!C1845,'SIP Schedule'!D1845,,1)),"")</f>
        <v/>
      </c>
    </row>
    <row r="1846" spans="3:6" x14ac:dyDescent="0.3">
      <c r="C1846" s="1" t="str">
        <f>IF(C1845&lt;'Investment Calculator'!$C$8*'Investment Calculator'!$F$4,'SIP Schedule'!C1845+1,"")</f>
        <v/>
      </c>
      <c r="D1846" s="27" t="str">
        <f>IF(C1846&lt;='Investment Calculator'!$C$8*'Investment Calculator'!$F$4,'Investment Calculator'!$C$6,"")</f>
        <v/>
      </c>
      <c r="E1846" s="27" t="str">
        <f>IFERROR((F1845+D1846)*'Investment Calculator'!$C$7/'Investment Calculator'!$F$4,"")</f>
        <v/>
      </c>
      <c r="F1846" s="27" t="str">
        <f>IFERROR(ABS(FV('Investment Calculator'!$C$7/'Investment Calculator'!$F$4,'SIP Schedule'!C1846,'SIP Schedule'!D1846,,1)),"")</f>
        <v/>
      </c>
    </row>
    <row r="1847" spans="3:6" x14ac:dyDescent="0.3">
      <c r="C1847" s="1" t="str">
        <f>IF(C1846&lt;'Investment Calculator'!$C$8*'Investment Calculator'!$F$4,'SIP Schedule'!C1846+1,"")</f>
        <v/>
      </c>
      <c r="D1847" s="27" t="str">
        <f>IF(C1847&lt;='Investment Calculator'!$C$8*'Investment Calculator'!$F$4,'Investment Calculator'!$C$6,"")</f>
        <v/>
      </c>
      <c r="E1847" s="27" t="str">
        <f>IFERROR((F1846+D1847)*'Investment Calculator'!$C$7/'Investment Calculator'!$F$4,"")</f>
        <v/>
      </c>
      <c r="F1847" s="27" t="str">
        <f>IFERROR(ABS(FV('Investment Calculator'!$C$7/'Investment Calculator'!$F$4,'SIP Schedule'!C1847,'SIP Schedule'!D1847,,1)),"")</f>
        <v/>
      </c>
    </row>
    <row r="1848" spans="3:6" x14ac:dyDescent="0.3">
      <c r="C1848" s="1" t="str">
        <f>IF(C1847&lt;'Investment Calculator'!$C$8*'Investment Calculator'!$F$4,'SIP Schedule'!C1847+1,"")</f>
        <v/>
      </c>
      <c r="D1848" s="27" t="str">
        <f>IF(C1848&lt;='Investment Calculator'!$C$8*'Investment Calculator'!$F$4,'Investment Calculator'!$C$6,"")</f>
        <v/>
      </c>
      <c r="E1848" s="27" t="str">
        <f>IFERROR((F1847+D1848)*'Investment Calculator'!$C$7/'Investment Calculator'!$F$4,"")</f>
        <v/>
      </c>
      <c r="F1848" s="27" t="str">
        <f>IFERROR(ABS(FV('Investment Calculator'!$C$7/'Investment Calculator'!$F$4,'SIP Schedule'!C1848,'SIP Schedule'!D1848,,1)),"")</f>
        <v/>
      </c>
    </row>
    <row r="1849" spans="3:6" x14ac:dyDescent="0.3">
      <c r="C1849" s="1" t="str">
        <f>IF(C1848&lt;'Investment Calculator'!$C$8*'Investment Calculator'!$F$4,'SIP Schedule'!C1848+1,"")</f>
        <v/>
      </c>
      <c r="D1849" s="27" t="str">
        <f>IF(C1849&lt;='Investment Calculator'!$C$8*'Investment Calculator'!$F$4,'Investment Calculator'!$C$6,"")</f>
        <v/>
      </c>
      <c r="E1849" s="27" t="str">
        <f>IFERROR((F1848+D1849)*'Investment Calculator'!$C$7/'Investment Calculator'!$F$4,"")</f>
        <v/>
      </c>
      <c r="F1849" s="27" t="str">
        <f>IFERROR(ABS(FV('Investment Calculator'!$C$7/'Investment Calculator'!$F$4,'SIP Schedule'!C1849,'SIP Schedule'!D1849,,1)),"")</f>
        <v/>
      </c>
    </row>
    <row r="1850" spans="3:6" x14ac:dyDescent="0.3">
      <c r="C1850" s="1" t="str">
        <f>IF(C1849&lt;'Investment Calculator'!$C$8*'Investment Calculator'!$F$4,'SIP Schedule'!C1849+1,"")</f>
        <v/>
      </c>
      <c r="D1850" s="27" t="str">
        <f>IF(C1850&lt;='Investment Calculator'!$C$8*'Investment Calculator'!$F$4,'Investment Calculator'!$C$6,"")</f>
        <v/>
      </c>
      <c r="E1850" s="27" t="str">
        <f>IFERROR((F1849+D1850)*'Investment Calculator'!$C$7/'Investment Calculator'!$F$4,"")</f>
        <v/>
      </c>
      <c r="F1850" s="27" t="str">
        <f>IFERROR(ABS(FV('Investment Calculator'!$C$7/'Investment Calculator'!$F$4,'SIP Schedule'!C1850,'SIP Schedule'!D1850,,1)),"")</f>
        <v/>
      </c>
    </row>
    <row r="1851" spans="3:6" x14ac:dyDescent="0.3">
      <c r="C1851" s="1" t="str">
        <f>IF(C1850&lt;'Investment Calculator'!$C$8*'Investment Calculator'!$F$4,'SIP Schedule'!C1850+1,"")</f>
        <v/>
      </c>
      <c r="D1851" s="27" t="str">
        <f>IF(C1851&lt;='Investment Calculator'!$C$8*'Investment Calculator'!$F$4,'Investment Calculator'!$C$6,"")</f>
        <v/>
      </c>
      <c r="E1851" s="27" t="str">
        <f>IFERROR((F1850+D1851)*'Investment Calculator'!$C$7/'Investment Calculator'!$F$4,"")</f>
        <v/>
      </c>
      <c r="F1851" s="27" t="str">
        <f>IFERROR(ABS(FV('Investment Calculator'!$C$7/'Investment Calculator'!$F$4,'SIP Schedule'!C1851,'SIP Schedule'!D1851,,1)),"")</f>
        <v/>
      </c>
    </row>
    <row r="1852" spans="3:6" x14ac:dyDescent="0.3">
      <c r="C1852" s="1" t="str">
        <f>IF(C1851&lt;'Investment Calculator'!$C$8*'Investment Calculator'!$F$4,'SIP Schedule'!C1851+1,"")</f>
        <v/>
      </c>
      <c r="D1852" s="27" t="str">
        <f>IF(C1852&lt;='Investment Calculator'!$C$8*'Investment Calculator'!$F$4,'Investment Calculator'!$C$6,"")</f>
        <v/>
      </c>
      <c r="E1852" s="27" t="str">
        <f>IFERROR((F1851+D1852)*'Investment Calculator'!$C$7/'Investment Calculator'!$F$4,"")</f>
        <v/>
      </c>
      <c r="F1852" s="27" t="str">
        <f>IFERROR(ABS(FV('Investment Calculator'!$C$7/'Investment Calculator'!$F$4,'SIP Schedule'!C1852,'SIP Schedule'!D1852,,1)),"")</f>
        <v/>
      </c>
    </row>
    <row r="1853" spans="3:6" x14ac:dyDescent="0.3">
      <c r="C1853" s="1" t="str">
        <f>IF(C1852&lt;'Investment Calculator'!$C$8*'Investment Calculator'!$F$4,'SIP Schedule'!C1852+1,"")</f>
        <v/>
      </c>
      <c r="D1853" s="27" t="str">
        <f>IF(C1853&lt;='Investment Calculator'!$C$8*'Investment Calculator'!$F$4,'Investment Calculator'!$C$6,"")</f>
        <v/>
      </c>
      <c r="E1853" s="27" t="str">
        <f>IFERROR((F1852+D1853)*'Investment Calculator'!$C$7/'Investment Calculator'!$F$4,"")</f>
        <v/>
      </c>
      <c r="F1853" s="27" t="str">
        <f>IFERROR(ABS(FV('Investment Calculator'!$C$7/'Investment Calculator'!$F$4,'SIP Schedule'!C1853,'SIP Schedule'!D1853,,1)),"")</f>
        <v/>
      </c>
    </row>
    <row r="1854" spans="3:6" x14ac:dyDescent="0.3">
      <c r="C1854" s="1" t="str">
        <f>IF(C1853&lt;'Investment Calculator'!$C$8*'Investment Calculator'!$F$4,'SIP Schedule'!C1853+1,"")</f>
        <v/>
      </c>
      <c r="D1854" s="27" t="str">
        <f>IF(C1854&lt;='Investment Calculator'!$C$8*'Investment Calculator'!$F$4,'Investment Calculator'!$C$6,"")</f>
        <v/>
      </c>
      <c r="E1854" s="27" t="str">
        <f>IFERROR((F1853+D1854)*'Investment Calculator'!$C$7/'Investment Calculator'!$F$4,"")</f>
        <v/>
      </c>
      <c r="F1854" s="27" t="str">
        <f>IFERROR(ABS(FV('Investment Calculator'!$C$7/'Investment Calculator'!$F$4,'SIP Schedule'!C1854,'SIP Schedule'!D1854,,1)),"")</f>
        <v/>
      </c>
    </row>
    <row r="1855" spans="3:6" x14ac:dyDescent="0.3">
      <c r="C1855" s="1" t="str">
        <f>IF(C1854&lt;'Investment Calculator'!$C$8*'Investment Calculator'!$F$4,'SIP Schedule'!C1854+1,"")</f>
        <v/>
      </c>
      <c r="D1855" s="27" t="str">
        <f>IF(C1855&lt;='Investment Calculator'!$C$8*'Investment Calculator'!$F$4,'Investment Calculator'!$C$6,"")</f>
        <v/>
      </c>
      <c r="E1855" s="27" t="str">
        <f>IFERROR((F1854+D1855)*'Investment Calculator'!$C$7/'Investment Calculator'!$F$4,"")</f>
        <v/>
      </c>
      <c r="F1855" s="27" t="str">
        <f>IFERROR(ABS(FV('Investment Calculator'!$C$7/'Investment Calculator'!$F$4,'SIP Schedule'!C1855,'SIP Schedule'!D1855,,1)),"")</f>
        <v/>
      </c>
    </row>
    <row r="1856" spans="3:6" x14ac:dyDescent="0.3">
      <c r="C1856" s="1" t="str">
        <f>IF(C1855&lt;'Investment Calculator'!$C$8*'Investment Calculator'!$F$4,'SIP Schedule'!C1855+1,"")</f>
        <v/>
      </c>
      <c r="D1856" s="27" t="str">
        <f>IF(C1856&lt;='Investment Calculator'!$C$8*'Investment Calculator'!$F$4,'Investment Calculator'!$C$6,"")</f>
        <v/>
      </c>
      <c r="E1856" s="27" t="str">
        <f>IFERROR((F1855+D1856)*'Investment Calculator'!$C$7/'Investment Calculator'!$F$4,"")</f>
        <v/>
      </c>
      <c r="F1856" s="27" t="str">
        <f>IFERROR(ABS(FV('Investment Calculator'!$C$7/'Investment Calculator'!$F$4,'SIP Schedule'!C1856,'SIP Schedule'!D1856,,1)),"")</f>
        <v/>
      </c>
    </row>
    <row r="1857" spans="3:6" x14ac:dyDescent="0.3">
      <c r="C1857" s="1" t="str">
        <f>IF(C1856&lt;'Investment Calculator'!$C$8*'Investment Calculator'!$F$4,'SIP Schedule'!C1856+1,"")</f>
        <v/>
      </c>
      <c r="D1857" s="27" t="str">
        <f>IF(C1857&lt;='Investment Calculator'!$C$8*'Investment Calculator'!$F$4,'Investment Calculator'!$C$6,"")</f>
        <v/>
      </c>
      <c r="E1857" s="27" t="str">
        <f>IFERROR((F1856+D1857)*'Investment Calculator'!$C$7/'Investment Calculator'!$F$4,"")</f>
        <v/>
      </c>
      <c r="F1857" s="27" t="str">
        <f>IFERROR(ABS(FV('Investment Calculator'!$C$7/'Investment Calculator'!$F$4,'SIP Schedule'!C1857,'SIP Schedule'!D1857,,1)),"")</f>
        <v/>
      </c>
    </row>
    <row r="1858" spans="3:6" x14ac:dyDescent="0.3">
      <c r="C1858" s="1" t="str">
        <f>IF(C1857&lt;'Investment Calculator'!$C$8*'Investment Calculator'!$F$4,'SIP Schedule'!C1857+1,"")</f>
        <v/>
      </c>
      <c r="D1858" s="27" t="str">
        <f>IF(C1858&lt;='Investment Calculator'!$C$8*'Investment Calculator'!$F$4,'Investment Calculator'!$C$6,"")</f>
        <v/>
      </c>
      <c r="E1858" s="27" t="str">
        <f>IFERROR((F1857+D1858)*'Investment Calculator'!$C$7/'Investment Calculator'!$F$4,"")</f>
        <v/>
      </c>
      <c r="F1858" s="27" t="str">
        <f>IFERROR(ABS(FV('Investment Calculator'!$C$7/'Investment Calculator'!$F$4,'SIP Schedule'!C1858,'SIP Schedule'!D1858,,1)),"")</f>
        <v/>
      </c>
    </row>
    <row r="1859" spans="3:6" x14ac:dyDescent="0.3">
      <c r="C1859" s="1" t="str">
        <f>IF(C1858&lt;'Investment Calculator'!$C$8*'Investment Calculator'!$F$4,'SIP Schedule'!C1858+1,"")</f>
        <v/>
      </c>
      <c r="D1859" s="27" t="str">
        <f>IF(C1859&lt;='Investment Calculator'!$C$8*'Investment Calculator'!$F$4,'Investment Calculator'!$C$6,"")</f>
        <v/>
      </c>
      <c r="E1859" s="27" t="str">
        <f>IFERROR((F1858+D1859)*'Investment Calculator'!$C$7/'Investment Calculator'!$F$4,"")</f>
        <v/>
      </c>
      <c r="F1859" s="27" t="str">
        <f>IFERROR(ABS(FV('Investment Calculator'!$C$7/'Investment Calculator'!$F$4,'SIP Schedule'!C1859,'SIP Schedule'!D1859,,1)),"")</f>
        <v/>
      </c>
    </row>
    <row r="1860" spans="3:6" x14ac:dyDescent="0.3">
      <c r="C1860" s="1" t="str">
        <f>IF(C1859&lt;'Investment Calculator'!$C$8*'Investment Calculator'!$F$4,'SIP Schedule'!C1859+1,"")</f>
        <v/>
      </c>
      <c r="D1860" s="27" t="str">
        <f>IF(C1860&lt;='Investment Calculator'!$C$8*'Investment Calculator'!$F$4,'Investment Calculator'!$C$6,"")</f>
        <v/>
      </c>
      <c r="E1860" s="27" t="str">
        <f>IFERROR((F1859+D1860)*'Investment Calculator'!$C$7/'Investment Calculator'!$F$4,"")</f>
        <v/>
      </c>
      <c r="F1860" s="27" t="str">
        <f>IFERROR(ABS(FV('Investment Calculator'!$C$7/'Investment Calculator'!$F$4,'SIP Schedule'!C1860,'SIP Schedule'!D1860,,1)),"")</f>
        <v/>
      </c>
    </row>
    <row r="1861" spans="3:6" x14ac:dyDescent="0.3">
      <c r="C1861" s="1" t="str">
        <f>IF(C1860&lt;'Investment Calculator'!$C$8*'Investment Calculator'!$F$4,'SIP Schedule'!C1860+1,"")</f>
        <v/>
      </c>
      <c r="D1861" s="27" t="str">
        <f>IF(C1861&lt;='Investment Calculator'!$C$8*'Investment Calculator'!$F$4,'Investment Calculator'!$C$6,"")</f>
        <v/>
      </c>
      <c r="E1861" s="27" t="str">
        <f>IFERROR((F1860+D1861)*'Investment Calculator'!$C$7/'Investment Calculator'!$F$4,"")</f>
        <v/>
      </c>
      <c r="F1861" s="27" t="str">
        <f>IFERROR(ABS(FV('Investment Calculator'!$C$7/'Investment Calculator'!$F$4,'SIP Schedule'!C1861,'SIP Schedule'!D1861,,1)),"")</f>
        <v/>
      </c>
    </row>
    <row r="1862" spans="3:6" x14ac:dyDescent="0.3">
      <c r="C1862" s="1" t="str">
        <f>IF(C1861&lt;'Investment Calculator'!$C$8*'Investment Calculator'!$F$4,'SIP Schedule'!C1861+1,"")</f>
        <v/>
      </c>
      <c r="D1862" s="27" t="str">
        <f>IF(C1862&lt;='Investment Calculator'!$C$8*'Investment Calculator'!$F$4,'Investment Calculator'!$C$6,"")</f>
        <v/>
      </c>
      <c r="E1862" s="27" t="str">
        <f>IFERROR((F1861+D1862)*'Investment Calculator'!$C$7/'Investment Calculator'!$F$4,"")</f>
        <v/>
      </c>
      <c r="F1862" s="27" t="str">
        <f>IFERROR(ABS(FV('Investment Calculator'!$C$7/'Investment Calculator'!$F$4,'SIP Schedule'!C1862,'SIP Schedule'!D1862,,1)),"")</f>
        <v/>
      </c>
    </row>
    <row r="1863" spans="3:6" x14ac:dyDescent="0.3">
      <c r="C1863" s="1" t="str">
        <f>IF(C1862&lt;'Investment Calculator'!$C$8*'Investment Calculator'!$F$4,'SIP Schedule'!C1862+1,"")</f>
        <v/>
      </c>
      <c r="D1863" s="27" t="str">
        <f>IF(C1863&lt;='Investment Calculator'!$C$8*'Investment Calculator'!$F$4,'Investment Calculator'!$C$6,"")</f>
        <v/>
      </c>
      <c r="E1863" s="27" t="str">
        <f>IFERROR((F1862+D1863)*'Investment Calculator'!$C$7/'Investment Calculator'!$F$4,"")</f>
        <v/>
      </c>
      <c r="F1863" s="27" t="str">
        <f>IFERROR(ABS(FV('Investment Calculator'!$C$7/'Investment Calculator'!$F$4,'SIP Schedule'!C1863,'SIP Schedule'!D1863,,1)),"")</f>
        <v/>
      </c>
    </row>
    <row r="1864" spans="3:6" x14ac:dyDescent="0.3">
      <c r="C1864" s="1" t="str">
        <f>IF(C1863&lt;'Investment Calculator'!$C$8*'Investment Calculator'!$F$4,'SIP Schedule'!C1863+1,"")</f>
        <v/>
      </c>
      <c r="D1864" s="27" t="str">
        <f>IF(C1864&lt;='Investment Calculator'!$C$8*'Investment Calculator'!$F$4,'Investment Calculator'!$C$6,"")</f>
        <v/>
      </c>
      <c r="E1864" s="27" t="str">
        <f>IFERROR((F1863+D1864)*'Investment Calculator'!$C$7/'Investment Calculator'!$F$4,"")</f>
        <v/>
      </c>
      <c r="F1864" s="27" t="str">
        <f>IFERROR(ABS(FV('Investment Calculator'!$C$7/'Investment Calculator'!$F$4,'SIP Schedule'!C1864,'SIP Schedule'!D1864,,1)),"")</f>
        <v/>
      </c>
    </row>
    <row r="1865" spans="3:6" x14ac:dyDescent="0.3">
      <c r="C1865" s="1" t="str">
        <f>IF(C1864&lt;'Investment Calculator'!$C$8*'Investment Calculator'!$F$4,'SIP Schedule'!C1864+1,"")</f>
        <v/>
      </c>
      <c r="D1865" s="27" t="str">
        <f>IF(C1865&lt;='Investment Calculator'!$C$8*'Investment Calculator'!$F$4,'Investment Calculator'!$C$6,"")</f>
        <v/>
      </c>
      <c r="E1865" s="27" t="str">
        <f>IFERROR((F1864+D1865)*'Investment Calculator'!$C$7/'Investment Calculator'!$F$4,"")</f>
        <v/>
      </c>
      <c r="F1865" s="27" t="str">
        <f>IFERROR(ABS(FV('Investment Calculator'!$C$7/'Investment Calculator'!$F$4,'SIP Schedule'!C1865,'SIP Schedule'!D1865,,1)),"")</f>
        <v/>
      </c>
    </row>
    <row r="1866" spans="3:6" x14ac:dyDescent="0.3">
      <c r="C1866" s="1" t="str">
        <f>IF(C1865&lt;'Investment Calculator'!$C$8*'Investment Calculator'!$F$4,'SIP Schedule'!C1865+1,"")</f>
        <v/>
      </c>
      <c r="D1866" s="27" t="str">
        <f>IF(C1866&lt;='Investment Calculator'!$C$8*'Investment Calculator'!$F$4,'Investment Calculator'!$C$6,"")</f>
        <v/>
      </c>
      <c r="E1866" s="27" t="str">
        <f>IFERROR((F1865+D1866)*'Investment Calculator'!$C$7/'Investment Calculator'!$F$4,"")</f>
        <v/>
      </c>
      <c r="F1866" s="27" t="str">
        <f>IFERROR(ABS(FV('Investment Calculator'!$C$7/'Investment Calculator'!$F$4,'SIP Schedule'!C1866,'SIP Schedule'!D1866,,1)),"")</f>
        <v/>
      </c>
    </row>
    <row r="1867" spans="3:6" x14ac:dyDescent="0.3">
      <c r="C1867" s="1" t="str">
        <f>IF(C1866&lt;'Investment Calculator'!$C$8*'Investment Calculator'!$F$4,'SIP Schedule'!C1866+1,"")</f>
        <v/>
      </c>
      <c r="D1867" s="27" t="str">
        <f>IF(C1867&lt;='Investment Calculator'!$C$8*'Investment Calculator'!$F$4,'Investment Calculator'!$C$6,"")</f>
        <v/>
      </c>
      <c r="E1867" s="27" t="str">
        <f>IFERROR((F1866+D1867)*'Investment Calculator'!$C$7/'Investment Calculator'!$F$4,"")</f>
        <v/>
      </c>
      <c r="F1867" s="27" t="str">
        <f>IFERROR(ABS(FV('Investment Calculator'!$C$7/'Investment Calculator'!$F$4,'SIP Schedule'!C1867,'SIP Schedule'!D1867,,1)),"")</f>
        <v/>
      </c>
    </row>
    <row r="1868" spans="3:6" x14ac:dyDescent="0.3">
      <c r="C1868" s="1" t="str">
        <f>IF(C1867&lt;'Investment Calculator'!$C$8*'Investment Calculator'!$F$4,'SIP Schedule'!C1867+1,"")</f>
        <v/>
      </c>
      <c r="D1868" s="27" t="str">
        <f>IF(C1868&lt;='Investment Calculator'!$C$8*'Investment Calculator'!$F$4,'Investment Calculator'!$C$6,"")</f>
        <v/>
      </c>
      <c r="E1868" s="27" t="str">
        <f>IFERROR((F1867+D1868)*'Investment Calculator'!$C$7/'Investment Calculator'!$F$4,"")</f>
        <v/>
      </c>
      <c r="F1868" s="27" t="str">
        <f>IFERROR(ABS(FV('Investment Calculator'!$C$7/'Investment Calculator'!$F$4,'SIP Schedule'!C1868,'SIP Schedule'!D1868,,1)),"")</f>
        <v/>
      </c>
    </row>
    <row r="1869" spans="3:6" x14ac:dyDescent="0.3">
      <c r="C1869" s="1" t="str">
        <f>IF(C1868&lt;'Investment Calculator'!$C$8*'Investment Calculator'!$F$4,'SIP Schedule'!C1868+1,"")</f>
        <v/>
      </c>
      <c r="D1869" s="27" t="str">
        <f>IF(C1869&lt;='Investment Calculator'!$C$8*'Investment Calculator'!$F$4,'Investment Calculator'!$C$6,"")</f>
        <v/>
      </c>
      <c r="E1869" s="27" t="str">
        <f>IFERROR((F1868+D1869)*'Investment Calculator'!$C$7/'Investment Calculator'!$F$4,"")</f>
        <v/>
      </c>
      <c r="F1869" s="27" t="str">
        <f>IFERROR(ABS(FV('Investment Calculator'!$C$7/'Investment Calculator'!$F$4,'SIP Schedule'!C1869,'SIP Schedule'!D1869,,1)),"")</f>
        <v/>
      </c>
    </row>
    <row r="1870" spans="3:6" x14ac:dyDescent="0.3">
      <c r="C1870" s="1" t="str">
        <f>IF(C1869&lt;'Investment Calculator'!$C$8*'Investment Calculator'!$F$4,'SIP Schedule'!C1869+1,"")</f>
        <v/>
      </c>
      <c r="D1870" s="27" t="str">
        <f>IF(C1870&lt;='Investment Calculator'!$C$8*'Investment Calculator'!$F$4,'Investment Calculator'!$C$6,"")</f>
        <v/>
      </c>
      <c r="E1870" s="27" t="str">
        <f>IFERROR((F1869+D1870)*'Investment Calculator'!$C$7/'Investment Calculator'!$F$4,"")</f>
        <v/>
      </c>
      <c r="F1870" s="27" t="str">
        <f>IFERROR(ABS(FV('Investment Calculator'!$C$7/'Investment Calculator'!$F$4,'SIP Schedule'!C1870,'SIP Schedule'!D1870,,1)),"")</f>
        <v/>
      </c>
    </row>
    <row r="1871" spans="3:6" x14ac:dyDescent="0.3">
      <c r="C1871" s="1" t="str">
        <f>IF(C1870&lt;'Investment Calculator'!$C$8*'Investment Calculator'!$F$4,'SIP Schedule'!C1870+1,"")</f>
        <v/>
      </c>
      <c r="D1871" s="27" t="str">
        <f>IF(C1871&lt;='Investment Calculator'!$C$8*'Investment Calculator'!$F$4,'Investment Calculator'!$C$6,"")</f>
        <v/>
      </c>
      <c r="E1871" s="27" t="str">
        <f>IFERROR((F1870+D1871)*'Investment Calculator'!$C$7/'Investment Calculator'!$F$4,"")</f>
        <v/>
      </c>
      <c r="F1871" s="27" t="str">
        <f>IFERROR(ABS(FV('Investment Calculator'!$C$7/'Investment Calculator'!$F$4,'SIP Schedule'!C1871,'SIP Schedule'!D1871,,1)),"")</f>
        <v/>
      </c>
    </row>
    <row r="1872" spans="3:6" x14ac:dyDescent="0.3">
      <c r="C1872" s="1" t="str">
        <f>IF(C1871&lt;'Investment Calculator'!$C$8*'Investment Calculator'!$F$4,'SIP Schedule'!C1871+1,"")</f>
        <v/>
      </c>
      <c r="D1872" s="27" t="str">
        <f>IF(C1872&lt;='Investment Calculator'!$C$8*'Investment Calculator'!$F$4,'Investment Calculator'!$C$6,"")</f>
        <v/>
      </c>
      <c r="E1872" s="27" t="str">
        <f>IFERROR((F1871+D1872)*'Investment Calculator'!$C$7/'Investment Calculator'!$F$4,"")</f>
        <v/>
      </c>
      <c r="F1872" s="27" t="str">
        <f>IFERROR(ABS(FV('Investment Calculator'!$C$7/'Investment Calculator'!$F$4,'SIP Schedule'!C1872,'SIP Schedule'!D1872,,1)),"")</f>
        <v/>
      </c>
    </row>
    <row r="1873" spans="3:6" x14ac:dyDescent="0.3">
      <c r="C1873" s="1" t="str">
        <f>IF(C1872&lt;'Investment Calculator'!$C$8*'Investment Calculator'!$F$4,'SIP Schedule'!C1872+1,"")</f>
        <v/>
      </c>
      <c r="D1873" s="27" t="str">
        <f>IF(C1873&lt;='Investment Calculator'!$C$8*'Investment Calculator'!$F$4,'Investment Calculator'!$C$6,"")</f>
        <v/>
      </c>
      <c r="E1873" s="27" t="str">
        <f>IFERROR((F1872+D1873)*'Investment Calculator'!$C$7/'Investment Calculator'!$F$4,"")</f>
        <v/>
      </c>
      <c r="F1873" s="27" t="str">
        <f>IFERROR(ABS(FV('Investment Calculator'!$C$7/'Investment Calculator'!$F$4,'SIP Schedule'!C1873,'SIP Schedule'!D1873,,1)),"")</f>
        <v/>
      </c>
    </row>
    <row r="1874" spans="3:6" x14ac:dyDescent="0.3">
      <c r="C1874" s="1" t="str">
        <f>IF(C1873&lt;'Investment Calculator'!$C$8*'Investment Calculator'!$F$4,'SIP Schedule'!C1873+1,"")</f>
        <v/>
      </c>
      <c r="D1874" s="27" t="str">
        <f>IF(C1874&lt;='Investment Calculator'!$C$8*'Investment Calculator'!$F$4,'Investment Calculator'!$C$6,"")</f>
        <v/>
      </c>
      <c r="E1874" s="27" t="str">
        <f>IFERROR((F1873+D1874)*'Investment Calculator'!$C$7/'Investment Calculator'!$F$4,"")</f>
        <v/>
      </c>
      <c r="F1874" s="27" t="str">
        <f>IFERROR(ABS(FV('Investment Calculator'!$C$7/'Investment Calculator'!$F$4,'SIP Schedule'!C1874,'SIP Schedule'!D1874,,1)),"")</f>
        <v/>
      </c>
    </row>
    <row r="1875" spans="3:6" x14ac:dyDescent="0.3">
      <c r="C1875" s="1" t="str">
        <f>IF(C1874&lt;'Investment Calculator'!$C$8*'Investment Calculator'!$F$4,'SIP Schedule'!C1874+1,"")</f>
        <v/>
      </c>
      <c r="D1875" s="27" t="str">
        <f>IF(C1875&lt;='Investment Calculator'!$C$8*'Investment Calculator'!$F$4,'Investment Calculator'!$C$6,"")</f>
        <v/>
      </c>
      <c r="E1875" s="27" t="str">
        <f>IFERROR((F1874+D1875)*'Investment Calculator'!$C$7/'Investment Calculator'!$F$4,"")</f>
        <v/>
      </c>
      <c r="F1875" s="27" t="str">
        <f>IFERROR(ABS(FV('Investment Calculator'!$C$7/'Investment Calculator'!$F$4,'SIP Schedule'!C1875,'SIP Schedule'!D1875,,1)),"")</f>
        <v/>
      </c>
    </row>
    <row r="1876" spans="3:6" x14ac:dyDescent="0.3">
      <c r="C1876" s="1" t="str">
        <f>IF(C1875&lt;'Investment Calculator'!$C$8*'Investment Calculator'!$F$4,'SIP Schedule'!C1875+1,"")</f>
        <v/>
      </c>
      <c r="D1876" s="27" t="str">
        <f>IF(C1876&lt;='Investment Calculator'!$C$8*'Investment Calculator'!$F$4,'Investment Calculator'!$C$6,"")</f>
        <v/>
      </c>
      <c r="E1876" s="27" t="str">
        <f>IFERROR((F1875+D1876)*'Investment Calculator'!$C$7/'Investment Calculator'!$F$4,"")</f>
        <v/>
      </c>
      <c r="F1876" s="27" t="str">
        <f>IFERROR(ABS(FV('Investment Calculator'!$C$7/'Investment Calculator'!$F$4,'SIP Schedule'!C1876,'SIP Schedule'!D1876,,1)),"")</f>
        <v/>
      </c>
    </row>
    <row r="1877" spans="3:6" x14ac:dyDescent="0.3">
      <c r="C1877" s="1" t="str">
        <f>IF(C1876&lt;'Investment Calculator'!$C$8*'Investment Calculator'!$F$4,'SIP Schedule'!C1876+1,"")</f>
        <v/>
      </c>
      <c r="D1877" s="27" t="str">
        <f>IF(C1877&lt;='Investment Calculator'!$C$8*'Investment Calculator'!$F$4,'Investment Calculator'!$C$6,"")</f>
        <v/>
      </c>
      <c r="E1877" s="27" t="str">
        <f>IFERROR((F1876+D1877)*'Investment Calculator'!$C$7/'Investment Calculator'!$F$4,"")</f>
        <v/>
      </c>
      <c r="F1877" s="27" t="str">
        <f>IFERROR(ABS(FV('Investment Calculator'!$C$7/'Investment Calculator'!$F$4,'SIP Schedule'!C1877,'SIP Schedule'!D1877,,1)),"")</f>
        <v/>
      </c>
    </row>
    <row r="1878" spans="3:6" x14ac:dyDescent="0.3">
      <c r="C1878" s="1" t="str">
        <f>IF(C1877&lt;'Investment Calculator'!$C$8*'Investment Calculator'!$F$4,'SIP Schedule'!C1877+1,"")</f>
        <v/>
      </c>
      <c r="D1878" s="27" t="str">
        <f>IF(C1878&lt;='Investment Calculator'!$C$8*'Investment Calculator'!$F$4,'Investment Calculator'!$C$6,"")</f>
        <v/>
      </c>
      <c r="E1878" s="27" t="str">
        <f>IFERROR((F1877+D1878)*'Investment Calculator'!$C$7/'Investment Calculator'!$F$4,"")</f>
        <v/>
      </c>
      <c r="F1878" s="27" t="str">
        <f>IFERROR(ABS(FV('Investment Calculator'!$C$7/'Investment Calculator'!$F$4,'SIP Schedule'!C1878,'SIP Schedule'!D1878,,1)),"")</f>
        <v/>
      </c>
    </row>
    <row r="1879" spans="3:6" x14ac:dyDescent="0.3">
      <c r="C1879" s="1" t="str">
        <f>IF(C1878&lt;'Investment Calculator'!$C$8*'Investment Calculator'!$F$4,'SIP Schedule'!C1878+1,"")</f>
        <v/>
      </c>
      <c r="D1879" s="27" t="str">
        <f>IF(C1879&lt;='Investment Calculator'!$C$8*'Investment Calculator'!$F$4,'Investment Calculator'!$C$6,"")</f>
        <v/>
      </c>
      <c r="E1879" s="27" t="str">
        <f>IFERROR((F1878+D1879)*'Investment Calculator'!$C$7/'Investment Calculator'!$F$4,"")</f>
        <v/>
      </c>
      <c r="F1879" s="27" t="str">
        <f>IFERROR(ABS(FV('Investment Calculator'!$C$7/'Investment Calculator'!$F$4,'SIP Schedule'!C1879,'SIP Schedule'!D1879,,1)),"")</f>
        <v/>
      </c>
    </row>
    <row r="1880" spans="3:6" x14ac:dyDescent="0.3">
      <c r="C1880" s="1" t="str">
        <f>IF(C1879&lt;'Investment Calculator'!$C$8*'Investment Calculator'!$F$4,'SIP Schedule'!C1879+1,"")</f>
        <v/>
      </c>
      <c r="D1880" s="27" t="str">
        <f>IF(C1880&lt;='Investment Calculator'!$C$8*'Investment Calculator'!$F$4,'Investment Calculator'!$C$6,"")</f>
        <v/>
      </c>
      <c r="E1880" s="27" t="str">
        <f>IFERROR((F1879+D1880)*'Investment Calculator'!$C$7/'Investment Calculator'!$F$4,"")</f>
        <v/>
      </c>
      <c r="F1880" s="27" t="str">
        <f>IFERROR(ABS(FV('Investment Calculator'!$C$7/'Investment Calculator'!$F$4,'SIP Schedule'!C1880,'SIP Schedule'!D1880,,1)),"")</f>
        <v/>
      </c>
    </row>
    <row r="1881" spans="3:6" x14ac:dyDescent="0.3">
      <c r="C1881" s="1" t="str">
        <f>IF(C1880&lt;'Investment Calculator'!$C$8*'Investment Calculator'!$F$4,'SIP Schedule'!C1880+1,"")</f>
        <v/>
      </c>
      <c r="D1881" s="27" t="str">
        <f>IF(C1881&lt;='Investment Calculator'!$C$8*'Investment Calculator'!$F$4,'Investment Calculator'!$C$6,"")</f>
        <v/>
      </c>
      <c r="E1881" s="27" t="str">
        <f>IFERROR((F1880+D1881)*'Investment Calculator'!$C$7/'Investment Calculator'!$F$4,"")</f>
        <v/>
      </c>
      <c r="F1881" s="27" t="str">
        <f>IFERROR(ABS(FV('Investment Calculator'!$C$7/'Investment Calculator'!$F$4,'SIP Schedule'!C1881,'SIP Schedule'!D1881,,1)),"")</f>
        <v/>
      </c>
    </row>
    <row r="1882" spans="3:6" x14ac:dyDescent="0.3">
      <c r="C1882" s="1" t="str">
        <f>IF(C1881&lt;'Investment Calculator'!$C$8*'Investment Calculator'!$F$4,'SIP Schedule'!C1881+1,"")</f>
        <v/>
      </c>
      <c r="D1882" s="27" t="str">
        <f>IF(C1882&lt;='Investment Calculator'!$C$8*'Investment Calculator'!$F$4,'Investment Calculator'!$C$6,"")</f>
        <v/>
      </c>
      <c r="E1882" s="27" t="str">
        <f>IFERROR((F1881+D1882)*'Investment Calculator'!$C$7/'Investment Calculator'!$F$4,"")</f>
        <v/>
      </c>
      <c r="F1882" s="27" t="str">
        <f>IFERROR(ABS(FV('Investment Calculator'!$C$7/'Investment Calculator'!$F$4,'SIP Schedule'!C1882,'SIP Schedule'!D1882,,1)),"")</f>
        <v/>
      </c>
    </row>
    <row r="1883" spans="3:6" x14ac:dyDescent="0.3">
      <c r="C1883" s="1" t="str">
        <f>IF(C1882&lt;'Investment Calculator'!$C$8*'Investment Calculator'!$F$4,'SIP Schedule'!C1882+1,"")</f>
        <v/>
      </c>
      <c r="D1883" s="27" t="str">
        <f>IF(C1883&lt;='Investment Calculator'!$C$8*'Investment Calculator'!$F$4,'Investment Calculator'!$C$6,"")</f>
        <v/>
      </c>
      <c r="E1883" s="27" t="str">
        <f>IFERROR((F1882+D1883)*'Investment Calculator'!$C$7/'Investment Calculator'!$F$4,"")</f>
        <v/>
      </c>
      <c r="F1883" s="27" t="str">
        <f>IFERROR(ABS(FV('Investment Calculator'!$C$7/'Investment Calculator'!$F$4,'SIP Schedule'!C1883,'SIP Schedule'!D1883,,1)),"")</f>
        <v/>
      </c>
    </row>
    <row r="1884" spans="3:6" x14ac:dyDescent="0.3">
      <c r="C1884" s="1" t="str">
        <f>IF(C1883&lt;'Investment Calculator'!$C$8*'Investment Calculator'!$F$4,'SIP Schedule'!C1883+1,"")</f>
        <v/>
      </c>
      <c r="D1884" s="27" t="str">
        <f>IF(C1884&lt;='Investment Calculator'!$C$8*'Investment Calculator'!$F$4,'Investment Calculator'!$C$6,"")</f>
        <v/>
      </c>
      <c r="E1884" s="27" t="str">
        <f>IFERROR((F1883+D1884)*'Investment Calculator'!$C$7/'Investment Calculator'!$F$4,"")</f>
        <v/>
      </c>
      <c r="F1884" s="27" t="str">
        <f>IFERROR(ABS(FV('Investment Calculator'!$C$7/'Investment Calculator'!$F$4,'SIP Schedule'!C1884,'SIP Schedule'!D1884,,1)),"")</f>
        <v/>
      </c>
    </row>
    <row r="1885" spans="3:6" x14ac:dyDescent="0.3">
      <c r="C1885" s="1" t="str">
        <f>IF(C1884&lt;'Investment Calculator'!$C$8*'Investment Calculator'!$F$4,'SIP Schedule'!C1884+1,"")</f>
        <v/>
      </c>
      <c r="D1885" s="27" t="str">
        <f>IF(C1885&lt;='Investment Calculator'!$C$8*'Investment Calculator'!$F$4,'Investment Calculator'!$C$6,"")</f>
        <v/>
      </c>
      <c r="E1885" s="27" t="str">
        <f>IFERROR((F1884+D1885)*'Investment Calculator'!$C$7/'Investment Calculator'!$F$4,"")</f>
        <v/>
      </c>
      <c r="F1885" s="27" t="str">
        <f>IFERROR(ABS(FV('Investment Calculator'!$C$7/'Investment Calculator'!$F$4,'SIP Schedule'!C1885,'SIP Schedule'!D1885,,1)),"")</f>
        <v/>
      </c>
    </row>
    <row r="1886" spans="3:6" x14ac:dyDescent="0.3">
      <c r="C1886" s="1" t="str">
        <f>IF(C1885&lt;'Investment Calculator'!$C$8*'Investment Calculator'!$F$4,'SIP Schedule'!C1885+1,"")</f>
        <v/>
      </c>
      <c r="D1886" s="27" t="str">
        <f>IF(C1886&lt;='Investment Calculator'!$C$8*'Investment Calculator'!$F$4,'Investment Calculator'!$C$6,"")</f>
        <v/>
      </c>
      <c r="E1886" s="27" t="str">
        <f>IFERROR((F1885+D1886)*'Investment Calculator'!$C$7/'Investment Calculator'!$F$4,"")</f>
        <v/>
      </c>
      <c r="F1886" s="27" t="str">
        <f>IFERROR(ABS(FV('Investment Calculator'!$C$7/'Investment Calculator'!$F$4,'SIP Schedule'!C1886,'SIP Schedule'!D1886,,1)),"")</f>
        <v/>
      </c>
    </row>
    <row r="1887" spans="3:6" x14ac:dyDescent="0.3">
      <c r="C1887" s="1" t="str">
        <f>IF(C1886&lt;'Investment Calculator'!$C$8*'Investment Calculator'!$F$4,'SIP Schedule'!C1886+1,"")</f>
        <v/>
      </c>
      <c r="D1887" s="27" t="str">
        <f>IF(C1887&lt;='Investment Calculator'!$C$8*'Investment Calculator'!$F$4,'Investment Calculator'!$C$6,"")</f>
        <v/>
      </c>
      <c r="E1887" s="27" t="str">
        <f>IFERROR((F1886+D1887)*'Investment Calculator'!$C$7/'Investment Calculator'!$F$4,"")</f>
        <v/>
      </c>
      <c r="F1887" s="27" t="str">
        <f>IFERROR(ABS(FV('Investment Calculator'!$C$7/'Investment Calculator'!$F$4,'SIP Schedule'!C1887,'SIP Schedule'!D1887,,1)),"")</f>
        <v/>
      </c>
    </row>
    <row r="1888" spans="3:6" x14ac:dyDescent="0.3">
      <c r="C1888" s="1" t="str">
        <f>IF(C1887&lt;'Investment Calculator'!$C$8*'Investment Calculator'!$F$4,'SIP Schedule'!C1887+1,"")</f>
        <v/>
      </c>
      <c r="D1888" s="27" t="str">
        <f>IF(C1888&lt;='Investment Calculator'!$C$8*'Investment Calculator'!$F$4,'Investment Calculator'!$C$6,"")</f>
        <v/>
      </c>
      <c r="E1888" s="27" t="str">
        <f>IFERROR((F1887+D1888)*'Investment Calculator'!$C$7/'Investment Calculator'!$F$4,"")</f>
        <v/>
      </c>
      <c r="F1888" s="27" t="str">
        <f>IFERROR(ABS(FV('Investment Calculator'!$C$7/'Investment Calculator'!$F$4,'SIP Schedule'!C1888,'SIP Schedule'!D1888,,1)),"")</f>
        <v/>
      </c>
    </row>
    <row r="1889" spans="3:6" x14ac:dyDescent="0.3">
      <c r="C1889" s="1" t="str">
        <f>IF(C1888&lt;'Investment Calculator'!$C$8*'Investment Calculator'!$F$4,'SIP Schedule'!C1888+1,"")</f>
        <v/>
      </c>
      <c r="D1889" s="27" t="str">
        <f>IF(C1889&lt;='Investment Calculator'!$C$8*'Investment Calculator'!$F$4,'Investment Calculator'!$C$6,"")</f>
        <v/>
      </c>
      <c r="E1889" s="27" t="str">
        <f>IFERROR((F1888+D1889)*'Investment Calculator'!$C$7/'Investment Calculator'!$F$4,"")</f>
        <v/>
      </c>
      <c r="F1889" s="27" t="str">
        <f>IFERROR(ABS(FV('Investment Calculator'!$C$7/'Investment Calculator'!$F$4,'SIP Schedule'!C1889,'SIP Schedule'!D1889,,1)),"")</f>
        <v/>
      </c>
    </row>
    <row r="1890" spans="3:6" x14ac:dyDescent="0.3">
      <c r="C1890" s="1" t="str">
        <f>IF(C1889&lt;'Investment Calculator'!$C$8*'Investment Calculator'!$F$4,'SIP Schedule'!C1889+1,"")</f>
        <v/>
      </c>
      <c r="D1890" s="27" t="str">
        <f>IF(C1890&lt;='Investment Calculator'!$C$8*'Investment Calculator'!$F$4,'Investment Calculator'!$C$6,"")</f>
        <v/>
      </c>
      <c r="E1890" s="27" t="str">
        <f>IFERROR((F1889+D1890)*'Investment Calculator'!$C$7/'Investment Calculator'!$F$4,"")</f>
        <v/>
      </c>
      <c r="F1890" s="27" t="str">
        <f>IFERROR(ABS(FV('Investment Calculator'!$C$7/'Investment Calculator'!$F$4,'SIP Schedule'!C1890,'SIP Schedule'!D1890,,1)),"")</f>
        <v/>
      </c>
    </row>
    <row r="1891" spans="3:6" x14ac:dyDescent="0.3">
      <c r="C1891" s="1" t="str">
        <f>IF(C1890&lt;'Investment Calculator'!$C$8*'Investment Calculator'!$F$4,'SIP Schedule'!C1890+1,"")</f>
        <v/>
      </c>
      <c r="D1891" s="27" t="str">
        <f>IF(C1891&lt;='Investment Calculator'!$C$8*'Investment Calculator'!$F$4,'Investment Calculator'!$C$6,"")</f>
        <v/>
      </c>
      <c r="E1891" s="27" t="str">
        <f>IFERROR((F1890+D1891)*'Investment Calculator'!$C$7/'Investment Calculator'!$F$4,"")</f>
        <v/>
      </c>
      <c r="F1891" s="27" t="str">
        <f>IFERROR(ABS(FV('Investment Calculator'!$C$7/'Investment Calculator'!$F$4,'SIP Schedule'!C1891,'SIP Schedule'!D1891,,1)),"")</f>
        <v/>
      </c>
    </row>
    <row r="1892" spans="3:6" x14ac:dyDescent="0.3">
      <c r="C1892" s="1" t="str">
        <f>IF(C1891&lt;'Investment Calculator'!$C$8*'Investment Calculator'!$F$4,'SIP Schedule'!C1891+1,"")</f>
        <v/>
      </c>
      <c r="D1892" s="27" t="str">
        <f>IF(C1892&lt;='Investment Calculator'!$C$8*'Investment Calculator'!$F$4,'Investment Calculator'!$C$6,"")</f>
        <v/>
      </c>
      <c r="E1892" s="27" t="str">
        <f>IFERROR((F1891+D1892)*'Investment Calculator'!$C$7/'Investment Calculator'!$F$4,"")</f>
        <v/>
      </c>
      <c r="F1892" s="27" t="str">
        <f>IFERROR(ABS(FV('Investment Calculator'!$C$7/'Investment Calculator'!$F$4,'SIP Schedule'!C1892,'SIP Schedule'!D1892,,1)),"")</f>
        <v/>
      </c>
    </row>
    <row r="1893" spans="3:6" x14ac:dyDescent="0.3">
      <c r="C1893" s="1" t="str">
        <f>IF(C1892&lt;'Investment Calculator'!$C$8*'Investment Calculator'!$F$4,'SIP Schedule'!C1892+1,"")</f>
        <v/>
      </c>
      <c r="D1893" s="27" t="str">
        <f>IF(C1893&lt;='Investment Calculator'!$C$8*'Investment Calculator'!$F$4,'Investment Calculator'!$C$6,"")</f>
        <v/>
      </c>
      <c r="E1893" s="27" t="str">
        <f>IFERROR((F1892+D1893)*'Investment Calculator'!$C$7/'Investment Calculator'!$F$4,"")</f>
        <v/>
      </c>
      <c r="F1893" s="27" t="str">
        <f>IFERROR(ABS(FV('Investment Calculator'!$C$7/'Investment Calculator'!$F$4,'SIP Schedule'!C1893,'SIP Schedule'!D1893,,1)),"")</f>
        <v/>
      </c>
    </row>
    <row r="1894" spans="3:6" x14ac:dyDescent="0.3">
      <c r="C1894" s="1" t="str">
        <f>IF(C1893&lt;'Investment Calculator'!$C$8*'Investment Calculator'!$F$4,'SIP Schedule'!C1893+1,"")</f>
        <v/>
      </c>
      <c r="D1894" s="27" t="str">
        <f>IF(C1894&lt;='Investment Calculator'!$C$8*'Investment Calculator'!$F$4,'Investment Calculator'!$C$6,"")</f>
        <v/>
      </c>
      <c r="E1894" s="27" t="str">
        <f>IFERROR((F1893+D1894)*'Investment Calculator'!$C$7/'Investment Calculator'!$F$4,"")</f>
        <v/>
      </c>
      <c r="F1894" s="27" t="str">
        <f>IFERROR(ABS(FV('Investment Calculator'!$C$7/'Investment Calculator'!$F$4,'SIP Schedule'!C1894,'SIP Schedule'!D1894,,1)),"")</f>
        <v/>
      </c>
    </row>
    <row r="1895" spans="3:6" x14ac:dyDescent="0.3">
      <c r="C1895" s="1" t="str">
        <f>IF(C1894&lt;'Investment Calculator'!$C$8*'Investment Calculator'!$F$4,'SIP Schedule'!C1894+1,"")</f>
        <v/>
      </c>
      <c r="D1895" s="27" t="str">
        <f>IF(C1895&lt;='Investment Calculator'!$C$8*'Investment Calculator'!$F$4,'Investment Calculator'!$C$6,"")</f>
        <v/>
      </c>
      <c r="E1895" s="27" t="str">
        <f>IFERROR((F1894+D1895)*'Investment Calculator'!$C$7/'Investment Calculator'!$F$4,"")</f>
        <v/>
      </c>
      <c r="F1895" s="27" t="str">
        <f>IFERROR(ABS(FV('Investment Calculator'!$C$7/'Investment Calculator'!$F$4,'SIP Schedule'!C1895,'SIP Schedule'!D1895,,1)),"")</f>
        <v/>
      </c>
    </row>
    <row r="1896" spans="3:6" x14ac:dyDescent="0.3">
      <c r="C1896" s="1" t="str">
        <f>IF(C1895&lt;'Investment Calculator'!$C$8*'Investment Calculator'!$F$4,'SIP Schedule'!C1895+1,"")</f>
        <v/>
      </c>
      <c r="D1896" s="27" t="str">
        <f>IF(C1896&lt;='Investment Calculator'!$C$8*'Investment Calculator'!$F$4,'Investment Calculator'!$C$6,"")</f>
        <v/>
      </c>
      <c r="E1896" s="27" t="str">
        <f>IFERROR((F1895+D1896)*'Investment Calculator'!$C$7/'Investment Calculator'!$F$4,"")</f>
        <v/>
      </c>
      <c r="F1896" s="27" t="str">
        <f>IFERROR(ABS(FV('Investment Calculator'!$C$7/'Investment Calculator'!$F$4,'SIP Schedule'!C1896,'SIP Schedule'!D1896,,1)),"")</f>
        <v/>
      </c>
    </row>
    <row r="1897" spans="3:6" x14ac:dyDescent="0.3">
      <c r="C1897" s="1" t="str">
        <f>IF(C1896&lt;'Investment Calculator'!$C$8*'Investment Calculator'!$F$4,'SIP Schedule'!C1896+1,"")</f>
        <v/>
      </c>
      <c r="D1897" s="27" t="str">
        <f>IF(C1897&lt;='Investment Calculator'!$C$8*'Investment Calculator'!$F$4,'Investment Calculator'!$C$6,"")</f>
        <v/>
      </c>
      <c r="E1897" s="27" t="str">
        <f>IFERROR((F1896+D1897)*'Investment Calculator'!$C$7/'Investment Calculator'!$F$4,"")</f>
        <v/>
      </c>
      <c r="F1897" s="27" t="str">
        <f>IFERROR(ABS(FV('Investment Calculator'!$C$7/'Investment Calculator'!$F$4,'SIP Schedule'!C1897,'SIP Schedule'!D1897,,1)),"")</f>
        <v/>
      </c>
    </row>
    <row r="1898" spans="3:6" x14ac:dyDescent="0.3">
      <c r="C1898" s="1" t="str">
        <f>IF(C1897&lt;'Investment Calculator'!$C$8*'Investment Calculator'!$F$4,'SIP Schedule'!C1897+1,"")</f>
        <v/>
      </c>
      <c r="D1898" s="27" t="str">
        <f>IF(C1898&lt;='Investment Calculator'!$C$8*'Investment Calculator'!$F$4,'Investment Calculator'!$C$6,"")</f>
        <v/>
      </c>
      <c r="E1898" s="27" t="str">
        <f>IFERROR((F1897+D1898)*'Investment Calculator'!$C$7/'Investment Calculator'!$F$4,"")</f>
        <v/>
      </c>
      <c r="F1898" s="27" t="str">
        <f>IFERROR(ABS(FV('Investment Calculator'!$C$7/'Investment Calculator'!$F$4,'SIP Schedule'!C1898,'SIP Schedule'!D1898,,1)),"")</f>
        <v/>
      </c>
    </row>
    <row r="1899" spans="3:6" x14ac:dyDescent="0.3">
      <c r="C1899" s="1" t="str">
        <f>IF(C1898&lt;'Investment Calculator'!$C$8*'Investment Calculator'!$F$4,'SIP Schedule'!C1898+1,"")</f>
        <v/>
      </c>
      <c r="D1899" s="27" t="str">
        <f>IF(C1899&lt;='Investment Calculator'!$C$8*'Investment Calculator'!$F$4,'Investment Calculator'!$C$6,"")</f>
        <v/>
      </c>
      <c r="E1899" s="27" t="str">
        <f>IFERROR((F1898+D1899)*'Investment Calculator'!$C$7/'Investment Calculator'!$F$4,"")</f>
        <v/>
      </c>
      <c r="F1899" s="27" t="str">
        <f>IFERROR(ABS(FV('Investment Calculator'!$C$7/'Investment Calculator'!$F$4,'SIP Schedule'!C1899,'SIP Schedule'!D1899,,1)),"")</f>
        <v/>
      </c>
    </row>
    <row r="1900" spans="3:6" x14ac:dyDescent="0.3">
      <c r="C1900" s="1" t="str">
        <f>IF(C1899&lt;'Investment Calculator'!$C$8*'Investment Calculator'!$F$4,'SIP Schedule'!C1899+1,"")</f>
        <v/>
      </c>
      <c r="D1900" s="27" t="str">
        <f>IF(C1900&lt;='Investment Calculator'!$C$8*'Investment Calculator'!$F$4,'Investment Calculator'!$C$6,"")</f>
        <v/>
      </c>
      <c r="E1900" s="27" t="str">
        <f>IFERROR((F1899+D1900)*'Investment Calculator'!$C$7/'Investment Calculator'!$F$4,"")</f>
        <v/>
      </c>
      <c r="F1900" s="27" t="str">
        <f>IFERROR(ABS(FV('Investment Calculator'!$C$7/'Investment Calculator'!$F$4,'SIP Schedule'!C1900,'SIP Schedule'!D1900,,1)),"")</f>
        <v/>
      </c>
    </row>
    <row r="1901" spans="3:6" x14ac:dyDescent="0.3">
      <c r="C1901" s="1" t="str">
        <f>IF(C1900&lt;'Investment Calculator'!$C$8*'Investment Calculator'!$F$4,'SIP Schedule'!C1900+1,"")</f>
        <v/>
      </c>
      <c r="D1901" s="27" t="str">
        <f>IF(C1901&lt;='Investment Calculator'!$C$8*'Investment Calculator'!$F$4,'Investment Calculator'!$C$6,"")</f>
        <v/>
      </c>
      <c r="E1901" s="27" t="str">
        <f>IFERROR((F1900+D1901)*'Investment Calculator'!$C$7/'Investment Calculator'!$F$4,"")</f>
        <v/>
      </c>
      <c r="F1901" s="27" t="str">
        <f>IFERROR(ABS(FV('Investment Calculator'!$C$7/'Investment Calculator'!$F$4,'SIP Schedule'!C1901,'SIP Schedule'!D1901,,1)),"")</f>
        <v/>
      </c>
    </row>
    <row r="1902" spans="3:6" x14ac:dyDescent="0.3">
      <c r="C1902" s="1" t="str">
        <f>IF(C1901&lt;'Investment Calculator'!$C$8*'Investment Calculator'!$F$4,'SIP Schedule'!C1901+1,"")</f>
        <v/>
      </c>
      <c r="D1902" s="27" t="str">
        <f>IF(C1902&lt;='Investment Calculator'!$C$8*'Investment Calculator'!$F$4,'Investment Calculator'!$C$6,"")</f>
        <v/>
      </c>
      <c r="E1902" s="27" t="str">
        <f>IFERROR((F1901+D1902)*'Investment Calculator'!$C$7/'Investment Calculator'!$F$4,"")</f>
        <v/>
      </c>
      <c r="F1902" s="27" t="str">
        <f>IFERROR(ABS(FV('Investment Calculator'!$C$7/'Investment Calculator'!$F$4,'SIP Schedule'!C1902,'SIP Schedule'!D1902,,1)),"")</f>
        <v/>
      </c>
    </row>
    <row r="1903" spans="3:6" x14ac:dyDescent="0.3">
      <c r="C1903" s="1" t="str">
        <f>IF(C1902&lt;'Investment Calculator'!$C$8*'Investment Calculator'!$F$4,'SIP Schedule'!C1902+1,"")</f>
        <v/>
      </c>
      <c r="D1903" s="27" t="str">
        <f>IF(C1903&lt;='Investment Calculator'!$C$8*'Investment Calculator'!$F$4,'Investment Calculator'!$C$6,"")</f>
        <v/>
      </c>
      <c r="E1903" s="27" t="str">
        <f>IFERROR((F1902+D1903)*'Investment Calculator'!$C$7/'Investment Calculator'!$F$4,"")</f>
        <v/>
      </c>
      <c r="F1903" s="27" t="str">
        <f>IFERROR(ABS(FV('Investment Calculator'!$C$7/'Investment Calculator'!$F$4,'SIP Schedule'!C1903,'SIP Schedule'!D1903,,1)),"")</f>
        <v/>
      </c>
    </row>
    <row r="1904" spans="3:6" x14ac:dyDescent="0.3">
      <c r="C1904" s="1" t="str">
        <f>IF(C1903&lt;'Investment Calculator'!$C$8*'Investment Calculator'!$F$4,'SIP Schedule'!C1903+1,"")</f>
        <v/>
      </c>
      <c r="D1904" s="27" t="str">
        <f>IF(C1904&lt;='Investment Calculator'!$C$8*'Investment Calculator'!$F$4,'Investment Calculator'!$C$6,"")</f>
        <v/>
      </c>
      <c r="E1904" s="27" t="str">
        <f>IFERROR((F1903+D1904)*'Investment Calculator'!$C$7/'Investment Calculator'!$F$4,"")</f>
        <v/>
      </c>
      <c r="F1904" s="27" t="str">
        <f>IFERROR(ABS(FV('Investment Calculator'!$C$7/'Investment Calculator'!$F$4,'SIP Schedule'!C1904,'SIP Schedule'!D1904,,1)),"")</f>
        <v/>
      </c>
    </row>
    <row r="1905" spans="3:6" x14ac:dyDescent="0.3">
      <c r="C1905" s="1" t="str">
        <f>IF(C1904&lt;'Investment Calculator'!$C$8*'Investment Calculator'!$F$4,'SIP Schedule'!C1904+1,"")</f>
        <v/>
      </c>
      <c r="D1905" s="27" t="str">
        <f>IF(C1905&lt;='Investment Calculator'!$C$8*'Investment Calculator'!$F$4,'Investment Calculator'!$C$6,"")</f>
        <v/>
      </c>
      <c r="E1905" s="27" t="str">
        <f>IFERROR((F1904+D1905)*'Investment Calculator'!$C$7/'Investment Calculator'!$F$4,"")</f>
        <v/>
      </c>
      <c r="F1905" s="27" t="str">
        <f>IFERROR(ABS(FV('Investment Calculator'!$C$7/'Investment Calculator'!$F$4,'SIP Schedule'!C1905,'SIP Schedule'!D1905,,1)),"")</f>
        <v/>
      </c>
    </row>
    <row r="1906" spans="3:6" x14ac:dyDescent="0.3">
      <c r="C1906" s="1" t="str">
        <f>IF(C1905&lt;'Investment Calculator'!$C$8*'Investment Calculator'!$F$4,'SIP Schedule'!C1905+1,"")</f>
        <v/>
      </c>
      <c r="D1906" s="27" t="str">
        <f>IF(C1906&lt;='Investment Calculator'!$C$8*'Investment Calculator'!$F$4,'Investment Calculator'!$C$6,"")</f>
        <v/>
      </c>
      <c r="E1906" s="27" t="str">
        <f>IFERROR((F1905+D1906)*'Investment Calculator'!$C$7/'Investment Calculator'!$F$4,"")</f>
        <v/>
      </c>
      <c r="F1906" s="27" t="str">
        <f>IFERROR(ABS(FV('Investment Calculator'!$C$7/'Investment Calculator'!$F$4,'SIP Schedule'!C1906,'SIP Schedule'!D1906,,1)),"")</f>
        <v/>
      </c>
    </row>
    <row r="1907" spans="3:6" x14ac:dyDescent="0.3">
      <c r="C1907" s="1" t="str">
        <f>IF(C1906&lt;'Investment Calculator'!$C$8*'Investment Calculator'!$F$4,'SIP Schedule'!C1906+1,"")</f>
        <v/>
      </c>
      <c r="D1907" s="27" t="str">
        <f>IF(C1907&lt;='Investment Calculator'!$C$8*'Investment Calculator'!$F$4,'Investment Calculator'!$C$6,"")</f>
        <v/>
      </c>
      <c r="E1907" s="27" t="str">
        <f>IFERROR((F1906+D1907)*'Investment Calculator'!$C$7/'Investment Calculator'!$F$4,"")</f>
        <v/>
      </c>
      <c r="F1907" s="27" t="str">
        <f>IFERROR(ABS(FV('Investment Calculator'!$C$7/'Investment Calculator'!$F$4,'SIP Schedule'!C1907,'SIP Schedule'!D1907,,1)),"")</f>
        <v/>
      </c>
    </row>
    <row r="1908" spans="3:6" x14ac:dyDescent="0.3">
      <c r="C1908" s="1" t="str">
        <f>IF(C1907&lt;'Investment Calculator'!$C$8*'Investment Calculator'!$F$4,'SIP Schedule'!C1907+1,"")</f>
        <v/>
      </c>
      <c r="D1908" s="27" t="str">
        <f>IF(C1908&lt;='Investment Calculator'!$C$8*'Investment Calculator'!$F$4,'Investment Calculator'!$C$6,"")</f>
        <v/>
      </c>
      <c r="E1908" s="27" t="str">
        <f>IFERROR((F1907+D1908)*'Investment Calculator'!$C$7/'Investment Calculator'!$F$4,"")</f>
        <v/>
      </c>
      <c r="F1908" s="27" t="str">
        <f>IFERROR(ABS(FV('Investment Calculator'!$C$7/'Investment Calculator'!$F$4,'SIP Schedule'!C1908,'SIP Schedule'!D1908,,1)),"")</f>
        <v/>
      </c>
    </row>
    <row r="1909" spans="3:6" x14ac:dyDescent="0.3">
      <c r="C1909" s="1" t="str">
        <f>IF(C1908&lt;'Investment Calculator'!$C$8*'Investment Calculator'!$F$4,'SIP Schedule'!C1908+1,"")</f>
        <v/>
      </c>
      <c r="D1909" s="27" t="str">
        <f>IF(C1909&lt;='Investment Calculator'!$C$8*'Investment Calculator'!$F$4,'Investment Calculator'!$C$6,"")</f>
        <v/>
      </c>
      <c r="E1909" s="27" t="str">
        <f>IFERROR((F1908+D1909)*'Investment Calculator'!$C$7/'Investment Calculator'!$F$4,"")</f>
        <v/>
      </c>
      <c r="F1909" s="27" t="str">
        <f>IFERROR(ABS(FV('Investment Calculator'!$C$7/'Investment Calculator'!$F$4,'SIP Schedule'!C1909,'SIP Schedule'!D1909,,1)),"")</f>
        <v/>
      </c>
    </row>
    <row r="1910" spans="3:6" x14ac:dyDescent="0.3">
      <c r="C1910" s="1" t="str">
        <f>IF(C1909&lt;'Investment Calculator'!$C$8*'Investment Calculator'!$F$4,'SIP Schedule'!C1909+1,"")</f>
        <v/>
      </c>
      <c r="D1910" s="27" t="str">
        <f>IF(C1910&lt;='Investment Calculator'!$C$8*'Investment Calculator'!$F$4,'Investment Calculator'!$C$6,"")</f>
        <v/>
      </c>
      <c r="E1910" s="27" t="str">
        <f>IFERROR((F1909+D1910)*'Investment Calculator'!$C$7/'Investment Calculator'!$F$4,"")</f>
        <v/>
      </c>
      <c r="F1910" s="27" t="str">
        <f>IFERROR(ABS(FV('Investment Calculator'!$C$7/'Investment Calculator'!$F$4,'SIP Schedule'!C1910,'SIP Schedule'!D1910,,1)),"")</f>
        <v/>
      </c>
    </row>
    <row r="1911" spans="3:6" x14ac:dyDescent="0.3">
      <c r="C1911" s="1" t="str">
        <f>IF(C1910&lt;'Investment Calculator'!$C$8*'Investment Calculator'!$F$4,'SIP Schedule'!C1910+1,"")</f>
        <v/>
      </c>
      <c r="D1911" s="27" t="str">
        <f>IF(C1911&lt;='Investment Calculator'!$C$8*'Investment Calculator'!$F$4,'Investment Calculator'!$C$6,"")</f>
        <v/>
      </c>
      <c r="E1911" s="27" t="str">
        <f>IFERROR((F1910+D1911)*'Investment Calculator'!$C$7/'Investment Calculator'!$F$4,"")</f>
        <v/>
      </c>
      <c r="F1911" s="27" t="str">
        <f>IFERROR(ABS(FV('Investment Calculator'!$C$7/'Investment Calculator'!$F$4,'SIP Schedule'!C1911,'SIP Schedule'!D1911,,1)),"")</f>
        <v/>
      </c>
    </row>
    <row r="1912" spans="3:6" x14ac:dyDescent="0.3">
      <c r="C1912" s="1" t="str">
        <f>IF(C1911&lt;'Investment Calculator'!$C$8*'Investment Calculator'!$F$4,'SIP Schedule'!C1911+1,"")</f>
        <v/>
      </c>
      <c r="D1912" s="27" t="str">
        <f>IF(C1912&lt;='Investment Calculator'!$C$8*'Investment Calculator'!$F$4,'Investment Calculator'!$C$6,"")</f>
        <v/>
      </c>
      <c r="E1912" s="27" t="str">
        <f>IFERROR((F1911+D1912)*'Investment Calculator'!$C$7/'Investment Calculator'!$F$4,"")</f>
        <v/>
      </c>
      <c r="F1912" s="27" t="str">
        <f>IFERROR(ABS(FV('Investment Calculator'!$C$7/'Investment Calculator'!$F$4,'SIP Schedule'!C1912,'SIP Schedule'!D1912,,1)),"")</f>
        <v/>
      </c>
    </row>
    <row r="1913" spans="3:6" x14ac:dyDescent="0.3">
      <c r="C1913" s="1" t="str">
        <f>IF(C1912&lt;'Investment Calculator'!$C$8*'Investment Calculator'!$F$4,'SIP Schedule'!C1912+1,"")</f>
        <v/>
      </c>
      <c r="D1913" s="27" t="str">
        <f>IF(C1913&lt;='Investment Calculator'!$C$8*'Investment Calculator'!$F$4,'Investment Calculator'!$C$6,"")</f>
        <v/>
      </c>
      <c r="E1913" s="27" t="str">
        <f>IFERROR((F1912+D1913)*'Investment Calculator'!$C$7/'Investment Calculator'!$F$4,"")</f>
        <v/>
      </c>
      <c r="F1913" s="27" t="str">
        <f>IFERROR(ABS(FV('Investment Calculator'!$C$7/'Investment Calculator'!$F$4,'SIP Schedule'!C1913,'SIP Schedule'!D1913,,1)),"")</f>
        <v/>
      </c>
    </row>
    <row r="1914" spans="3:6" x14ac:dyDescent="0.3">
      <c r="C1914" s="1" t="str">
        <f>IF(C1913&lt;'Investment Calculator'!$C$8*'Investment Calculator'!$F$4,'SIP Schedule'!C1913+1,"")</f>
        <v/>
      </c>
      <c r="D1914" s="27" t="str">
        <f>IF(C1914&lt;='Investment Calculator'!$C$8*'Investment Calculator'!$F$4,'Investment Calculator'!$C$6,"")</f>
        <v/>
      </c>
      <c r="E1914" s="27" t="str">
        <f>IFERROR((F1913+D1914)*'Investment Calculator'!$C$7/'Investment Calculator'!$F$4,"")</f>
        <v/>
      </c>
      <c r="F1914" s="27" t="str">
        <f>IFERROR(ABS(FV('Investment Calculator'!$C$7/'Investment Calculator'!$F$4,'SIP Schedule'!C1914,'SIP Schedule'!D1914,,1)),"")</f>
        <v/>
      </c>
    </row>
    <row r="1915" spans="3:6" x14ac:dyDescent="0.3">
      <c r="C1915" s="1" t="str">
        <f>IF(C1914&lt;'Investment Calculator'!$C$8*'Investment Calculator'!$F$4,'SIP Schedule'!C1914+1,"")</f>
        <v/>
      </c>
      <c r="D1915" s="27" t="str">
        <f>IF(C1915&lt;='Investment Calculator'!$C$8*'Investment Calculator'!$F$4,'Investment Calculator'!$C$6,"")</f>
        <v/>
      </c>
      <c r="E1915" s="27" t="str">
        <f>IFERROR((F1914+D1915)*'Investment Calculator'!$C$7/'Investment Calculator'!$F$4,"")</f>
        <v/>
      </c>
      <c r="F1915" s="27" t="str">
        <f>IFERROR(ABS(FV('Investment Calculator'!$C$7/'Investment Calculator'!$F$4,'SIP Schedule'!C1915,'SIP Schedule'!D1915,,1)),"")</f>
        <v/>
      </c>
    </row>
    <row r="1916" spans="3:6" x14ac:dyDescent="0.3">
      <c r="C1916" s="1" t="str">
        <f>IF(C1915&lt;'Investment Calculator'!$C$8*'Investment Calculator'!$F$4,'SIP Schedule'!C1915+1,"")</f>
        <v/>
      </c>
      <c r="D1916" s="27" t="str">
        <f>IF(C1916&lt;='Investment Calculator'!$C$8*'Investment Calculator'!$F$4,'Investment Calculator'!$C$6,"")</f>
        <v/>
      </c>
      <c r="E1916" s="27" t="str">
        <f>IFERROR((F1915+D1916)*'Investment Calculator'!$C$7/'Investment Calculator'!$F$4,"")</f>
        <v/>
      </c>
      <c r="F1916" s="27" t="str">
        <f>IFERROR(ABS(FV('Investment Calculator'!$C$7/'Investment Calculator'!$F$4,'SIP Schedule'!C1916,'SIP Schedule'!D1916,,1)),"")</f>
        <v/>
      </c>
    </row>
    <row r="1917" spans="3:6" x14ac:dyDescent="0.3">
      <c r="C1917" s="1" t="str">
        <f>IF(C1916&lt;'Investment Calculator'!$C$8*'Investment Calculator'!$F$4,'SIP Schedule'!C1916+1,"")</f>
        <v/>
      </c>
      <c r="D1917" s="27" t="str">
        <f>IF(C1917&lt;='Investment Calculator'!$C$8*'Investment Calculator'!$F$4,'Investment Calculator'!$C$6,"")</f>
        <v/>
      </c>
      <c r="E1917" s="27" t="str">
        <f>IFERROR((F1916+D1917)*'Investment Calculator'!$C$7/'Investment Calculator'!$F$4,"")</f>
        <v/>
      </c>
      <c r="F1917" s="27" t="str">
        <f>IFERROR(ABS(FV('Investment Calculator'!$C$7/'Investment Calculator'!$F$4,'SIP Schedule'!C1917,'SIP Schedule'!D1917,,1)),"")</f>
        <v/>
      </c>
    </row>
    <row r="1918" spans="3:6" x14ac:dyDescent="0.3">
      <c r="C1918" s="1" t="str">
        <f>IF(C1917&lt;'Investment Calculator'!$C$8*'Investment Calculator'!$F$4,'SIP Schedule'!C1917+1,"")</f>
        <v/>
      </c>
      <c r="D1918" s="27" t="str">
        <f>IF(C1918&lt;='Investment Calculator'!$C$8*'Investment Calculator'!$F$4,'Investment Calculator'!$C$6,"")</f>
        <v/>
      </c>
      <c r="E1918" s="27" t="str">
        <f>IFERROR((F1917+D1918)*'Investment Calculator'!$C$7/'Investment Calculator'!$F$4,"")</f>
        <v/>
      </c>
      <c r="F1918" s="27" t="str">
        <f>IFERROR(ABS(FV('Investment Calculator'!$C$7/'Investment Calculator'!$F$4,'SIP Schedule'!C1918,'SIP Schedule'!D1918,,1)),"")</f>
        <v/>
      </c>
    </row>
    <row r="1919" spans="3:6" x14ac:dyDescent="0.3">
      <c r="C1919" s="1" t="str">
        <f>IF(C1918&lt;'Investment Calculator'!$C$8*'Investment Calculator'!$F$4,'SIP Schedule'!C1918+1,"")</f>
        <v/>
      </c>
      <c r="D1919" s="27" t="str">
        <f>IF(C1919&lt;='Investment Calculator'!$C$8*'Investment Calculator'!$F$4,'Investment Calculator'!$C$6,"")</f>
        <v/>
      </c>
      <c r="E1919" s="27" t="str">
        <f>IFERROR((F1918+D1919)*'Investment Calculator'!$C$7/'Investment Calculator'!$F$4,"")</f>
        <v/>
      </c>
      <c r="F1919" s="27" t="str">
        <f>IFERROR(ABS(FV('Investment Calculator'!$C$7/'Investment Calculator'!$F$4,'SIP Schedule'!C1919,'SIP Schedule'!D1919,,1)),"")</f>
        <v/>
      </c>
    </row>
    <row r="1920" spans="3:6" x14ac:dyDescent="0.3">
      <c r="C1920" s="1" t="str">
        <f>IF(C1919&lt;'Investment Calculator'!$C$8*'Investment Calculator'!$F$4,'SIP Schedule'!C1919+1,"")</f>
        <v/>
      </c>
      <c r="D1920" s="27" t="str">
        <f>IF(C1920&lt;='Investment Calculator'!$C$8*'Investment Calculator'!$F$4,'Investment Calculator'!$C$6,"")</f>
        <v/>
      </c>
      <c r="E1920" s="27" t="str">
        <f>IFERROR((F1919+D1920)*'Investment Calculator'!$C$7/'Investment Calculator'!$F$4,"")</f>
        <v/>
      </c>
      <c r="F1920" s="27" t="str">
        <f>IFERROR(ABS(FV('Investment Calculator'!$C$7/'Investment Calculator'!$F$4,'SIP Schedule'!C1920,'SIP Schedule'!D1920,,1)),"")</f>
        <v/>
      </c>
    </row>
    <row r="1921" spans="3:6" x14ac:dyDescent="0.3">
      <c r="C1921" s="1" t="str">
        <f>IF(C1920&lt;'Investment Calculator'!$C$8*'Investment Calculator'!$F$4,'SIP Schedule'!C1920+1,"")</f>
        <v/>
      </c>
      <c r="D1921" s="27" t="str">
        <f>IF(C1921&lt;='Investment Calculator'!$C$8*'Investment Calculator'!$F$4,'Investment Calculator'!$C$6,"")</f>
        <v/>
      </c>
      <c r="E1921" s="27" t="str">
        <f>IFERROR((F1920+D1921)*'Investment Calculator'!$C$7/'Investment Calculator'!$F$4,"")</f>
        <v/>
      </c>
      <c r="F1921" s="27" t="str">
        <f>IFERROR(ABS(FV('Investment Calculator'!$C$7/'Investment Calculator'!$F$4,'SIP Schedule'!C1921,'SIP Schedule'!D1921,,1)),"")</f>
        <v/>
      </c>
    </row>
    <row r="1922" spans="3:6" x14ac:dyDescent="0.3">
      <c r="C1922" s="1" t="str">
        <f>IF(C1921&lt;'Investment Calculator'!$C$8*'Investment Calculator'!$F$4,'SIP Schedule'!C1921+1,"")</f>
        <v/>
      </c>
      <c r="D1922" s="27" t="str">
        <f>IF(C1922&lt;='Investment Calculator'!$C$8*'Investment Calculator'!$F$4,'Investment Calculator'!$C$6,"")</f>
        <v/>
      </c>
      <c r="E1922" s="27" t="str">
        <f>IFERROR((F1921+D1922)*'Investment Calculator'!$C$7/'Investment Calculator'!$F$4,"")</f>
        <v/>
      </c>
      <c r="F1922" s="27" t="str">
        <f>IFERROR(ABS(FV('Investment Calculator'!$C$7/'Investment Calculator'!$F$4,'SIP Schedule'!C1922,'SIP Schedule'!D1922,,1)),"")</f>
        <v/>
      </c>
    </row>
    <row r="1923" spans="3:6" x14ac:dyDescent="0.3">
      <c r="C1923" s="1" t="str">
        <f>IF(C1922&lt;'Investment Calculator'!$C$8*'Investment Calculator'!$F$4,'SIP Schedule'!C1922+1,"")</f>
        <v/>
      </c>
      <c r="D1923" s="27" t="str">
        <f>IF(C1923&lt;='Investment Calculator'!$C$8*'Investment Calculator'!$F$4,'Investment Calculator'!$C$6,"")</f>
        <v/>
      </c>
      <c r="E1923" s="27" t="str">
        <f>IFERROR((F1922+D1923)*'Investment Calculator'!$C$7/'Investment Calculator'!$F$4,"")</f>
        <v/>
      </c>
      <c r="F1923" s="27" t="str">
        <f>IFERROR(ABS(FV('Investment Calculator'!$C$7/'Investment Calculator'!$F$4,'SIP Schedule'!C1923,'SIP Schedule'!D1923,,1)),"")</f>
        <v/>
      </c>
    </row>
    <row r="1924" spans="3:6" x14ac:dyDescent="0.3">
      <c r="C1924" s="1" t="str">
        <f>IF(C1923&lt;'Investment Calculator'!$C$8*'Investment Calculator'!$F$4,'SIP Schedule'!C1923+1,"")</f>
        <v/>
      </c>
      <c r="D1924" s="27" t="str">
        <f>IF(C1924&lt;='Investment Calculator'!$C$8*'Investment Calculator'!$F$4,'Investment Calculator'!$C$6,"")</f>
        <v/>
      </c>
      <c r="E1924" s="27" t="str">
        <f>IFERROR((F1923+D1924)*'Investment Calculator'!$C$7/'Investment Calculator'!$F$4,"")</f>
        <v/>
      </c>
      <c r="F1924" s="27" t="str">
        <f>IFERROR(ABS(FV('Investment Calculator'!$C$7/'Investment Calculator'!$F$4,'SIP Schedule'!C1924,'SIP Schedule'!D1924,,1)),"")</f>
        <v/>
      </c>
    </row>
    <row r="1925" spans="3:6" x14ac:dyDescent="0.3">
      <c r="C1925" s="1" t="str">
        <f>IF(C1924&lt;'Investment Calculator'!$C$8*'Investment Calculator'!$F$4,'SIP Schedule'!C1924+1,"")</f>
        <v/>
      </c>
      <c r="D1925" s="27" t="str">
        <f>IF(C1925&lt;='Investment Calculator'!$C$8*'Investment Calculator'!$F$4,'Investment Calculator'!$C$6,"")</f>
        <v/>
      </c>
      <c r="E1925" s="27" t="str">
        <f>IFERROR((F1924+D1925)*'Investment Calculator'!$C$7/'Investment Calculator'!$F$4,"")</f>
        <v/>
      </c>
      <c r="F1925" s="27" t="str">
        <f>IFERROR(ABS(FV('Investment Calculator'!$C$7/'Investment Calculator'!$F$4,'SIP Schedule'!C1925,'SIP Schedule'!D1925,,1)),"")</f>
        <v/>
      </c>
    </row>
    <row r="1926" spans="3:6" x14ac:dyDescent="0.3">
      <c r="C1926" s="1" t="str">
        <f>IF(C1925&lt;'Investment Calculator'!$C$8*'Investment Calculator'!$F$4,'SIP Schedule'!C1925+1,"")</f>
        <v/>
      </c>
      <c r="D1926" s="27" t="str">
        <f>IF(C1926&lt;='Investment Calculator'!$C$8*'Investment Calculator'!$F$4,'Investment Calculator'!$C$6,"")</f>
        <v/>
      </c>
      <c r="E1926" s="27" t="str">
        <f>IFERROR((F1925+D1926)*'Investment Calculator'!$C$7/'Investment Calculator'!$F$4,"")</f>
        <v/>
      </c>
      <c r="F1926" s="27" t="str">
        <f>IFERROR(ABS(FV('Investment Calculator'!$C$7/'Investment Calculator'!$F$4,'SIP Schedule'!C1926,'SIP Schedule'!D1926,,1)),"")</f>
        <v/>
      </c>
    </row>
    <row r="1927" spans="3:6" x14ac:dyDescent="0.3">
      <c r="C1927" s="1" t="str">
        <f>IF(C1926&lt;'Investment Calculator'!$C$8*'Investment Calculator'!$F$4,'SIP Schedule'!C1926+1,"")</f>
        <v/>
      </c>
      <c r="D1927" s="27" t="str">
        <f>IF(C1927&lt;='Investment Calculator'!$C$8*'Investment Calculator'!$F$4,'Investment Calculator'!$C$6,"")</f>
        <v/>
      </c>
      <c r="E1927" s="27" t="str">
        <f>IFERROR((F1926+D1927)*'Investment Calculator'!$C$7/'Investment Calculator'!$F$4,"")</f>
        <v/>
      </c>
      <c r="F1927" s="27" t="str">
        <f>IFERROR(ABS(FV('Investment Calculator'!$C$7/'Investment Calculator'!$F$4,'SIP Schedule'!C1927,'SIP Schedule'!D1927,,1)),"")</f>
        <v/>
      </c>
    </row>
    <row r="1928" spans="3:6" x14ac:dyDescent="0.3">
      <c r="C1928" s="1" t="str">
        <f>IF(C1927&lt;'Investment Calculator'!$C$8*'Investment Calculator'!$F$4,'SIP Schedule'!C1927+1,"")</f>
        <v/>
      </c>
      <c r="D1928" s="27" t="str">
        <f>IF(C1928&lt;='Investment Calculator'!$C$8*'Investment Calculator'!$F$4,'Investment Calculator'!$C$6,"")</f>
        <v/>
      </c>
      <c r="E1928" s="27" t="str">
        <f>IFERROR((F1927+D1928)*'Investment Calculator'!$C$7/'Investment Calculator'!$F$4,"")</f>
        <v/>
      </c>
      <c r="F1928" s="27" t="str">
        <f>IFERROR(ABS(FV('Investment Calculator'!$C$7/'Investment Calculator'!$F$4,'SIP Schedule'!C1928,'SIP Schedule'!D1928,,1)),"")</f>
        <v/>
      </c>
    </row>
    <row r="1929" spans="3:6" x14ac:dyDescent="0.3">
      <c r="C1929" s="1" t="str">
        <f>IF(C1928&lt;'Investment Calculator'!$C$8*'Investment Calculator'!$F$4,'SIP Schedule'!C1928+1,"")</f>
        <v/>
      </c>
      <c r="D1929" s="27" t="str">
        <f>IF(C1929&lt;='Investment Calculator'!$C$8*'Investment Calculator'!$F$4,'Investment Calculator'!$C$6,"")</f>
        <v/>
      </c>
      <c r="E1929" s="27" t="str">
        <f>IFERROR((F1928+D1929)*'Investment Calculator'!$C$7/'Investment Calculator'!$F$4,"")</f>
        <v/>
      </c>
      <c r="F1929" s="27" t="str">
        <f>IFERROR(ABS(FV('Investment Calculator'!$C$7/'Investment Calculator'!$F$4,'SIP Schedule'!C1929,'SIP Schedule'!D1929,,1)),"")</f>
        <v/>
      </c>
    </row>
    <row r="1930" spans="3:6" x14ac:dyDescent="0.3">
      <c r="C1930" s="1" t="str">
        <f>IF(C1929&lt;'Investment Calculator'!$C$8*'Investment Calculator'!$F$4,'SIP Schedule'!C1929+1,"")</f>
        <v/>
      </c>
      <c r="D1930" s="27" t="str">
        <f>IF(C1930&lt;='Investment Calculator'!$C$8*'Investment Calculator'!$F$4,'Investment Calculator'!$C$6,"")</f>
        <v/>
      </c>
      <c r="E1930" s="27" t="str">
        <f>IFERROR((F1929+D1930)*'Investment Calculator'!$C$7/'Investment Calculator'!$F$4,"")</f>
        <v/>
      </c>
      <c r="F1930" s="27" t="str">
        <f>IFERROR(ABS(FV('Investment Calculator'!$C$7/'Investment Calculator'!$F$4,'SIP Schedule'!C1930,'SIP Schedule'!D1930,,1)),"")</f>
        <v/>
      </c>
    </row>
    <row r="1931" spans="3:6" x14ac:dyDescent="0.3">
      <c r="C1931" s="1" t="str">
        <f>IF(C1930&lt;'Investment Calculator'!$C$8*'Investment Calculator'!$F$4,'SIP Schedule'!C1930+1,"")</f>
        <v/>
      </c>
      <c r="D1931" s="27" t="str">
        <f>IF(C1931&lt;='Investment Calculator'!$C$8*'Investment Calculator'!$F$4,'Investment Calculator'!$C$6,"")</f>
        <v/>
      </c>
      <c r="E1931" s="27" t="str">
        <f>IFERROR((F1930+D1931)*'Investment Calculator'!$C$7/'Investment Calculator'!$F$4,"")</f>
        <v/>
      </c>
      <c r="F1931" s="27" t="str">
        <f>IFERROR(ABS(FV('Investment Calculator'!$C$7/'Investment Calculator'!$F$4,'SIP Schedule'!C1931,'SIP Schedule'!D1931,,1)),"")</f>
        <v/>
      </c>
    </row>
    <row r="1932" spans="3:6" x14ac:dyDescent="0.3">
      <c r="C1932" s="1" t="str">
        <f>IF(C1931&lt;'Investment Calculator'!$C$8*'Investment Calculator'!$F$4,'SIP Schedule'!C1931+1,"")</f>
        <v/>
      </c>
      <c r="D1932" s="27" t="str">
        <f>IF(C1932&lt;='Investment Calculator'!$C$8*'Investment Calculator'!$F$4,'Investment Calculator'!$C$6,"")</f>
        <v/>
      </c>
      <c r="E1932" s="27" t="str">
        <f>IFERROR((F1931+D1932)*'Investment Calculator'!$C$7/'Investment Calculator'!$F$4,"")</f>
        <v/>
      </c>
      <c r="F1932" s="27" t="str">
        <f>IFERROR(ABS(FV('Investment Calculator'!$C$7/'Investment Calculator'!$F$4,'SIP Schedule'!C1932,'SIP Schedule'!D1932,,1)),"")</f>
        <v/>
      </c>
    </row>
    <row r="1933" spans="3:6" x14ac:dyDescent="0.3">
      <c r="C1933" s="1" t="str">
        <f>IF(C1932&lt;'Investment Calculator'!$C$8*'Investment Calculator'!$F$4,'SIP Schedule'!C1932+1,"")</f>
        <v/>
      </c>
      <c r="D1933" s="27" t="str">
        <f>IF(C1933&lt;='Investment Calculator'!$C$8*'Investment Calculator'!$F$4,'Investment Calculator'!$C$6,"")</f>
        <v/>
      </c>
      <c r="E1933" s="27" t="str">
        <f>IFERROR((F1932+D1933)*'Investment Calculator'!$C$7/'Investment Calculator'!$F$4,"")</f>
        <v/>
      </c>
      <c r="F1933" s="27" t="str">
        <f>IFERROR(ABS(FV('Investment Calculator'!$C$7/'Investment Calculator'!$F$4,'SIP Schedule'!C1933,'SIP Schedule'!D1933,,1)),"")</f>
        <v/>
      </c>
    </row>
    <row r="1934" spans="3:6" x14ac:dyDescent="0.3">
      <c r="C1934" s="1" t="str">
        <f>IF(C1933&lt;'Investment Calculator'!$C$8*'Investment Calculator'!$F$4,'SIP Schedule'!C1933+1,"")</f>
        <v/>
      </c>
      <c r="D1934" s="27" t="str">
        <f>IF(C1934&lt;='Investment Calculator'!$C$8*'Investment Calculator'!$F$4,'Investment Calculator'!$C$6,"")</f>
        <v/>
      </c>
      <c r="E1934" s="27" t="str">
        <f>IFERROR((F1933+D1934)*'Investment Calculator'!$C$7/'Investment Calculator'!$F$4,"")</f>
        <v/>
      </c>
      <c r="F1934" s="27" t="str">
        <f>IFERROR(ABS(FV('Investment Calculator'!$C$7/'Investment Calculator'!$F$4,'SIP Schedule'!C1934,'SIP Schedule'!D1934,,1)),"")</f>
        <v/>
      </c>
    </row>
    <row r="1935" spans="3:6" x14ac:dyDescent="0.3">
      <c r="C1935" s="1" t="str">
        <f>IF(C1934&lt;'Investment Calculator'!$C$8*'Investment Calculator'!$F$4,'SIP Schedule'!C1934+1,"")</f>
        <v/>
      </c>
      <c r="D1935" s="27" t="str">
        <f>IF(C1935&lt;='Investment Calculator'!$C$8*'Investment Calculator'!$F$4,'Investment Calculator'!$C$6,"")</f>
        <v/>
      </c>
      <c r="E1935" s="27" t="str">
        <f>IFERROR((F1934+D1935)*'Investment Calculator'!$C$7/'Investment Calculator'!$F$4,"")</f>
        <v/>
      </c>
      <c r="F1935" s="27" t="str">
        <f>IFERROR(ABS(FV('Investment Calculator'!$C$7/'Investment Calculator'!$F$4,'SIP Schedule'!C1935,'SIP Schedule'!D1935,,1)),"")</f>
        <v/>
      </c>
    </row>
    <row r="1936" spans="3:6" x14ac:dyDescent="0.3">
      <c r="C1936" s="1" t="str">
        <f>IF(C1935&lt;'Investment Calculator'!$C$8*'Investment Calculator'!$F$4,'SIP Schedule'!C1935+1,"")</f>
        <v/>
      </c>
      <c r="D1936" s="27" t="str">
        <f>IF(C1936&lt;='Investment Calculator'!$C$8*'Investment Calculator'!$F$4,'Investment Calculator'!$C$6,"")</f>
        <v/>
      </c>
      <c r="E1936" s="27" t="str">
        <f>IFERROR((F1935+D1936)*'Investment Calculator'!$C$7/'Investment Calculator'!$F$4,"")</f>
        <v/>
      </c>
      <c r="F1936" s="27" t="str">
        <f>IFERROR(ABS(FV('Investment Calculator'!$C$7/'Investment Calculator'!$F$4,'SIP Schedule'!C1936,'SIP Schedule'!D1936,,1)),"")</f>
        <v/>
      </c>
    </row>
    <row r="1937" spans="3:6" x14ac:dyDescent="0.3">
      <c r="C1937" s="1" t="str">
        <f>IF(C1936&lt;'Investment Calculator'!$C$8*'Investment Calculator'!$F$4,'SIP Schedule'!C1936+1,"")</f>
        <v/>
      </c>
      <c r="D1937" s="27" t="str">
        <f>IF(C1937&lt;='Investment Calculator'!$C$8*'Investment Calculator'!$F$4,'Investment Calculator'!$C$6,"")</f>
        <v/>
      </c>
      <c r="E1937" s="27" t="str">
        <f>IFERROR((F1936+D1937)*'Investment Calculator'!$C$7/'Investment Calculator'!$F$4,"")</f>
        <v/>
      </c>
      <c r="F1937" s="27" t="str">
        <f>IFERROR(ABS(FV('Investment Calculator'!$C$7/'Investment Calculator'!$F$4,'SIP Schedule'!C1937,'SIP Schedule'!D1937,,1)),"")</f>
        <v/>
      </c>
    </row>
    <row r="1938" spans="3:6" x14ac:dyDescent="0.3">
      <c r="C1938" s="1" t="str">
        <f>IF(C1937&lt;'Investment Calculator'!$C$8*'Investment Calculator'!$F$4,'SIP Schedule'!C1937+1,"")</f>
        <v/>
      </c>
      <c r="D1938" s="27" t="str">
        <f>IF(C1938&lt;='Investment Calculator'!$C$8*'Investment Calculator'!$F$4,'Investment Calculator'!$C$6,"")</f>
        <v/>
      </c>
      <c r="E1938" s="27" t="str">
        <f>IFERROR((F1937+D1938)*'Investment Calculator'!$C$7/'Investment Calculator'!$F$4,"")</f>
        <v/>
      </c>
      <c r="F1938" s="27" t="str">
        <f>IFERROR(ABS(FV('Investment Calculator'!$C$7/'Investment Calculator'!$F$4,'SIP Schedule'!C1938,'SIP Schedule'!D1938,,1)),"")</f>
        <v/>
      </c>
    </row>
    <row r="1939" spans="3:6" x14ac:dyDescent="0.3">
      <c r="C1939" s="1" t="str">
        <f>IF(C1938&lt;'Investment Calculator'!$C$8*'Investment Calculator'!$F$4,'SIP Schedule'!C1938+1,"")</f>
        <v/>
      </c>
      <c r="D1939" s="27" t="str">
        <f>IF(C1939&lt;='Investment Calculator'!$C$8*'Investment Calculator'!$F$4,'Investment Calculator'!$C$6,"")</f>
        <v/>
      </c>
      <c r="E1939" s="27" t="str">
        <f>IFERROR((F1938+D1939)*'Investment Calculator'!$C$7/'Investment Calculator'!$F$4,"")</f>
        <v/>
      </c>
      <c r="F1939" s="27" t="str">
        <f>IFERROR(ABS(FV('Investment Calculator'!$C$7/'Investment Calculator'!$F$4,'SIP Schedule'!C1939,'SIP Schedule'!D1939,,1)),"")</f>
        <v/>
      </c>
    </row>
    <row r="1940" spans="3:6" x14ac:dyDescent="0.3">
      <c r="C1940" s="1" t="str">
        <f>IF(C1939&lt;'Investment Calculator'!$C$8*'Investment Calculator'!$F$4,'SIP Schedule'!C1939+1,"")</f>
        <v/>
      </c>
      <c r="D1940" s="27" t="str">
        <f>IF(C1940&lt;='Investment Calculator'!$C$8*'Investment Calculator'!$F$4,'Investment Calculator'!$C$6,"")</f>
        <v/>
      </c>
      <c r="E1940" s="27" t="str">
        <f>IFERROR((F1939+D1940)*'Investment Calculator'!$C$7/'Investment Calculator'!$F$4,"")</f>
        <v/>
      </c>
      <c r="F1940" s="27" t="str">
        <f>IFERROR(ABS(FV('Investment Calculator'!$C$7/'Investment Calculator'!$F$4,'SIP Schedule'!C1940,'SIP Schedule'!D1940,,1)),"")</f>
        <v/>
      </c>
    </row>
    <row r="1941" spans="3:6" x14ac:dyDescent="0.3">
      <c r="C1941" s="1" t="str">
        <f>IF(C1940&lt;'Investment Calculator'!$C$8*'Investment Calculator'!$F$4,'SIP Schedule'!C1940+1,"")</f>
        <v/>
      </c>
      <c r="D1941" s="27" t="str">
        <f>IF(C1941&lt;='Investment Calculator'!$C$8*'Investment Calculator'!$F$4,'Investment Calculator'!$C$6,"")</f>
        <v/>
      </c>
      <c r="E1941" s="27" t="str">
        <f>IFERROR((F1940+D1941)*'Investment Calculator'!$C$7/'Investment Calculator'!$F$4,"")</f>
        <v/>
      </c>
      <c r="F1941" s="27" t="str">
        <f>IFERROR(ABS(FV('Investment Calculator'!$C$7/'Investment Calculator'!$F$4,'SIP Schedule'!C1941,'SIP Schedule'!D1941,,1)),"")</f>
        <v/>
      </c>
    </row>
    <row r="1942" spans="3:6" x14ac:dyDescent="0.3">
      <c r="C1942" s="1" t="str">
        <f>IF(C1941&lt;'Investment Calculator'!$C$8*'Investment Calculator'!$F$4,'SIP Schedule'!C1941+1,"")</f>
        <v/>
      </c>
      <c r="D1942" s="27" t="str">
        <f>IF(C1942&lt;='Investment Calculator'!$C$8*'Investment Calculator'!$F$4,'Investment Calculator'!$C$6,"")</f>
        <v/>
      </c>
      <c r="E1942" s="27" t="str">
        <f>IFERROR((F1941+D1942)*'Investment Calculator'!$C$7/'Investment Calculator'!$F$4,"")</f>
        <v/>
      </c>
      <c r="F1942" s="27" t="str">
        <f>IFERROR(ABS(FV('Investment Calculator'!$C$7/'Investment Calculator'!$F$4,'SIP Schedule'!C1942,'SIP Schedule'!D1942,,1)),"")</f>
        <v/>
      </c>
    </row>
    <row r="1943" spans="3:6" x14ac:dyDescent="0.3">
      <c r="C1943" s="1" t="str">
        <f>IF(C1942&lt;'Investment Calculator'!$C$8*'Investment Calculator'!$F$4,'SIP Schedule'!C1942+1,"")</f>
        <v/>
      </c>
      <c r="D1943" s="27" t="str">
        <f>IF(C1943&lt;='Investment Calculator'!$C$8*'Investment Calculator'!$F$4,'Investment Calculator'!$C$6,"")</f>
        <v/>
      </c>
      <c r="E1943" s="27" t="str">
        <f>IFERROR((F1942+D1943)*'Investment Calculator'!$C$7/'Investment Calculator'!$F$4,"")</f>
        <v/>
      </c>
      <c r="F1943" s="27" t="str">
        <f>IFERROR(ABS(FV('Investment Calculator'!$C$7/'Investment Calculator'!$F$4,'SIP Schedule'!C1943,'SIP Schedule'!D1943,,1)),"")</f>
        <v/>
      </c>
    </row>
    <row r="1944" spans="3:6" x14ac:dyDescent="0.3">
      <c r="C1944" s="1" t="str">
        <f>IF(C1943&lt;'Investment Calculator'!$C$8*'Investment Calculator'!$F$4,'SIP Schedule'!C1943+1,"")</f>
        <v/>
      </c>
      <c r="D1944" s="27" t="str">
        <f>IF(C1944&lt;='Investment Calculator'!$C$8*'Investment Calculator'!$F$4,'Investment Calculator'!$C$6,"")</f>
        <v/>
      </c>
      <c r="E1944" s="27" t="str">
        <f>IFERROR((F1943+D1944)*'Investment Calculator'!$C$7/'Investment Calculator'!$F$4,"")</f>
        <v/>
      </c>
      <c r="F1944" s="27" t="str">
        <f>IFERROR(ABS(FV('Investment Calculator'!$C$7/'Investment Calculator'!$F$4,'SIP Schedule'!C1944,'SIP Schedule'!D1944,,1)),"")</f>
        <v/>
      </c>
    </row>
    <row r="1945" spans="3:6" x14ac:dyDescent="0.3">
      <c r="C1945" s="1" t="str">
        <f>IF(C1944&lt;'Investment Calculator'!$C$8*'Investment Calculator'!$F$4,'SIP Schedule'!C1944+1,"")</f>
        <v/>
      </c>
      <c r="D1945" s="27" t="str">
        <f>IF(C1945&lt;='Investment Calculator'!$C$8*'Investment Calculator'!$F$4,'Investment Calculator'!$C$6,"")</f>
        <v/>
      </c>
      <c r="E1945" s="27" t="str">
        <f>IFERROR((F1944+D1945)*'Investment Calculator'!$C$7/'Investment Calculator'!$F$4,"")</f>
        <v/>
      </c>
      <c r="F1945" s="27" t="str">
        <f>IFERROR(ABS(FV('Investment Calculator'!$C$7/'Investment Calculator'!$F$4,'SIP Schedule'!C1945,'SIP Schedule'!D1945,,1)),"")</f>
        <v/>
      </c>
    </row>
    <row r="1946" spans="3:6" x14ac:dyDescent="0.3">
      <c r="C1946" s="1" t="str">
        <f>IF(C1945&lt;'Investment Calculator'!$C$8*'Investment Calculator'!$F$4,'SIP Schedule'!C1945+1,"")</f>
        <v/>
      </c>
      <c r="D1946" s="27" t="str">
        <f>IF(C1946&lt;='Investment Calculator'!$C$8*'Investment Calculator'!$F$4,'Investment Calculator'!$C$6,"")</f>
        <v/>
      </c>
      <c r="E1946" s="27" t="str">
        <f>IFERROR((F1945+D1946)*'Investment Calculator'!$C$7/'Investment Calculator'!$F$4,"")</f>
        <v/>
      </c>
      <c r="F1946" s="27" t="str">
        <f>IFERROR(ABS(FV('Investment Calculator'!$C$7/'Investment Calculator'!$F$4,'SIP Schedule'!C1946,'SIP Schedule'!D1946,,1)),"")</f>
        <v/>
      </c>
    </row>
    <row r="1947" spans="3:6" x14ac:dyDescent="0.3">
      <c r="C1947" s="1" t="str">
        <f>IF(C1946&lt;'Investment Calculator'!$C$8*'Investment Calculator'!$F$4,'SIP Schedule'!C1946+1,"")</f>
        <v/>
      </c>
      <c r="D1947" s="27" t="str">
        <f>IF(C1947&lt;='Investment Calculator'!$C$8*'Investment Calculator'!$F$4,'Investment Calculator'!$C$6,"")</f>
        <v/>
      </c>
      <c r="E1947" s="27" t="str">
        <f>IFERROR((F1946+D1947)*'Investment Calculator'!$C$7/'Investment Calculator'!$F$4,"")</f>
        <v/>
      </c>
      <c r="F1947" s="27" t="str">
        <f>IFERROR(ABS(FV('Investment Calculator'!$C$7/'Investment Calculator'!$F$4,'SIP Schedule'!C1947,'SIP Schedule'!D1947,,1)),"")</f>
        <v/>
      </c>
    </row>
    <row r="1948" spans="3:6" x14ac:dyDescent="0.3">
      <c r="C1948" s="1" t="str">
        <f>IF(C1947&lt;'Investment Calculator'!$C$8*'Investment Calculator'!$F$4,'SIP Schedule'!C1947+1,"")</f>
        <v/>
      </c>
      <c r="D1948" s="27" t="str">
        <f>IF(C1948&lt;='Investment Calculator'!$C$8*'Investment Calculator'!$F$4,'Investment Calculator'!$C$6,"")</f>
        <v/>
      </c>
      <c r="E1948" s="27" t="str">
        <f>IFERROR((F1947+D1948)*'Investment Calculator'!$C$7/'Investment Calculator'!$F$4,"")</f>
        <v/>
      </c>
      <c r="F1948" s="27" t="str">
        <f>IFERROR(ABS(FV('Investment Calculator'!$C$7/'Investment Calculator'!$F$4,'SIP Schedule'!C1948,'SIP Schedule'!D1948,,1)),"")</f>
        <v/>
      </c>
    </row>
    <row r="1949" spans="3:6" x14ac:dyDescent="0.3">
      <c r="C1949" s="1" t="str">
        <f>IF(C1948&lt;'Investment Calculator'!$C$8*'Investment Calculator'!$F$4,'SIP Schedule'!C1948+1,"")</f>
        <v/>
      </c>
      <c r="D1949" s="27" t="str">
        <f>IF(C1949&lt;='Investment Calculator'!$C$8*'Investment Calculator'!$F$4,'Investment Calculator'!$C$6,"")</f>
        <v/>
      </c>
      <c r="E1949" s="27" t="str">
        <f>IFERROR((F1948+D1949)*'Investment Calculator'!$C$7/'Investment Calculator'!$F$4,"")</f>
        <v/>
      </c>
      <c r="F1949" s="27" t="str">
        <f>IFERROR(ABS(FV('Investment Calculator'!$C$7/'Investment Calculator'!$F$4,'SIP Schedule'!C1949,'SIP Schedule'!D1949,,1)),"")</f>
        <v/>
      </c>
    </row>
    <row r="1950" spans="3:6" x14ac:dyDescent="0.3">
      <c r="C1950" s="1" t="str">
        <f>IF(C1949&lt;'Investment Calculator'!$C$8*'Investment Calculator'!$F$4,'SIP Schedule'!C1949+1,"")</f>
        <v/>
      </c>
      <c r="D1950" s="27" t="str">
        <f>IF(C1950&lt;='Investment Calculator'!$C$8*'Investment Calculator'!$F$4,'Investment Calculator'!$C$6,"")</f>
        <v/>
      </c>
      <c r="E1950" s="27" t="str">
        <f>IFERROR((F1949+D1950)*'Investment Calculator'!$C$7/'Investment Calculator'!$F$4,"")</f>
        <v/>
      </c>
      <c r="F1950" s="27" t="str">
        <f>IFERROR(ABS(FV('Investment Calculator'!$C$7/'Investment Calculator'!$F$4,'SIP Schedule'!C1950,'SIP Schedule'!D1950,,1)),"")</f>
        <v/>
      </c>
    </row>
    <row r="1951" spans="3:6" x14ac:dyDescent="0.3">
      <c r="C1951" s="1" t="str">
        <f>IF(C1950&lt;'Investment Calculator'!$C$8*'Investment Calculator'!$F$4,'SIP Schedule'!C1950+1,"")</f>
        <v/>
      </c>
      <c r="D1951" s="27" t="str">
        <f>IF(C1951&lt;='Investment Calculator'!$C$8*'Investment Calculator'!$F$4,'Investment Calculator'!$C$6,"")</f>
        <v/>
      </c>
      <c r="E1951" s="27" t="str">
        <f>IFERROR((F1950+D1951)*'Investment Calculator'!$C$7/'Investment Calculator'!$F$4,"")</f>
        <v/>
      </c>
      <c r="F1951" s="27" t="str">
        <f>IFERROR(ABS(FV('Investment Calculator'!$C$7/'Investment Calculator'!$F$4,'SIP Schedule'!C1951,'SIP Schedule'!D1951,,1)),"")</f>
        <v/>
      </c>
    </row>
    <row r="1952" spans="3:6" x14ac:dyDescent="0.3">
      <c r="C1952" s="1" t="str">
        <f>IF(C1951&lt;'Investment Calculator'!$C$8*'Investment Calculator'!$F$4,'SIP Schedule'!C1951+1,"")</f>
        <v/>
      </c>
      <c r="D1952" s="27" t="str">
        <f>IF(C1952&lt;='Investment Calculator'!$C$8*'Investment Calculator'!$F$4,'Investment Calculator'!$C$6,"")</f>
        <v/>
      </c>
      <c r="E1952" s="27" t="str">
        <f>IFERROR((F1951+D1952)*'Investment Calculator'!$C$7/'Investment Calculator'!$F$4,"")</f>
        <v/>
      </c>
      <c r="F1952" s="27" t="str">
        <f>IFERROR(ABS(FV('Investment Calculator'!$C$7/'Investment Calculator'!$F$4,'SIP Schedule'!C1952,'SIP Schedule'!D1952,,1)),"")</f>
        <v/>
      </c>
    </row>
    <row r="1953" spans="3:6" x14ac:dyDescent="0.3">
      <c r="C1953" s="1" t="str">
        <f>IF(C1952&lt;'Investment Calculator'!$C$8*'Investment Calculator'!$F$4,'SIP Schedule'!C1952+1,"")</f>
        <v/>
      </c>
      <c r="D1953" s="27" t="str">
        <f>IF(C1953&lt;='Investment Calculator'!$C$8*'Investment Calculator'!$F$4,'Investment Calculator'!$C$6,"")</f>
        <v/>
      </c>
      <c r="E1953" s="27" t="str">
        <f>IFERROR((F1952+D1953)*'Investment Calculator'!$C$7/'Investment Calculator'!$F$4,"")</f>
        <v/>
      </c>
      <c r="F1953" s="27" t="str">
        <f>IFERROR(ABS(FV('Investment Calculator'!$C$7/'Investment Calculator'!$F$4,'SIP Schedule'!C1953,'SIP Schedule'!D1953,,1)),"")</f>
        <v/>
      </c>
    </row>
    <row r="1954" spans="3:6" x14ac:dyDescent="0.3">
      <c r="C1954" s="1" t="str">
        <f>IF(C1953&lt;'Investment Calculator'!$C$8*'Investment Calculator'!$F$4,'SIP Schedule'!C1953+1,"")</f>
        <v/>
      </c>
      <c r="D1954" s="27" t="str">
        <f>IF(C1954&lt;='Investment Calculator'!$C$8*'Investment Calculator'!$F$4,'Investment Calculator'!$C$6,"")</f>
        <v/>
      </c>
      <c r="E1954" s="27" t="str">
        <f>IFERROR((F1953+D1954)*'Investment Calculator'!$C$7/'Investment Calculator'!$F$4,"")</f>
        <v/>
      </c>
      <c r="F1954" s="27" t="str">
        <f>IFERROR(ABS(FV('Investment Calculator'!$C$7/'Investment Calculator'!$F$4,'SIP Schedule'!C1954,'SIP Schedule'!D1954,,1)),"")</f>
        <v/>
      </c>
    </row>
    <row r="1955" spans="3:6" x14ac:dyDescent="0.3">
      <c r="C1955" s="1" t="str">
        <f>IF(C1954&lt;'Investment Calculator'!$C$8*'Investment Calculator'!$F$4,'SIP Schedule'!C1954+1,"")</f>
        <v/>
      </c>
      <c r="D1955" s="27" t="str">
        <f>IF(C1955&lt;='Investment Calculator'!$C$8*'Investment Calculator'!$F$4,'Investment Calculator'!$C$6,"")</f>
        <v/>
      </c>
      <c r="E1955" s="27" t="str">
        <f>IFERROR((F1954+D1955)*'Investment Calculator'!$C$7/'Investment Calculator'!$F$4,"")</f>
        <v/>
      </c>
      <c r="F1955" s="27" t="str">
        <f>IFERROR(ABS(FV('Investment Calculator'!$C$7/'Investment Calculator'!$F$4,'SIP Schedule'!C1955,'SIP Schedule'!D1955,,1)),"")</f>
        <v/>
      </c>
    </row>
    <row r="1956" spans="3:6" x14ac:dyDescent="0.3">
      <c r="C1956" s="1" t="str">
        <f>IF(C1955&lt;'Investment Calculator'!$C$8*'Investment Calculator'!$F$4,'SIP Schedule'!C1955+1,"")</f>
        <v/>
      </c>
      <c r="D1956" s="27" t="str">
        <f>IF(C1956&lt;='Investment Calculator'!$C$8*'Investment Calculator'!$F$4,'Investment Calculator'!$C$6,"")</f>
        <v/>
      </c>
      <c r="E1956" s="27" t="str">
        <f>IFERROR((F1955+D1956)*'Investment Calculator'!$C$7/'Investment Calculator'!$F$4,"")</f>
        <v/>
      </c>
      <c r="F1956" s="27" t="str">
        <f>IFERROR(ABS(FV('Investment Calculator'!$C$7/'Investment Calculator'!$F$4,'SIP Schedule'!C1956,'SIP Schedule'!D1956,,1)),"")</f>
        <v/>
      </c>
    </row>
    <row r="1957" spans="3:6" x14ac:dyDescent="0.3">
      <c r="C1957" s="1" t="str">
        <f>IF(C1956&lt;'Investment Calculator'!$C$8*'Investment Calculator'!$F$4,'SIP Schedule'!C1956+1,"")</f>
        <v/>
      </c>
      <c r="D1957" s="27" t="str">
        <f>IF(C1957&lt;='Investment Calculator'!$C$8*'Investment Calculator'!$F$4,'Investment Calculator'!$C$6,"")</f>
        <v/>
      </c>
      <c r="E1957" s="27" t="str">
        <f>IFERROR((F1956+D1957)*'Investment Calculator'!$C$7/'Investment Calculator'!$F$4,"")</f>
        <v/>
      </c>
      <c r="F1957" s="27" t="str">
        <f>IFERROR(ABS(FV('Investment Calculator'!$C$7/'Investment Calculator'!$F$4,'SIP Schedule'!C1957,'SIP Schedule'!D1957,,1)),"")</f>
        <v/>
      </c>
    </row>
    <row r="1958" spans="3:6" x14ac:dyDescent="0.3">
      <c r="C1958" s="1" t="str">
        <f>IF(C1957&lt;'Investment Calculator'!$C$8*'Investment Calculator'!$F$4,'SIP Schedule'!C1957+1,"")</f>
        <v/>
      </c>
      <c r="D1958" s="27" t="str">
        <f>IF(C1958&lt;='Investment Calculator'!$C$8*'Investment Calculator'!$F$4,'Investment Calculator'!$C$6,"")</f>
        <v/>
      </c>
      <c r="E1958" s="27" t="str">
        <f>IFERROR((F1957+D1958)*'Investment Calculator'!$C$7/'Investment Calculator'!$F$4,"")</f>
        <v/>
      </c>
      <c r="F1958" s="27" t="str">
        <f>IFERROR(ABS(FV('Investment Calculator'!$C$7/'Investment Calculator'!$F$4,'SIP Schedule'!C1958,'SIP Schedule'!D1958,,1)),"")</f>
        <v/>
      </c>
    </row>
    <row r="1959" spans="3:6" x14ac:dyDescent="0.3">
      <c r="C1959" s="1" t="str">
        <f>IF(C1958&lt;'Investment Calculator'!$C$8*'Investment Calculator'!$F$4,'SIP Schedule'!C1958+1,"")</f>
        <v/>
      </c>
      <c r="D1959" s="27" t="str">
        <f>IF(C1959&lt;='Investment Calculator'!$C$8*'Investment Calculator'!$F$4,'Investment Calculator'!$C$6,"")</f>
        <v/>
      </c>
      <c r="E1959" s="27" t="str">
        <f>IFERROR((F1958+D1959)*'Investment Calculator'!$C$7/'Investment Calculator'!$F$4,"")</f>
        <v/>
      </c>
      <c r="F1959" s="27" t="str">
        <f>IFERROR(ABS(FV('Investment Calculator'!$C$7/'Investment Calculator'!$F$4,'SIP Schedule'!C1959,'SIP Schedule'!D1959,,1)),"")</f>
        <v/>
      </c>
    </row>
    <row r="1960" spans="3:6" x14ac:dyDescent="0.3">
      <c r="C1960" s="1" t="str">
        <f>IF(C1959&lt;'Investment Calculator'!$C$8*'Investment Calculator'!$F$4,'SIP Schedule'!C1959+1,"")</f>
        <v/>
      </c>
      <c r="D1960" s="27" t="str">
        <f>IF(C1960&lt;='Investment Calculator'!$C$8*'Investment Calculator'!$F$4,'Investment Calculator'!$C$6,"")</f>
        <v/>
      </c>
      <c r="E1960" s="27" t="str">
        <f>IFERROR((F1959+D1960)*'Investment Calculator'!$C$7/'Investment Calculator'!$F$4,"")</f>
        <v/>
      </c>
      <c r="F1960" s="27" t="str">
        <f>IFERROR(ABS(FV('Investment Calculator'!$C$7/'Investment Calculator'!$F$4,'SIP Schedule'!C1960,'SIP Schedule'!D1960,,1)),"")</f>
        <v/>
      </c>
    </row>
    <row r="1961" spans="3:6" x14ac:dyDescent="0.3">
      <c r="C1961" s="1" t="str">
        <f>IF(C1960&lt;'Investment Calculator'!$C$8*'Investment Calculator'!$F$4,'SIP Schedule'!C1960+1,"")</f>
        <v/>
      </c>
      <c r="D1961" s="27" t="str">
        <f>IF(C1961&lt;='Investment Calculator'!$C$8*'Investment Calculator'!$F$4,'Investment Calculator'!$C$6,"")</f>
        <v/>
      </c>
      <c r="E1961" s="27" t="str">
        <f>IFERROR((F1960+D1961)*'Investment Calculator'!$C$7/'Investment Calculator'!$F$4,"")</f>
        <v/>
      </c>
      <c r="F1961" s="27" t="str">
        <f>IFERROR(ABS(FV('Investment Calculator'!$C$7/'Investment Calculator'!$F$4,'SIP Schedule'!C1961,'SIP Schedule'!D1961,,1)),"")</f>
        <v/>
      </c>
    </row>
    <row r="1962" spans="3:6" x14ac:dyDescent="0.3">
      <c r="C1962" s="1" t="str">
        <f>IF(C1961&lt;'Investment Calculator'!$C$8*'Investment Calculator'!$F$4,'SIP Schedule'!C1961+1,"")</f>
        <v/>
      </c>
      <c r="D1962" s="27" t="str">
        <f>IF(C1962&lt;='Investment Calculator'!$C$8*'Investment Calculator'!$F$4,'Investment Calculator'!$C$6,"")</f>
        <v/>
      </c>
      <c r="E1962" s="27" t="str">
        <f>IFERROR((F1961+D1962)*'Investment Calculator'!$C$7/'Investment Calculator'!$F$4,"")</f>
        <v/>
      </c>
      <c r="F1962" s="27" t="str">
        <f>IFERROR(ABS(FV('Investment Calculator'!$C$7/'Investment Calculator'!$F$4,'SIP Schedule'!C1962,'SIP Schedule'!D1962,,1)),"")</f>
        <v/>
      </c>
    </row>
    <row r="1963" spans="3:6" x14ac:dyDescent="0.3">
      <c r="C1963" s="1" t="str">
        <f>IF(C1962&lt;'Investment Calculator'!$C$8*'Investment Calculator'!$F$4,'SIP Schedule'!C1962+1,"")</f>
        <v/>
      </c>
      <c r="D1963" s="27" t="str">
        <f>IF(C1963&lt;='Investment Calculator'!$C$8*'Investment Calculator'!$F$4,'Investment Calculator'!$C$6,"")</f>
        <v/>
      </c>
      <c r="E1963" s="27" t="str">
        <f>IFERROR((F1962+D1963)*'Investment Calculator'!$C$7/'Investment Calculator'!$F$4,"")</f>
        <v/>
      </c>
      <c r="F1963" s="27" t="str">
        <f>IFERROR(ABS(FV('Investment Calculator'!$C$7/'Investment Calculator'!$F$4,'SIP Schedule'!C1963,'SIP Schedule'!D1963,,1)),"")</f>
        <v/>
      </c>
    </row>
    <row r="1964" spans="3:6" x14ac:dyDescent="0.3">
      <c r="C1964" s="1" t="str">
        <f>IF(C1963&lt;'Investment Calculator'!$C$8*'Investment Calculator'!$F$4,'SIP Schedule'!C1963+1,"")</f>
        <v/>
      </c>
      <c r="D1964" s="27" t="str">
        <f>IF(C1964&lt;='Investment Calculator'!$C$8*'Investment Calculator'!$F$4,'Investment Calculator'!$C$6,"")</f>
        <v/>
      </c>
      <c r="E1964" s="27" t="str">
        <f>IFERROR((F1963+D1964)*'Investment Calculator'!$C$7/'Investment Calculator'!$F$4,"")</f>
        <v/>
      </c>
      <c r="F1964" s="27" t="str">
        <f>IFERROR(ABS(FV('Investment Calculator'!$C$7/'Investment Calculator'!$F$4,'SIP Schedule'!C1964,'SIP Schedule'!D1964,,1)),"")</f>
        <v/>
      </c>
    </row>
    <row r="1965" spans="3:6" x14ac:dyDescent="0.3">
      <c r="C1965" s="1" t="str">
        <f>IF(C1964&lt;'Investment Calculator'!$C$8*'Investment Calculator'!$F$4,'SIP Schedule'!C1964+1,"")</f>
        <v/>
      </c>
      <c r="D1965" s="27" t="str">
        <f>IF(C1965&lt;='Investment Calculator'!$C$8*'Investment Calculator'!$F$4,'Investment Calculator'!$C$6,"")</f>
        <v/>
      </c>
      <c r="E1965" s="27" t="str">
        <f>IFERROR((F1964+D1965)*'Investment Calculator'!$C$7/'Investment Calculator'!$F$4,"")</f>
        <v/>
      </c>
      <c r="F1965" s="27" t="str">
        <f>IFERROR(ABS(FV('Investment Calculator'!$C$7/'Investment Calculator'!$F$4,'SIP Schedule'!C1965,'SIP Schedule'!D1965,,1)),"")</f>
        <v/>
      </c>
    </row>
    <row r="1966" spans="3:6" x14ac:dyDescent="0.3">
      <c r="C1966" s="1" t="str">
        <f>IF(C1965&lt;'Investment Calculator'!$C$8*'Investment Calculator'!$F$4,'SIP Schedule'!C1965+1,"")</f>
        <v/>
      </c>
      <c r="D1966" s="27" t="str">
        <f>IF(C1966&lt;='Investment Calculator'!$C$8*'Investment Calculator'!$F$4,'Investment Calculator'!$C$6,"")</f>
        <v/>
      </c>
      <c r="E1966" s="27" t="str">
        <f>IFERROR((F1965+D1966)*'Investment Calculator'!$C$7/'Investment Calculator'!$F$4,"")</f>
        <v/>
      </c>
      <c r="F1966" s="27" t="str">
        <f>IFERROR(ABS(FV('Investment Calculator'!$C$7/'Investment Calculator'!$F$4,'SIP Schedule'!C1966,'SIP Schedule'!D1966,,1)),"")</f>
        <v/>
      </c>
    </row>
    <row r="1967" spans="3:6" x14ac:dyDescent="0.3">
      <c r="C1967" s="1" t="str">
        <f>IF(C1966&lt;'Investment Calculator'!$C$8*'Investment Calculator'!$F$4,'SIP Schedule'!C1966+1,"")</f>
        <v/>
      </c>
      <c r="D1967" s="27" t="str">
        <f>IF(C1967&lt;='Investment Calculator'!$C$8*'Investment Calculator'!$F$4,'Investment Calculator'!$C$6,"")</f>
        <v/>
      </c>
      <c r="E1967" s="27" t="str">
        <f>IFERROR((F1966+D1967)*'Investment Calculator'!$C$7/'Investment Calculator'!$F$4,"")</f>
        <v/>
      </c>
      <c r="F1967" s="27" t="str">
        <f>IFERROR(ABS(FV('Investment Calculator'!$C$7/'Investment Calculator'!$F$4,'SIP Schedule'!C1967,'SIP Schedule'!D1967,,1)),"")</f>
        <v/>
      </c>
    </row>
    <row r="1968" spans="3:6" x14ac:dyDescent="0.3">
      <c r="C1968" s="1" t="str">
        <f>IF(C1967&lt;'Investment Calculator'!$C$8*'Investment Calculator'!$F$4,'SIP Schedule'!C1967+1,"")</f>
        <v/>
      </c>
      <c r="D1968" s="27" t="str">
        <f>IF(C1968&lt;='Investment Calculator'!$C$8*'Investment Calculator'!$F$4,'Investment Calculator'!$C$6,"")</f>
        <v/>
      </c>
      <c r="E1968" s="27" t="str">
        <f>IFERROR((F1967+D1968)*'Investment Calculator'!$C$7/'Investment Calculator'!$F$4,"")</f>
        <v/>
      </c>
      <c r="F1968" s="27" t="str">
        <f>IFERROR(ABS(FV('Investment Calculator'!$C$7/'Investment Calculator'!$F$4,'SIP Schedule'!C1968,'SIP Schedule'!D1968,,1)),"")</f>
        <v/>
      </c>
    </row>
    <row r="1969" spans="3:6" x14ac:dyDescent="0.3">
      <c r="C1969" s="1" t="str">
        <f>IF(C1968&lt;'Investment Calculator'!$C$8*'Investment Calculator'!$F$4,'SIP Schedule'!C1968+1,"")</f>
        <v/>
      </c>
      <c r="D1969" s="27" t="str">
        <f>IF(C1969&lt;='Investment Calculator'!$C$8*'Investment Calculator'!$F$4,'Investment Calculator'!$C$6,"")</f>
        <v/>
      </c>
      <c r="E1969" s="27" t="str">
        <f>IFERROR((F1968+D1969)*'Investment Calculator'!$C$7/'Investment Calculator'!$F$4,"")</f>
        <v/>
      </c>
      <c r="F1969" s="27" t="str">
        <f>IFERROR(ABS(FV('Investment Calculator'!$C$7/'Investment Calculator'!$F$4,'SIP Schedule'!C1969,'SIP Schedule'!D1969,,1)),"")</f>
        <v/>
      </c>
    </row>
    <row r="1970" spans="3:6" x14ac:dyDescent="0.3">
      <c r="C1970" s="1" t="str">
        <f>IF(C1969&lt;'Investment Calculator'!$C$8*'Investment Calculator'!$F$4,'SIP Schedule'!C1969+1,"")</f>
        <v/>
      </c>
      <c r="D1970" s="27" t="str">
        <f>IF(C1970&lt;='Investment Calculator'!$C$8*'Investment Calculator'!$F$4,'Investment Calculator'!$C$6,"")</f>
        <v/>
      </c>
      <c r="E1970" s="27" t="str">
        <f>IFERROR((F1969+D1970)*'Investment Calculator'!$C$7/'Investment Calculator'!$F$4,"")</f>
        <v/>
      </c>
      <c r="F1970" s="27" t="str">
        <f>IFERROR(ABS(FV('Investment Calculator'!$C$7/'Investment Calculator'!$F$4,'SIP Schedule'!C1970,'SIP Schedule'!D1970,,1)),"")</f>
        <v/>
      </c>
    </row>
    <row r="1971" spans="3:6" x14ac:dyDescent="0.3">
      <c r="C1971" s="1" t="str">
        <f>IF(C1970&lt;'Investment Calculator'!$C$8*'Investment Calculator'!$F$4,'SIP Schedule'!C1970+1,"")</f>
        <v/>
      </c>
      <c r="D1971" s="27" t="str">
        <f>IF(C1971&lt;='Investment Calculator'!$C$8*'Investment Calculator'!$F$4,'Investment Calculator'!$C$6,"")</f>
        <v/>
      </c>
      <c r="E1971" s="27" t="str">
        <f>IFERROR((F1970+D1971)*'Investment Calculator'!$C$7/'Investment Calculator'!$F$4,"")</f>
        <v/>
      </c>
      <c r="F1971" s="27" t="str">
        <f>IFERROR(ABS(FV('Investment Calculator'!$C$7/'Investment Calculator'!$F$4,'SIP Schedule'!C1971,'SIP Schedule'!D1971,,1)),"")</f>
        <v/>
      </c>
    </row>
    <row r="1972" spans="3:6" x14ac:dyDescent="0.3">
      <c r="C1972" s="1" t="str">
        <f>IF(C1971&lt;'Investment Calculator'!$C$8*'Investment Calculator'!$F$4,'SIP Schedule'!C1971+1,"")</f>
        <v/>
      </c>
      <c r="D1972" s="27" t="str">
        <f>IF(C1972&lt;='Investment Calculator'!$C$8*'Investment Calculator'!$F$4,'Investment Calculator'!$C$6,"")</f>
        <v/>
      </c>
      <c r="E1972" s="27" t="str">
        <f>IFERROR((F1971+D1972)*'Investment Calculator'!$C$7/'Investment Calculator'!$F$4,"")</f>
        <v/>
      </c>
      <c r="F1972" s="27" t="str">
        <f>IFERROR(ABS(FV('Investment Calculator'!$C$7/'Investment Calculator'!$F$4,'SIP Schedule'!C1972,'SIP Schedule'!D1972,,1)),"")</f>
        <v/>
      </c>
    </row>
    <row r="1973" spans="3:6" x14ac:dyDescent="0.3">
      <c r="C1973" s="1" t="str">
        <f>IF(C1972&lt;'Investment Calculator'!$C$8*'Investment Calculator'!$F$4,'SIP Schedule'!C1972+1,"")</f>
        <v/>
      </c>
      <c r="D1973" s="27" t="str">
        <f>IF(C1973&lt;='Investment Calculator'!$C$8*'Investment Calculator'!$F$4,'Investment Calculator'!$C$6,"")</f>
        <v/>
      </c>
      <c r="E1973" s="27" t="str">
        <f>IFERROR((F1972+D1973)*'Investment Calculator'!$C$7/'Investment Calculator'!$F$4,"")</f>
        <v/>
      </c>
      <c r="F1973" s="27" t="str">
        <f>IFERROR(ABS(FV('Investment Calculator'!$C$7/'Investment Calculator'!$F$4,'SIP Schedule'!C1973,'SIP Schedule'!D1973,,1)),"")</f>
        <v/>
      </c>
    </row>
    <row r="1974" spans="3:6" x14ac:dyDescent="0.3">
      <c r="C1974" s="1" t="str">
        <f>IF(C1973&lt;'Investment Calculator'!$C$8*'Investment Calculator'!$F$4,'SIP Schedule'!C1973+1,"")</f>
        <v/>
      </c>
      <c r="D1974" s="27" t="str">
        <f>IF(C1974&lt;='Investment Calculator'!$C$8*'Investment Calculator'!$F$4,'Investment Calculator'!$C$6,"")</f>
        <v/>
      </c>
      <c r="E1974" s="27" t="str">
        <f>IFERROR((F1973+D1974)*'Investment Calculator'!$C$7/'Investment Calculator'!$F$4,"")</f>
        <v/>
      </c>
      <c r="F1974" s="27" t="str">
        <f>IFERROR(ABS(FV('Investment Calculator'!$C$7/'Investment Calculator'!$F$4,'SIP Schedule'!C1974,'SIP Schedule'!D1974,,1)),"")</f>
        <v/>
      </c>
    </row>
    <row r="1975" spans="3:6" x14ac:dyDescent="0.3">
      <c r="C1975" s="1" t="str">
        <f>IF(C1974&lt;'Investment Calculator'!$C$8*'Investment Calculator'!$F$4,'SIP Schedule'!C1974+1,"")</f>
        <v/>
      </c>
      <c r="D1975" s="27" t="str">
        <f>IF(C1975&lt;='Investment Calculator'!$C$8*'Investment Calculator'!$F$4,'Investment Calculator'!$C$6,"")</f>
        <v/>
      </c>
      <c r="E1975" s="27" t="str">
        <f>IFERROR((F1974+D1975)*'Investment Calculator'!$C$7/'Investment Calculator'!$F$4,"")</f>
        <v/>
      </c>
      <c r="F1975" s="27" t="str">
        <f>IFERROR(ABS(FV('Investment Calculator'!$C$7/'Investment Calculator'!$F$4,'SIP Schedule'!C1975,'SIP Schedule'!D1975,,1)),"")</f>
        <v/>
      </c>
    </row>
    <row r="1976" spans="3:6" x14ac:dyDescent="0.3">
      <c r="C1976" s="1" t="str">
        <f>IF(C1975&lt;'Investment Calculator'!$C$8*'Investment Calculator'!$F$4,'SIP Schedule'!C1975+1,"")</f>
        <v/>
      </c>
      <c r="D1976" s="27" t="str">
        <f>IF(C1976&lt;='Investment Calculator'!$C$8*'Investment Calculator'!$F$4,'Investment Calculator'!$C$6,"")</f>
        <v/>
      </c>
      <c r="E1976" s="27" t="str">
        <f>IFERROR((F1975+D1976)*'Investment Calculator'!$C$7/'Investment Calculator'!$F$4,"")</f>
        <v/>
      </c>
      <c r="F1976" s="27" t="str">
        <f>IFERROR(ABS(FV('Investment Calculator'!$C$7/'Investment Calculator'!$F$4,'SIP Schedule'!C1976,'SIP Schedule'!D1976,,1)),"")</f>
        <v/>
      </c>
    </row>
    <row r="1977" spans="3:6" x14ac:dyDescent="0.3">
      <c r="C1977" s="1" t="str">
        <f>IF(C1976&lt;'Investment Calculator'!$C$8*'Investment Calculator'!$F$4,'SIP Schedule'!C1976+1,"")</f>
        <v/>
      </c>
      <c r="D1977" s="27" t="str">
        <f>IF(C1977&lt;='Investment Calculator'!$C$8*'Investment Calculator'!$F$4,'Investment Calculator'!$C$6,"")</f>
        <v/>
      </c>
      <c r="E1977" s="27" t="str">
        <f>IFERROR((F1976+D1977)*'Investment Calculator'!$C$7/'Investment Calculator'!$F$4,"")</f>
        <v/>
      </c>
      <c r="F1977" s="27" t="str">
        <f>IFERROR(ABS(FV('Investment Calculator'!$C$7/'Investment Calculator'!$F$4,'SIP Schedule'!C1977,'SIP Schedule'!D1977,,1)),"")</f>
        <v/>
      </c>
    </row>
    <row r="1978" spans="3:6" x14ac:dyDescent="0.3">
      <c r="C1978" s="1" t="str">
        <f>IF(C1977&lt;'Investment Calculator'!$C$8*'Investment Calculator'!$F$4,'SIP Schedule'!C1977+1,"")</f>
        <v/>
      </c>
      <c r="D1978" s="27" t="str">
        <f>IF(C1978&lt;='Investment Calculator'!$C$8*'Investment Calculator'!$F$4,'Investment Calculator'!$C$6,"")</f>
        <v/>
      </c>
      <c r="E1978" s="27" t="str">
        <f>IFERROR((F1977+D1978)*'Investment Calculator'!$C$7/'Investment Calculator'!$F$4,"")</f>
        <v/>
      </c>
      <c r="F1978" s="27" t="str">
        <f>IFERROR(ABS(FV('Investment Calculator'!$C$7/'Investment Calculator'!$F$4,'SIP Schedule'!C1978,'SIP Schedule'!D1978,,1)),"")</f>
        <v/>
      </c>
    </row>
    <row r="1979" spans="3:6" x14ac:dyDescent="0.3">
      <c r="C1979" s="1" t="str">
        <f>IF(C1978&lt;'Investment Calculator'!$C$8*'Investment Calculator'!$F$4,'SIP Schedule'!C1978+1,"")</f>
        <v/>
      </c>
      <c r="D1979" s="27" t="str">
        <f>IF(C1979&lt;='Investment Calculator'!$C$8*'Investment Calculator'!$F$4,'Investment Calculator'!$C$6,"")</f>
        <v/>
      </c>
      <c r="E1979" s="27" t="str">
        <f>IFERROR((F1978+D1979)*'Investment Calculator'!$C$7/'Investment Calculator'!$F$4,"")</f>
        <v/>
      </c>
      <c r="F1979" s="27" t="str">
        <f>IFERROR(ABS(FV('Investment Calculator'!$C$7/'Investment Calculator'!$F$4,'SIP Schedule'!C1979,'SIP Schedule'!D1979,,1)),"")</f>
        <v/>
      </c>
    </row>
    <row r="1980" spans="3:6" x14ac:dyDescent="0.3">
      <c r="C1980" s="1" t="str">
        <f>IF(C1979&lt;'Investment Calculator'!$C$8*'Investment Calculator'!$F$4,'SIP Schedule'!C1979+1,"")</f>
        <v/>
      </c>
      <c r="D1980" s="27" t="str">
        <f>IF(C1980&lt;='Investment Calculator'!$C$8*'Investment Calculator'!$F$4,'Investment Calculator'!$C$6,"")</f>
        <v/>
      </c>
      <c r="E1980" s="27" t="str">
        <f>IFERROR((F1979+D1980)*'Investment Calculator'!$C$7/'Investment Calculator'!$F$4,"")</f>
        <v/>
      </c>
      <c r="F1980" s="27" t="str">
        <f>IFERROR(ABS(FV('Investment Calculator'!$C$7/'Investment Calculator'!$F$4,'SIP Schedule'!C1980,'SIP Schedule'!D1980,,1)),"")</f>
        <v/>
      </c>
    </row>
    <row r="1981" spans="3:6" x14ac:dyDescent="0.3">
      <c r="C1981" s="1" t="str">
        <f>IF(C1980&lt;'Investment Calculator'!$C$8*'Investment Calculator'!$F$4,'SIP Schedule'!C1980+1,"")</f>
        <v/>
      </c>
      <c r="D1981" s="27" t="str">
        <f>IF(C1981&lt;='Investment Calculator'!$C$8*'Investment Calculator'!$F$4,'Investment Calculator'!$C$6,"")</f>
        <v/>
      </c>
      <c r="E1981" s="27" t="str">
        <f>IFERROR((F1980+D1981)*'Investment Calculator'!$C$7/'Investment Calculator'!$F$4,"")</f>
        <v/>
      </c>
      <c r="F1981" s="27" t="str">
        <f>IFERROR(ABS(FV('Investment Calculator'!$C$7/'Investment Calculator'!$F$4,'SIP Schedule'!C1981,'SIP Schedule'!D1981,,1)),"")</f>
        <v/>
      </c>
    </row>
    <row r="1982" spans="3:6" x14ac:dyDescent="0.3">
      <c r="C1982" s="1" t="str">
        <f>IF(C1981&lt;'Investment Calculator'!$C$8*'Investment Calculator'!$F$4,'SIP Schedule'!C1981+1,"")</f>
        <v/>
      </c>
      <c r="D1982" s="27" t="str">
        <f>IF(C1982&lt;='Investment Calculator'!$C$8*'Investment Calculator'!$F$4,'Investment Calculator'!$C$6,"")</f>
        <v/>
      </c>
      <c r="E1982" s="27" t="str">
        <f>IFERROR((F1981+D1982)*'Investment Calculator'!$C$7/'Investment Calculator'!$F$4,"")</f>
        <v/>
      </c>
      <c r="F1982" s="27" t="str">
        <f>IFERROR(ABS(FV('Investment Calculator'!$C$7/'Investment Calculator'!$F$4,'SIP Schedule'!C1982,'SIP Schedule'!D1982,,1)),"")</f>
        <v/>
      </c>
    </row>
    <row r="1983" spans="3:6" x14ac:dyDescent="0.3">
      <c r="C1983" s="1" t="str">
        <f>IF(C1982&lt;'Investment Calculator'!$C$8*'Investment Calculator'!$F$4,'SIP Schedule'!C1982+1,"")</f>
        <v/>
      </c>
      <c r="D1983" s="27" t="str">
        <f>IF(C1983&lt;='Investment Calculator'!$C$8*'Investment Calculator'!$F$4,'Investment Calculator'!$C$6,"")</f>
        <v/>
      </c>
      <c r="E1983" s="27" t="str">
        <f>IFERROR((F1982+D1983)*'Investment Calculator'!$C$7/'Investment Calculator'!$F$4,"")</f>
        <v/>
      </c>
      <c r="F1983" s="27" t="str">
        <f>IFERROR(ABS(FV('Investment Calculator'!$C$7/'Investment Calculator'!$F$4,'SIP Schedule'!C1983,'SIP Schedule'!D1983,,1)),"")</f>
        <v/>
      </c>
    </row>
    <row r="1984" spans="3:6" x14ac:dyDescent="0.3">
      <c r="C1984" s="1" t="str">
        <f>IF(C1983&lt;'Investment Calculator'!$C$8*'Investment Calculator'!$F$4,'SIP Schedule'!C1983+1,"")</f>
        <v/>
      </c>
      <c r="D1984" s="27" t="str">
        <f>IF(C1984&lt;='Investment Calculator'!$C$8*'Investment Calculator'!$F$4,'Investment Calculator'!$C$6,"")</f>
        <v/>
      </c>
      <c r="E1984" s="27" t="str">
        <f>IFERROR((F1983+D1984)*'Investment Calculator'!$C$7/'Investment Calculator'!$F$4,"")</f>
        <v/>
      </c>
      <c r="F1984" s="27" t="str">
        <f>IFERROR(ABS(FV('Investment Calculator'!$C$7/'Investment Calculator'!$F$4,'SIP Schedule'!C1984,'SIP Schedule'!D1984,,1)),"")</f>
        <v/>
      </c>
    </row>
    <row r="1985" spans="3:6" x14ac:dyDescent="0.3">
      <c r="C1985" s="1" t="str">
        <f>IF(C1984&lt;'Investment Calculator'!$C$8*'Investment Calculator'!$F$4,'SIP Schedule'!C1984+1,"")</f>
        <v/>
      </c>
      <c r="D1985" s="27" t="str">
        <f>IF(C1985&lt;='Investment Calculator'!$C$8*'Investment Calculator'!$F$4,'Investment Calculator'!$C$6,"")</f>
        <v/>
      </c>
      <c r="E1985" s="27" t="str">
        <f>IFERROR((F1984+D1985)*'Investment Calculator'!$C$7/'Investment Calculator'!$F$4,"")</f>
        <v/>
      </c>
      <c r="F1985" s="27" t="str">
        <f>IFERROR(ABS(FV('Investment Calculator'!$C$7/'Investment Calculator'!$F$4,'SIP Schedule'!C1985,'SIP Schedule'!D1985,,1)),"")</f>
        <v/>
      </c>
    </row>
    <row r="1986" spans="3:6" x14ac:dyDescent="0.3">
      <c r="C1986" s="1" t="str">
        <f>IF(C1985&lt;'Investment Calculator'!$C$8*'Investment Calculator'!$F$4,'SIP Schedule'!C1985+1,"")</f>
        <v/>
      </c>
      <c r="D1986" s="27" t="str">
        <f>IF(C1986&lt;='Investment Calculator'!$C$8*'Investment Calculator'!$F$4,'Investment Calculator'!$C$6,"")</f>
        <v/>
      </c>
      <c r="E1986" s="27" t="str">
        <f>IFERROR((F1985+D1986)*'Investment Calculator'!$C$7/'Investment Calculator'!$F$4,"")</f>
        <v/>
      </c>
      <c r="F1986" s="27" t="str">
        <f>IFERROR(ABS(FV('Investment Calculator'!$C$7/'Investment Calculator'!$F$4,'SIP Schedule'!C1986,'SIP Schedule'!D1986,,1)),"")</f>
        <v/>
      </c>
    </row>
    <row r="1987" spans="3:6" x14ac:dyDescent="0.3">
      <c r="C1987" s="1" t="str">
        <f>IF(C1986&lt;'Investment Calculator'!$C$8*'Investment Calculator'!$F$4,'SIP Schedule'!C1986+1,"")</f>
        <v/>
      </c>
      <c r="D1987" s="27" t="str">
        <f>IF(C1987&lt;='Investment Calculator'!$C$8*'Investment Calculator'!$F$4,'Investment Calculator'!$C$6,"")</f>
        <v/>
      </c>
      <c r="E1987" s="27" t="str">
        <f>IFERROR((F1986+D1987)*'Investment Calculator'!$C$7/'Investment Calculator'!$F$4,"")</f>
        <v/>
      </c>
      <c r="F1987" s="27" t="str">
        <f>IFERROR(ABS(FV('Investment Calculator'!$C$7/'Investment Calculator'!$F$4,'SIP Schedule'!C1987,'SIP Schedule'!D1987,,1)),"")</f>
        <v/>
      </c>
    </row>
    <row r="1988" spans="3:6" x14ac:dyDescent="0.3">
      <c r="C1988" s="1" t="str">
        <f>IF(C1987&lt;'Investment Calculator'!$C$8*'Investment Calculator'!$F$4,'SIP Schedule'!C1987+1,"")</f>
        <v/>
      </c>
      <c r="D1988" s="27" t="str">
        <f>IF(C1988&lt;='Investment Calculator'!$C$8*'Investment Calculator'!$F$4,'Investment Calculator'!$C$6,"")</f>
        <v/>
      </c>
      <c r="E1988" s="27" t="str">
        <f>IFERROR((F1987+D1988)*'Investment Calculator'!$C$7/'Investment Calculator'!$F$4,"")</f>
        <v/>
      </c>
      <c r="F1988" s="27" t="str">
        <f>IFERROR(ABS(FV('Investment Calculator'!$C$7/'Investment Calculator'!$F$4,'SIP Schedule'!C1988,'SIP Schedule'!D1988,,1)),"")</f>
        <v/>
      </c>
    </row>
    <row r="1989" spans="3:6" x14ac:dyDescent="0.3">
      <c r="C1989" s="1" t="str">
        <f>IF(C1988&lt;'Investment Calculator'!$C$8*'Investment Calculator'!$F$4,'SIP Schedule'!C1988+1,"")</f>
        <v/>
      </c>
      <c r="D1989" s="27" t="str">
        <f>IF(C1989&lt;='Investment Calculator'!$C$8*'Investment Calculator'!$F$4,'Investment Calculator'!$C$6,"")</f>
        <v/>
      </c>
      <c r="E1989" s="27" t="str">
        <f>IFERROR((F1988+D1989)*'Investment Calculator'!$C$7/'Investment Calculator'!$F$4,"")</f>
        <v/>
      </c>
      <c r="F1989" s="27" t="str">
        <f>IFERROR(ABS(FV('Investment Calculator'!$C$7/'Investment Calculator'!$F$4,'SIP Schedule'!C1989,'SIP Schedule'!D1989,,1)),"")</f>
        <v/>
      </c>
    </row>
    <row r="1990" spans="3:6" x14ac:dyDescent="0.3">
      <c r="C1990" s="1" t="str">
        <f>IF(C1989&lt;'Investment Calculator'!$C$8*'Investment Calculator'!$F$4,'SIP Schedule'!C1989+1,"")</f>
        <v/>
      </c>
      <c r="D1990" s="27" t="str">
        <f>IF(C1990&lt;='Investment Calculator'!$C$8*'Investment Calculator'!$F$4,'Investment Calculator'!$C$6,"")</f>
        <v/>
      </c>
      <c r="E1990" s="27" t="str">
        <f>IFERROR((F1989+D1990)*'Investment Calculator'!$C$7/'Investment Calculator'!$F$4,"")</f>
        <v/>
      </c>
      <c r="F1990" s="27" t="str">
        <f>IFERROR(ABS(FV('Investment Calculator'!$C$7/'Investment Calculator'!$F$4,'SIP Schedule'!C1990,'SIP Schedule'!D1990,,1)),"")</f>
        <v/>
      </c>
    </row>
    <row r="1991" spans="3:6" x14ac:dyDescent="0.3">
      <c r="C1991" s="1" t="str">
        <f>IF(C1990&lt;'Investment Calculator'!$C$8*'Investment Calculator'!$F$4,'SIP Schedule'!C1990+1,"")</f>
        <v/>
      </c>
      <c r="D1991" s="27" t="str">
        <f>IF(C1991&lt;='Investment Calculator'!$C$8*'Investment Calculator'!$F$4,'Investment Calculator'!$C$6,"")</f>
        <v/>
      </c>
      <c r="E1991" s="27" t="str">
        <f>IFERROR((F1990+D1991)*'Investment Calculator'!$C$7/'Investment Calculator'!$F$4,"")</f>
        <v/>
      </c>
      <c r="F1991" s="27" t="str">
        <f>IFERROR(ABS(FV('Investment Calculator'!$C$7/'Investment Calculator'!$F$4,'SIP Schedule'!C1991,'SIP Schedule'!D1991,,1)),"")</f>
        <v/>
      </c>
    </row>
    <row r="1992" spans="3:6" x14ac:dyDescent="0.3">
      <c r="C1992" s="1" t="str">
        <f>IF(C1991&lt;'Investment Calculator'!$C$8*'Investment Calculator'!$F$4,'SIP Schedule'!C1991+1,"")</f>
        <v/>
      </c>
      <c r="D1992" s="27" t="str">
        <f>IF(C1992&lt;='Investment Calculator'!$C$8*'Investment Calculator'!$F$4,'Investment Calculator'!$C$6,"")</f>
        <v/>
      </c>
      <c r="E1992" s="27" t="str">
        <f>IFERROR((F1991+D1992)*'Investment Calculator'!$C$7/'Investment Calculator'!$F$4,"")</f>
        <v/>
      </c>
      <c r="F1992" s="27" t="str">
        <f>IFERROR(ABS(FV('Investment Calculator'!$C$7/'Investment Calculator'!$F$4,'SIP Schedule'!C1992,'SIP Schedule'!D1992,,1)),"")</f>
        <v/>
      </c>
    </row>
    <row r="1993" spans="3:6" x14ac:dyDescent="0.3">
      <c r="C1993" s="1" t="str">
        <f>IF(C1992&lt;'Investment Calculator'!$C$8*'Investment Calculator'!$F$4,'SIP Schedule'!C1992+1,"")</f>
        <v/>
      </c>
      <c r="D1993" s="27" t="str">
        <f>IF(C1993&lt;='Investment Calculator'!$C$8*'Investment Calculator'!$F$4,'Investment Calculator'!$C$6,"")</f>
        <v/>
      </c>
      <c r="E1993" s="27" t="str">
        <f>IFERROR((F1992+D1993)*'Investment Calculator'!$C$7/'Investment Calculator'!$F$4,"")</f>
        <v/>
      </c>
      <c r="F1993" s="27" t="str">
        <f>IFERROR(ABS(FV('Investment Calculator'!$C$7/'Investment Calculator'!$F$4,'SIP Schedule'!C1993,'SIP Schedule'!D1993,,1)),"")</f>
        <v/>
      </c>
    </row>
    <row r="1994" spans="3:6" x14ac:dyDescent="0.3">
      <c r="C1994" s="1" t="str">
        <f>IF(C1993&lt;'Investment Calculator'!$C$8*'Investment Calculator'!$F$4,'SIP Schedule'!C1993+1,"")</f>
        <v/>
      </c>
      <c r="D1994" s="27" t="str">
        <f>IF(C1994&lt;='Investment Calculator'!$C$8*'Investment Calculator'!$F$4,'Investment Calculator'!$C$6,"")</f>
        <v/>
      </c>
      <c r="E1994" s="27" t="str">
        <f>IFERROR((F1993+D1994)*'Investment Calculator'!$C$7/'Investment Calculator'!$F$4,"")</f>
        <v/>
      </c>
      <c r="F1994" s="27" t="str">
        <f>IFERROR(ABS(FV('Investment Calculator'!$C$7/'Investment Calculator'!$F$4,'SIP Schedule'!C1994,'SIP Schedule'!D1994,,1)),"")</f>
        <v/>
      </c>
    </row>
    <row r="1995" spans="3:6" x14ac:dyDescent="0.3">
      <c r="C1995" s="1" t="str">
        <f>IF(C1994&lt;'Investment Calculator'!$C$8*'Investment Calculator'!$F$4,'SIP Schedule'!C1994+1,"")</f>
        <v/>
      </c>
      <c r="D1995" s="27" t="str">
        <f>IF(C1995&lt;='Investment Calculator'!$C$8*'Investment Calculator'!$F$4,'Investment Calculator'!$C$6,"")</f>
        <v/>
      </c>
      <c r="E1995" s="27" t="str">
        <f>IFERROR((F1994+D1995)*'Investment Calculator'!$C$7/'Investment Calculator'!$F$4,"")</f>
        <v/>
      </c>
      <c r="F1995" s="27" t="str">
        <f>IFERROR(ABS(FV('Investment Calculator'!$C$7/'Investment Calculator'!$F$4,'SIP Schedule'!C1995,'SIP Schedule'!D1995,,1)),"")</f>
        <v/>
      </c>
    </row>
    <row r="1996" spans="3:6" x14ac:dyDescent="0.3">
      <c r="C1996" s="1" t="str">
        <f>IF(C1995&lt;'Investment Calculator'!$C$8*'Investment Calculator'!$F$4,'SIP Schedule'!C1995+1,"")</f>
        <v/>
      </c>
      <c r="D1996" s="27" t="str">
        <f>IF(C1996&lt;='Investment Calculator'!$C$8*'Investment Calculator'!$F$4,'Investment Calculator'!$C$6,"")</f>
        <v/>
      </c>
      <c r="E1996" s="27" t="str">
        <f>IFERROR((F1995+D1996)*'Investment Calculator'!$C$7/'Investment Calculator'!$F$4,"")</f>
        <v/>
      </c>
      <c r="F1996" s="27" t="str">
        <f>IFERROR(ABS(FV('Investment Calculator'!$C$7/'Investment Calculator'!$F$4,'SIP Schedule'!C1996,'SIP Schedule'!D1996,,1)),"")</f>
        <v/>
      </c>
    </row>
    <row r="1997" spans="3:6" x14ac:dyDescent="0.3">
      <c r="C1997" s="1" t="str">
        <f>IF(C1996&lt;'Investment Calculator'!$C$8*'Investment Calculator'!$F$4,'SIP Schedule'!C1996+1,"")</f>
        <v/>
      </c>
      <c r="D1997" s="27" t="str">
        <f>IF(C1997&lt;='Investment Calculator'!$C$8*'Investment Calculator'!$F$4,'Investment Calculator'!$C$6,"")</f>
        <v/>
      </c>
      <c r="E1997" s="27" t="str">
        <f>IFERROR((F1996+D1997)*'Investment Calculator'!$C$7/'Investment Calculator'!$F$4,"")</f>
        <v/>
      </c>
      <c r="F1997" s="27" t="str">
        <f>IFERROR(ABS(FV('Investment Calculator'!$C$7/'Investment Calculator'!$F$4,'SIP Schedule'!C1997,'SIP Schedule'!D1997,,1)),"")</f>
        <v/>
      </c>
    </row>
    <row r="1998" spans="3:6" x14ac:dyDescent="0.3">
      <c r="C1998" s="1" t="str">
        <f>IF(C1997&lt;'Investment Calculator'!$C$8*'Investment Calculator'!$F$4,'SIP Schedule'!C1997+1,"")</f>
        <v/>
      </c>
      <c r="D1998" s="27" t="str">
        <f>IF(C1998&lt;='Investment Calculator'!$C$8*'Investment Calculator'!$F$4,'Investment Calculator'!$C$6,"")</f>
        <v/>
      </c>
      <c r="E1998" s="27" t="str">
        <f>IFERROR((F1997+D1998)*'Investment Calculator'!$C$7/'Investment Calculator'!$F$4,"")</f>
        <v/>
      </c>
      <c r="F1998" s="27" t="str">
        <f>IFERROR(ABS(FV('Investment Calculator'!$C$7/'Investment Calculator'!$F$4,'SIP Schedule'!C1998,'SIP Schedule'!D1998,,1)),"")</f>
        <v/>
      </c>
    </row>
    <row r="1999" spans="3:6" x14ac:dyDescent="0.3">
      <c r="C1999" s="1" t="str">
        <f>IF(C1998&lt;'Investment Calculator'!$C$8*'Investment Calculator'!$F$4,'SIP Schedule'!C1998+1,"")</f>
        <v/>
      </c>
      <c r="D1999" s="27" t="str">
        <f>IF(C1999&lt;='Investment Calculator'!$C$8*'Investment Calculator'!$F$4,'Investment Calculator'!$C$6,"")</f>
        <v/>
      </c>
      <c r="E1999" s="27" t="str">
        <f>IFERROR((F1998+D1999)*'Investment Calculator'!$C$7/'Investment Calculator'!$F$4,"")</f>
        <v/>
      </c>
      <c r="F1999" s="27" t="str">
        <f>IFERROR(ABS(FV('Investment Calculator'!$C$7/'Investment Calculator'!$F$4,'SIP Schedule'!C1999,'SIP Schedule'!D1999,,1)),"")</f>
        <v/>
      </c>
    </row>
    <row r="2000" spans="3:6" x14ac:dyDescent="0.3">
      <c r="C2000" s="1" t="str">
        <f>IF(C1999&lt;'Investment Calculator'!$C$8*'Investment Calculator'!$F$4,'SIP Schedule'!C1999+1,"")</f>
        <v/>
      </c>
      <c r="D2000" s="27" t="str">
        <f>IF(C2000&lt;='Investment Calculator'!$C$8*'Investment Calculator'!$F$4,'Investment Calculator'!$C$6,"")</f>
        <v/>
      </c>
      <c r="E2000" s="27" t="str">
        <f>IFERROR((F1999+D2000)*'Investment Calculator'!$C$7/'Investment Calculator'!$F$4,"")</f>
        <v/>
      </c>
      <c r="F2000" s="27" t="str">
        <f>IFERROR(ABS(FV('Investment Calculator'!$C$7/'Investment Calculator'!$F$4,'SIP Schedule'!C2000,'SIP Schedule'!D2000,,1)),"")</f>
        <v/>
      </c>
    </row>
    <row r="2001" spans="3:6" x14ac:dyDescent="0.3">
      <c r="C2001" s="1" t="str">
        <f>IF(C2000&lt;'Investment Calculator'!$C$8*'Investment Calculator'!$F$4,'SIP Schedule'!C2000+1,"")</f>
        <v/>
      </c>
      <c r="D2001" s="27" t="str">
        <f>IF(C2001&lt;='Investment Calculator'!$C$8*'Investment Calculator'!$F$4,'Investment Calculator'!$C$6,"")</f>
        <v/>
      </c>
      <c r="E2001" s="27" t="str">
        <f>IFERROR((F2000+D2001)*'Investment Calculator'!$C$7/'Investment Calculator'!$F$4,"")</f>
        <v/>
      </c>
      <c r="F2001" s="27" t="str">
        <f>IFERROR(ABS(FV('Investment Calculator'!$C$7/'Investment Calculator'!$F$4,'SIP Schedule'!C2001,'SIP Schedule'!D2001,,1)),"")</f>
        <v/>
      </c>
    </row>
    <row r="2002" spans="3:6" x14ac:dyDescent="0.3">
      <c r="C2002" s="1" t="str">
        <f>IF(C2001&lt;'Investment Calculator'!$C$8*'Investment Calculator'!$F$4,'SIP Schedule'!C2001+1,"")</f>
        <v/>
      </c>
      <c r="D2002" s="27" t="str">
        <f>IF(C2002&lt;='Investment Calculator'!$C$8*'Investment Calculator'!$F$4,'Investment Calculator'!$C$6,"")</f>
        <v/>
      </c>
      <c r="E2002" s="27" t="str">
        <f>IFERROR((F2001+D2002)*'Investment Calculator'!$C$7/'Investment Calculator'!$F$4,"")</f>
        <v/>
      </c>
      <c r="F2002" s="27" t="str">
        <f>IFERROR(ABS(FV('Investment Calculator'!$C$7/'Investment Calculator'!$F$4,'SIP Schedule'!C2002,'SIP Schedule'!D2002,,1)),"")</f>
        <v/>
      </c>
    </row>
    <row r="2003" spans="3:6" x14ac:dyDescent="0.3">
      <c r="C2003" s="1" t="str">
        <f>IF(C2002&lt;'Investment Calculator'!$C$8*'Investment Calculator'!$F$4,'SIP Schedule'!C2002+1,"")</f>
        <v/>
      </c>
      <c r="D2003" s="27" t="str">
        <f>IF(C2003&lt;='Investment Calculator'!$C$8*'Investment Calculator'!$F$4,'Investment Calculator'!$C$6,"")</f>
        <v/>
      </c>
      <c r="E2003" s="27" t="str">
        <f>IFERROR((F2002+D2003)*'Investment Calculator'!$C$7/'Investment Calculator'!$F$4,"")</f>
        <v/>
      </c>
      <c r="F2003" s="27" t="str">
        <f>IFERROR(ABS(FV('Investment Calculator'!$C$7/'Investment Calculator'!$F$4,'SIP Schedule'!C2003,'SIP Schedule'!D2003,,1)),"")</f>
        <v/>
      </c>
    </row>
    <row r="2004" spans="3:6" x14ac:dyDescent="0.3">
      <c r="C2004" s="1" t="str">
        <f>IF(C2003&lt;'Investment Calculator'!$C$8*'Investment Calculator'!$F$4,'SIP Schedule'!C2003+1,"")</f>
        <v/>
      </c>
      <c r="D2004" s="27" t="str">
        <f>IF(C2004&lt;='Investment Calculator'!$C$8*'Investment Calculator'!$F$4,'Investment Calculator'!$C$6,"")</f>
        <v/>
      </c>
      <c r="E2004" s="27" t="str">
        <f>IFERROR((F2003+D2004)*'Investment Calculator'!$C$7/'Investment Calculator'!$F$4,"")</f>
        <v/>
      </c>
      <c r="F2004" s="27" t="str">
        <f>IFERROR(ABS(FV('Investment Calculator'!$C$7/'Investment Calculator'!$F$4,'SIP Schedule'!C2004,'SIP Schedule'!D2004,,1)),"")</f>
        <v/>
      </c>
    </row>
    <row r="2005" spans="3:6" x14ac:dyDescent="0.3">
      <c r="C2005" s="1" t="str">
        <f>IF(C2004&lt;'Investment Calculator'!$C$8*'Investment Calculator'!$F$4,'SIP Schedule'!C2004+1,"")</f>
        <v/>
      </c>
      <c r="D2005" s="27" t="str">
        <f>IF(C2005&lt;='Investment Calculator'!$C$8*'Investment Calculator'!$F$4,'Investment Calculator'!$C$6,"")</f>
        <v/>
      </c>
      <c r="E2005" s="27" t="str">
        <f>IFERROR((F2004+D2005)*'Investment Calculator'!$C$7/'Investment Calculator'!$F$4,"")</f>
        <v/>
      </c>
      <c r="F2005" s="27" t="str">
        <f>IFERROR(ABS(FV('Investment Calculator'!$C$7/'Investment Calculator'!$F$4,'SIP Schedule'!C2005,'SIP Schedule'!D2005,,1)),"")</f>
        <v/>
      </c>
    </row>
    <row r="2006" spans="3:6" x14ac:dyDescent="0.3">
      <c r="C2006" s="1" t="str">
        <f>IF(C2005&lt;'Investment Calculator'!$C$8*'Investment Calculator'!$F$4,'SIP Schedule'!C2005+1,"")</f>
        <v/>
      </c>
      <c r="D2006" s="27" t="str">
        <f>IF(C2006&lt;='Investment Calculator'!$C$8*'Investment Calculator'!$F$4,'Investment Calculator'!$C$6,"")</f>
        <v/>
      </c>
      <c r="E2006" s="27" t="str">
        <f>IFERROR((F2005+D2006)*'Investment Calculator'!$C$7/'Investment Calculator'!$F$4,"")</f>
        <v/>
      </c>
      <c r="F2006" s="27" t="str">
        <f>IFERROR(ABS(FV('Investment Calculator'!$C$7/'Investment Calculator'!$F$4,'SIP Schedule'!C2006,'SIP Schedule'!D2006,,1)),"")</f>
        <v/>
      </c>
    </row>
    <row r="2007" spans="3:6" x14ac:dyDescent="0.3">
      <c r="C2007" s="1" t="str">
        <f>IF(C2006&lt;'Investment Calculator'!$C$8*'Investment Calculator'!$F$4,'SIP Schedule'!C2006+1,"")</f>
        <v/>
      </c>
      <c r="D2007" s="27" t="str">
        <f>IF(C2007&lt;='Investment Calculator'!$C$8*'Investment Calculator'!$F$4,'Investment Calculator'!$C$6,"")</f>
        <v/>
      </c>
      <c r="E2007" s="27" t="str">
        <f>IFERROR((F2006+D2007)*'Investment Calculator'!$C$7/'Investment Calculator'!$F$4,"")</f>
        <v/>
      </c>
      <c r="F2007" s="27" t="str">
        <f>IFERROR(ABS(FV('Investment Calculator'!$C$7/'Investment Calculator'!$F$4,'SIP Schedule'!C2007,'SIP Schedule'!D2007,,1)),"")</f>
        <v/>
      </c>
    </row>
    <row r="2008" spans="3:6" x14ac:dyDescent="0.3">
      <c r="C2008" s="1" t="str">
        <f>IF(C2007&lt;'Investment Calculator'!$C$8*'Investment Calculator'!$F$4,'SIP Schedule'!C2007+1,"")</f>
        <v/>
      </c>
      <c r="D2008" s="27" t="str">
        <f>IF(C2008&lt;='Investment Calculator'!$C$8*'Investment Calculator'!$F$4,'Investment Calculator'!$C$6,"")</f>
        <v/>
      </c>
      <c r="E2008" s="27" t="str">
        <f>IFERROR((F2007+D2008)*'Investment Calculator'!$C$7/'Investment Calculator'!$F$4,"")</f>
        <v/>
      </c>
      <c r="F2008" s="27" t="str">
        <f>IFERROR(ABS(FV('Investment Calculator'!$C$7/'Investment Calculator'!$F$4,'SIP Schedule'!C2008,'SIP Schedule'!D2008,,1)),"")</f>
        <v/>
      </c>
    </row>
    <row r="2009" spans="3:6" x14ac:dyDescent="0.3">
      <c r="C2009" s="1" t="str">
        <f>IF(C2008&lt;'Investment Calculator'!$C$8*'Investment Calculator'!$F$4,'SIP Schedule'!C2008+1,"")</f>
        <v/>
      </c>
      <c r="D2009" s="27" t="str">
        <f>IF(C2009&lt;='Investment Calculator'!$C$8*'Investment Calculator'!$F$4,'Investment Calculator'!$C$6,"")</f>
        <v/>
      </c>
      <c r="E2009" s="27" t="str">
        <f>IFERROR((F2008+D2009)*'Investment Calculator'!$C$7/'Investment Calculator'!$F$4,"")</f>
        <v/>
      </c>
      <c r="F2009" s="27" t="str">
        <f>IFERROR(ABS(FV('Investment Calculator'!$C$7/'Investment Calculator'!$F$4,'SIP Schedule'!C2009,'SIP Schedule'!D2009,,1)),"")</f>
        <v/>
      </c>
    </row>
    <row r="2010" spans="3:6" x14ac:dyDescent="0.3">
      <c r="C2010" s="1" t="str">
        <f>IF(C2009&lt;'Investment Calculator'!$C$8*'Investment Calculator'!$F$4,'SIP Schedule'!C2009+1,"")</f>
        <v/>
      </c>
      <c r="D2010" s="27" t="str">
        <f>IF(C2010&lt;='Investment Calculator'!$C$8*'Investment Calculator'!$F$4,'Investment Calculator'!$C$6,"")</f>
        <v/>
      </c>
      <c r="E2010" s="27" t="str">
        <f>IFERROR((F2009+D2010)*'Investment Calculator'!$C$7/'Investment Calculator'!$F$4,"")</f>
        <v/>
      </c>
      <c r="F2010" s="27" t="str">
        <f>IFERROR(ABS(FV('Investment Calculator'!$C$7/'Investment Calculator'!$F$4,'SIP Schedule'!C2010,'SIP Schedule'!D2010,,1)),"")</f>
        <v/>
      </c>
    </row>
    <row r="2011" spans="3:6" x14ac:dyDescent="0.3">
      <c r="C2011" s="1" t="str">
        <f>IF(C2010&lt;'Investment Calculator'!$C$8*'Investment Calculator'!$F$4,'SIP Schedule'!C2010+1,"")</f>
        <v/>
      </c>
      <c r="D2011" s="27" t="str">
        <f>IF(C2011&lt;='Investment Calculator'!$C$8*'Investment Calculator'!$F$4,'Investment Calculator'!$C$6,"")</f>
        <v/>
      </c>
      <c r="E2011" s="27" t="str">
        <f>IFERROR((F2010+D2011)*'Investment Calculator'!$C$7/'Investment Calculator'!$F$4,"")</f>
        <v/>
      </c>
      <c r="F2011" s="27" t="str">
        <f>IFERROR(ABS(FV('Investment Calculator'!$C$7/'Investment Calculator'!$F$4,'SIP Schedule'!C2011,'SIP Schedule'!D2011,,1)),"")</f>
        <v/>
      </c>
    </row>
    <row r="2012" spans="3:6" x14ac:dyDescent="0.3">
      <c r="C2012" s="1" t="str">
        <f>IF(C2011&lt;'Investment Calculator'!$C$8*'Investment Calculator'!$F$4,'SIP Schedule'!C2011+1,"")</f>
        <v/>
      </c>
      <c r="D2012" s="27" t="str">
        <f>IF(C2012&lt;='Investment Calculator'!$C$8*'Investment Calculator'!$F$4,'Investment Calculator'!$C$6,"")</f>
        <v/>
      </c>
      <c r="E2012" s="27" t="str">
        <f>IFERROR((F2011+D2012)*'Investment Calculator'!$C$7/'Investment Calculator'!$F$4,"")</f>
        <v/>
      </c>
      <c r="F2012" s="27" t="str">
        <f>IFERROR(ABS(FV('Investment Calculator'!$C$7/'Investment Calculator'!$F$4,'SIP Schedule'!C2012,'SIP Schedule'!D2012,,1)),"")</f>
        <v/>
      </c>
    </row>
    <row r="2013" spans="3:6" x14ac:dyDescent="0.3">
      <c r="C2013" s="1" t="str">
        <f>IF(C2012&lt;'Investment Calculator'!$C$8*'Investment Calculator'!$F$4,'SIP Schedule'!C2012+1,"")</f>
        <v/>
      </c>
      <c r="D2013" s="27" t="str">
        <f>IF(C2013&lt;='Investment Calculator'!$C$8*'Investment Calculator'!$F$4,'Investment Calculator'!$C$6,"")</f>
        <v/>
      </c>
      <c r="E2013" s="27" t="str">
        <f>IFERROR((F2012+D2013)*'Investment Calculator'!$C$7/'Investment Calculator'!$F$4,"")</f>
        <v/>
      </c>
      <c r="F2013" s="27" t="str">
        <f>IFERROR(ABS(FV('Investment Calculator'!$C$7/'Investment Calculator'!$F$4,'SIP Schedule'!C2013,'SIP Schedule'!D2013,,1)),"")</f>
        <v/>
      </c>
    </row>
    <row r="2014" spans="3:6" x14ac:dyDescent="0.3">
      <c r="C2014" s="1" t="str">
        <f>IF(C2013&lt;'Investment Calculator'!$C$8*'Investment Calculator'!$F$4,'SIP Schedule'!C2013+1,"")</f>
        <v/>
      </c>
      <c r="D2014" s="27" t="str">
        <f>IF(C2014&lt;='Investment Calculator'!$C$8*'Investment Calculator'!$F$4,'Investment Calculator'!$C$6,"")</f>
        <v/>
      </c>
      <c r="E2014" s="27" t="str">
        <f>IFERROR((F2013+D2014)*'Investment Calculator'!$C$7/'Investment Calculator'!$F$4,"")</f>
        <v/>
      </c>
      <c r="F2014" s="27" t="str">
        <f>IFERROR(ABS(FV('Investment Calculator'!$C$7/'Investment Calculator'!$F$4,'SIP Schedule'!C2014,'SIP Schedule'!D2014,,1)),"")</f>
        <v/>
      </c>
    </row>
    <row r="2015" spans="3:6" x14ac:dyDescent="0.3">
      <c r="C2015" s="1" t="str">
        <f>IF(C2014&lt;'Investment Calculator'!$C$8*'Investment Calculator'!$F$4,'SIP Schedule'!C2014+1,"")</f>
        <v/>
      </c>
      <c r="D2015" s="27" t="str">
        <f>IF(C2015&lt;='Investment Calculator'!$C$8*'Investment Calculator'!$F$4,'Investment Calculator'!$C$6,"")</f>
        <v/>
      </c>
      <c r="E2015" s="27" t="str">
        <f>IFERROR((F2014+D2015)*'Investment Calculator'!$C$7/'Investment Calculator'!$F$4,"")</f>
        <v/>
      </c>
      <c r="F2015" s="27" t="str">
        <f>IFERROR(ABS(FV('Investment Calculator'!$C$7/'Investment Calculator'!$F$4,'SIP Schedule'!C2015,'SIP Schedule'!D2015,,1)),"")</f>
        <v/>
      </c>
    </row>
    <row r="2016" spans="3:6" x14ac:dyDescent="0.3">
      <c r="C2016" s="1" t="str">
        <f>IF(C2015&lt;'Investment Calculator'!$C$8*'Investment Calculator'!$F$4,'SIP Schedule'!C2015+1,"")</f>
        <v/>
      </c>
      <c r="D2016" s="27" t="str">
        <f>IF(C2016&lt;='Investment Calculator'!$C$8*'Investment Calculator'!$F$4,'Investment Calculator'!$C$6,"")</f>
        <v/>
      </c>
      <c r="E2016" s="27" t="str">
        <f>IFERROR((F2015+D2016)*'Investment Calculator'!$C$7/'Investment Calculator'!$F$4,"")</f>
        <v/>
      </c>
      <c r="F2016" s="27" t="str">
        <f>IFERROR(ABS(FV('Investment Calculator'!$C$7/'Investment Calculator'!$F$4,'SIP Schedule'!C2016,'SIP Schedule'!D2016,,1)),"")</f>
        <v/>
      </c>
    </row>
    <row r="2017" spans="3:6" x14ac:dyDescent="0.3">
      <c r="C2017" s="1" t="str">
        <f>IF(C2016&lt;'Investment Calculator'!$C$8*'Investment Calculator'!$F$4,'SIP Schedule'!C2016+1,"")</f>
        <v/>
      </c>
      <c r="D2017" s="27" t="str">
        <f>IF(C2017&lt;='Investment Calculator'!$C$8*'Investment Calculator'!$F$4,'Investment Calculator'!$C$6,"")</f>
        <v/>
      </c>
      <c r="E2017" s="27" t="str">
        <f>IFERROR((F2016+D2017)*'Investment Calculator'!$C$7/'Investment Calculator'!$F$4,"")</f>
        <v/>
      </c>
      <c r="F2017" s="27" t="str">
        <f>IFERROR(ABS(FV('Investment Calculator'!$C$7/'Investment Calculator'!$F$4,'SIP Schedule'!C2017,'SIP Schedule'!D2017,,1)),"")</f>
        <v/>
      </c>
    </row>
    <row r="2018" spans="3:6" x14ac:dyDescent="0.3">
      <c r="C2018" s="1" t="str">
        <f>IF(C2017&lt;'Investment Calculator'!$C$8*'Investment Calculator'!$F$4,'SIP Schedule'!C2017+1,"")</f>
        <v/>
      </c>
      <c r="D2018" s="27" t="str">
        <f>IF(C2018&lt;='Investment Calculator'!$C$8*'Investment Calculator'!$F$4,'Investment Calculator'!$C$6,"")</f>
        <v/>
      </c>
      <c r="E2018" s="27" t="str">
        <f>IFERROR((F2017+D2018)*'Investment Calculator'!$C$7/'Investment Calculator'!$F$4,"")</f>
        <v/>
      </c>
      <c r="F2018" s="27" t="str">
        <f>IFERROR(ABS(FV('Investment Calculator'!$C$7/'Investment Calculator'!$F$4,'SIP Schedule'!C2018,'SIP Schedule'!D2018,,1)),"")</f>
        <v/>
      </c>
    </row>
    <row r="2019" spans="3:6" x14ac:dyDescent="0.3">
      <c r="C2019" s="1" t="str">
        <f>IF(C2018&lt;'Investment Calculator'!$C$8*'Investment Calculator'!$F$4,'SIP Schedule'!C2018+1,"")</f>
        <v/>
      </c>
      <c r="D2019" s="27" t="str">
        <f>IF(C2019&lt;='Investment Calculator'!$C$8*'Investment Calculator'!$F$4,'Investment Calculator'!$C$6,"")</f>
        <v/>
      </c>
      <c r="E2019" s="27" t="str">
        <f>IFERROR((F2018+D2019)*'Investment Calculator'!$C$7/'Investment Calculator'!$F$4,"")</f>
        <v/>
      </c>
      <c r="F2019" s="27" t="str">
        <f>IFERROR(ABS(FV('Investment Calculator'!$C$7/'Investment Calculator'!$F$4,'SIP Schedule'!C2019,'SIP Schedule'!D2019,,1)),"")</f>
        <v/>
      </c>
    </row>
    <row r="2020" spans="3:6" x14ac:dyDescent="0.3">
      <c r="C2020" s="1" t="str">
        <f>IF(C2019&lt;'Investment Calculator'!$C$8*'Investment Calculator'!$F$4,'SIP Schedule'!C2019+1,"")</f>
        <v/>
      </c>
      <c r="D2020" s="27" t="str">
        <f>IF(C2020&lt;='Investment Calculator'!$C$8*'Investment Calculator'!$F$4,'Investment Calculator'!$C$6,"")</f>
        <v/>
      </c>
      <c r="E2020" s="27" t="str">
        <f>IFERROR((F2019+D2020)*'Investment Calculator'!$C$7/'Investment Calculator'!$F$4,"")</f>
        <v/>
      </c>
      <c r="F2020" s="27" t="str">
        <f>IFERROR(ABS(FV('Investment Calculator'!$C$7/'Investment Calculator'!$F$4,'SIP Schedule'!C2020,'SIP Schedule'!D2020,,1)),"")</f>
        <v/>
      </c>
    </row>
    <row r="2021" spans="3:6" x14ac:dyDescent="0.3">
      <c r="C2021" s="1" t="str">
        <f>IF(C2020&lt;'Investment Calculator'!$C$8*'Investment Calculator'!$F$4,'SIP Schedule'!C2020+1,"")</f>
        <v/>
      </c>
      <c r="D2021" s="27" t="str">
        <f>IF(C2021&lt;='Investment Calculator'!$C$8*'Investment Calculator'!$F$4,'Investment Calculator'!$C$6,"")</f>
        <v/>
      </c>
      <c r="E2021" s="27" t="str">
        <f>IFERROR((F2020+D2021)*'Investment Calculator'!$C$7/'Investment Calculator'!$F$4,"")</f>
        <v/>
      </c>
      <c r="F2021" s="27" t="str">
        <f>IFERROR(ABS(FV('Investment Calculator'!$C$7/'Investment Calculator'!$F$4,'SIP Schedule'!C2021,'SIP Schedule'!D2021,,1)),"")</f>
        <v/>
      </c>
    </row>
    <row r="2022" spans="3:6" x14ac:dyDescent="0.3">
      <c r="C2022" s="1" t="str">
        <f>IF(C2021&lt;'Investment Calculator'!$C$8*'Investment Calculator'!$F$4,'SIP Schedule'!C2021+1,"")</f>
        <v/>
      </c>
      <c r="D2022" s="27" t="str">
        <f>IF(C2022&lt;='Investment Calculator'!$C$8*'Investment Calculator'!$F$4,'Investment Calculator'!$C$6,"")</f>
        <v/>
      </c>
      <c r="E2022" s="27" t="str">
        <f>IFERROR((F2021+D2022)*'Investment Calculator'!$C$7/'Investment Calculator'!$F$4,"")</f>
        <v/>
      </c>
      <c r="F2022" s="27" t="str">
        <f>IFERROR(ABS(FV('Investment Calculator'!$C$7/'Investment Calculator'!$F$4,'SIP Schedule'!C2022,'SIP Schedule'!D2022,,1)),"")</f>
        <v/>
      </c>
    </row>
    <row r="2023" spans="3:6" x14ac:dyDescent="0.3">
      <c r="C2023" s="1" t="str">
        <f>IF(C2022&lt;'Investment Calculator'!$C$8*'Investment Calculator'!$F$4,'SIP Schedule'!C2022+1,"")</f>
        <v/>
      </c>
      <c r="D2023" s="27" t="str">
        <f>IF(C2023&lt;='Investment Calculator'!$C$8*'Investment Calculator'!$F$4,'Investment Calculator'!$C$6,"")</f>
        <v/>
      </c>
      <c r="E2023" s="27" t="str">
        <f>IFERROR((F2022+D2023)*'Investment Calculator'!$C$7/'Investment Calculator'!$F$4,"")</f>
        <v/>
      </c>
      <c r="F2023" s="27" t="str">
        <f>IFERROR(ABS(FV('Investment Calculator'!$C$7/'Investment Calculator'!$F$4,'SIP Schedule'!C2023,'SIP Schedule'!D2023,,1)),"")</f>
        <v/>
      </c>
    </row>
    <row r="2024" spans="3:6" x14ac:dyDescent="0.3">
      <c r="C2024" s="1" t="str">
        <f>IF(C2023&lt;'Investment Calculator'!$C$8*'Investment Calculator'!$F$4,'SIP Schedule'!C2023+1,"")</f>
        <v/>
      </c>
      <c r="D2024" s="27" t="str">
        <f>IF(C2024&lt;='Investment Calculator'!$C$8*'Investment Calculator'!$F$4,'Investment Calculator'!$C$6,"")</f>
        <v/>
      </c>
      <c r="E2024" s="27" t="str">
        <f>IFERROR((F2023+D2024)*'Investment Calculator'!$C$7/'Investment Calculator'!$F$4,"")</f>
        <v/>
      </c>
      <c r="F2024" s="27" t="str">
        <f>IFERROR(ABS(FV('Investment Calculator'!$C$7/'Investment Calculator'!$F$4,'SIP Schedule'!C2024,'SIP Schedule'!D2024,,1)),"")</f>
        <v/>
      </c>
    </row>
    <row r="2025" spans="3:6" x14ac:dyDescent="0.3">
      <c r="C2025" s="1" t="str">
        <f>IF(C2024&lt;'Investment Calculator'!$C$8*'Investment Calculator'!$F$4,'SIP Schedule'!C2024+1,"")</f>
        <v/>
      </c>
      <c r="D2025" s="27" t="str">
        <f>IF(C2025&lt;='Investment Calculator'!$C$8*'Investment Calculator'!$F$4,'Investment Calculator'!$C$6,"")</f>
        <v/>
      </c>
      <c r="E2025" s="27" t="str">
        <f>IFERROR((F2024+D2025)*'Investment Calculator'!$C$7/'Investment Calculator'!$F$4,"")</f>
        <v/>
      </c>
      <c r="F2025" s="27" t="str">
        <f>IFERROR(ABS(FV('Investment Calculator'!$C$7/'Investment Calculator'!$F$4,'SIP Schedule'!C2025,'SIP Schedule'!D2025,,1)),"")</f>
        <v/>
      </c>
    </row>
    <row r="2026" spans="3:6" x14ac:dyDescent="0.3">
      <c r="C2026" s="1" t="str">
        <f>IF(C2025&lt;'Investment Calculator'!$C$8*'Investment Calculator'!$F$4,'SIP Schedule'!C2025+1,"")</f>
        <v/>
      </c>
      <c r="D2026" s="27" t="str">
        <f>IF(C2026&lt;='Investment Calculator'!$C$8*'Investment Calculator'!$F$4,'Investment Calculator'!$C$6,"")</f>
        <v/>
      </c>
      <c r="E2026" s="27" t="str">
        <f>IFERROR((F2025+D2026)*'Investment Calculator'!$C$7/'Investment Calculator'!$F$4,"")</f>
        <v/>
      </c>
      <c r="F2026" s="27" t="str">
        <f>IFERROR(ABS(FV('Investment Calculator'!$C$7/'Investment Calculator'!$F$4,'SIP Schedule'!C2026,'SIP Schedule'!D2026,,1)),"")</f>
        <v/>
      </c>
    </row>
    <row r="2027" spans="3:6" x14ac:dyDescent="0.3">
      <c r="C2027" s="1" t="str">
        <f>IF(C2026&lt;'Investment Calculator'!$C$8*'Investment Calculator'!$F$4,'SIP Schedule'!C2026+1,"")</f>
        <v/>
      </c>
      <c r="D2027" s="27" t="str">
        <f>IF(C2027&lt;='Investment Calculator'!$C$8*'Investment Calculator'!$F$4,'Investment Calculator'!$C$6,"")</f>
        <v/>
      </c>
      <c r="E2027" s="27" t="str">
        <f>IFERROR((F2026+D2027)*'Investment Calculator'!$C$7/'Investment Calculator'!$F$4,"")</f>
        <v/>
      </c>
      <c r="F2027" s="27" t="str">
        <f>IFERROR(ABS(FV('Investment Calculator'!$C$7/'Investment Calculator'!$F$4,'SIP Schedule'!C2027,'SIP Schedule'!D2027,,1)),"")</f>
        <v/>
      </c>
    </row>
    <row r="2028" spans="3:6" x14ac:dyDescent="0.3">
      <c r="C2028" s="1" t="str">
        <f>IF(C2027&lt;'Investment Calculator'!$C$8*'Investment Calculator'!$F$4,'SIP Schedule'!C2027+1,"")</f>
        <v/>
      </c>
      <c r="D2028" s="27" t="str">
        <f>IF(C2028&lt;='Investment Calculator'!$C$8*'Investment Calculator'!$F$4,'Investment Calculator'!$C$6,"")</f>
        <v/>
      </c>
      <c r="E2028" s="27" t="str">
        <f>IFERROR((F2027+D2028)*'Investment Calculator'!$C$7/'Investment Calculator'!$F$4,"")</f>
        <v/>
      </c>
      <c r="F2028" s="27" t="str">
        <f>IFERROR(ABS(FV('Investment Calculator'!$C$7/'Investment Calculator'!$F$4,'SIP Schedule'!C2028,'SIP Schedule'!D2028,,1)),"")</f>
        <v/>
      </c>
    </row>
    <row r="2029" spans="3:6" x14ac:dyDescent="0.3">
      <c r="C2029" s="1" t="str">
        <f>IF(C2028&lt;'Investment Calculator'!$C$8*'Investment Calculator'!$F$4,'SIP Schedule'!C2028+1,"")</f>
        <v/>
      </c>
      <c r="D2029" s="27" t="str">
        <f>IF(C2029&lt;='Investment Calculator'!$C$8*'Investment Calculator'!$F$4,'Investment Calculator'!$C$6,"")</f>
        <v/>
      </c>
      <c r="E2029" s="27" t="str">
        <f>IFERROR((F2028+D2029)*'Investment Calculator'!$C$7/'Investment Calculator'!$F$4,"")</f>
        <v/>
      </c>
      <c r="F2029" s="27" t="str">
        <f>IFERROR(ABS(FV('Investment Calculator'!$C$7/'Investment Calculator'!$F$4,'SIP Schedule'!C2029,'SIP Schedule'!D2029,,1)),"")</f>
        <v/>
      </c>
    </row>
    <row r="2030" spans="3:6" x14ac:dyDescent="0.3">
      <c r="C2030" s="1" t="str">
        <f>IF(C2029&lt;'Investment Calculator'!$C$8*'Investment Calculator'!$F$4,'SIP Schedule'!C2029+1,"")</f>
        <v/>
      </c>
      <c r="D2030" s="27" t="str">
        <f>IF(C2030&lt;='Investment Calculator'!$C$8*'Investment Calculator'!$F$4,'Investment Calculator'!$C$6,"")</f>
        <v/>
      </c>
      <c r="E2030" s="27" t="str">
        <f>IFERROR((F2029+D2030)*'Investment Calculator'!$C$7/'Investment Calculator'!$F$4,"")</f>
        <v/>
      </c>
      <c r="F2030" s="27" t="str">
        <f>IFERROR(ABS(FV('Investment Calculator'!$C$7/'Investment Calculator'!$F$4,'SIP Schedule'!C2030,'SIP Schedule'!D2030,,1)),"")</f>
        <v/>
      </c>
    </row>
    <row r="2031" spans="3:6" x14ac:dyDescent="0.3">
      <c r="C2031" s="1" t="str">
        <f>IF(C2030&lt;'Investment Calculator'!$C$8*'Investment Calculator'!$F$4,'SIP Schedule'!C2030+1,"")</f>
        <v/>
      </c>
      <c r="D2031" s="27" t="str">
        <f>IF(C2031&lt;='Investment Calculator'!$C$8*'Investment Calculator'!$F$4,'Investment Calculator'!$C$6,"")</f>
        <v/>
      </c>
      <c r="E2031" s="27" t="str">
        <f>IFERROR((F2030+D2031)*'Investment Calculator'!$C$7/'Investment Calculator'!$F$4,"")</f>
        <v/>
      </c>
      <c r="F2031" s="27" t="str">
        <f>IFERROR(ABS(FV('Investment Calculator'!$C$7/'Investment Calculator'!$F$4,'SIP Schedule'!C2031,'SIP Schedule'!D2031,,1)),"")</f>
        <v/>
      </c>
    </row>
    <row r="2032" spans="3:6" x14ac:dyDescent="0.3">
      <c r="C2032" s="1" t="str">
        <f>IF(C2031&lt;'Investment Calculator'!$C$8*'Investment Calculator'!$F$4,'SIP Schedule'!C2031+1,"")</f>
        <v/>
      </c>
      <c r="D2032" s="27" t="str">
        <f>IF(C2032&lt;='Investment Calculator'!$C$8*'Investment Calculator'!$F$4,'Investment Calculator'!$C$6,"")</f>
        <v/>
      </c>
      <c r="E2032" s="27" t="str">
        <f>IFERROR((F2031+D2032)*'Investment Calculator'!$C$7/'Investment Calculator'!$F$4,"")</f>
        <v/>
      </c>
      <c r="F2032" s="27" t="str">
        <f>IFERROR(ABS(FV('Investment Calculator'!$C$7/'Investment Calculator'!$F$4,'SIP Schedule'!C2032,'SIP Schedule'!D2032,,1)),"")</f>
        <v/>
      </c>
    </row>
    <row r="2033" spans="3:6" x14ac:dyDescent="0.3">
      <c r="C2033" s="1" t="str">
        <f>IF(C2032&lt;'Investment Calculator'!$C$8*'Investment Calculator'!$F$4,'SIP Schedule'!C2032+1,"")</f>
        <v/>
      </c>
      <c r="D2033" s="27" t="str">
        <f>IF(C2033&lt;='Investment Calculator'!$C$8*'Investment Calculator'!$F$4,'Investment Calculator'!$C$6,"")</f>
        <v/>
      </c>
      <c r="E2033" s="27" t="str">
        <f>IFERROR((F2032+D2033)*'Investment Calculator'!$C$7/'Investment Calculator'!$F$4,"")</f>
        <v/>
      </c>
      <c r="F2033" s="27" t="str">
        <f>IFERROR(ABS(FV('Investment Calculator'!$C$7/'Investment Calculator'!$F$4,'SIP Schedule'!C2033,'SIP Schedule'!D2033,,1)),"")</f>
        <v/>
      </c>
    </row>
    <row r="2034" spans="3:6" x14ac:dyDescent="0.3">
      <c r="C2034" s="1" t="str">
        <f>IF(C2033&lt;'Investment Calculator'!$C$8*'Investment Calculator'!$F$4,'SIP Schedule'!C2033+1,"")</f>
        <v/>
      </c>
      <c r="D2034" s="27" t="str">
        <f>IF(C2034&lt;='Investment Calculator'!$C$8*'Investment Calculator'!$F$4,'Investment Calculator'!$C$6,"")</f>
        <v/>
      </c>
      <c r="E2034" s="27" t="str">
        <f>IFERROR((F2033+D2034)*'Investment Calculator'!$C$7/'Investment Calculator'!$F$4,"")</f>
        <v/>
      </c>
      <c r="F2034" s="27" t="str">
        <f>IFERROR(ABS(FV('Investment Calculator'!$C$7/'Investment Calculator'!$F$4,'SIP Schedule'!C2034,'SIP Schedule'!D2034,,1)),"")</f>
        <v/>
      </c>
    </row>
    <row r="2035" spans="3:6" x14ac:dyDescent="0.3">
      <c r="C2035" s="1" t="str">
        <f>IF(C2034&lt;'Investment Calculator'!$C$8*'Investment Calculator'!$F$4,'SIP Schedule'!C2034+1,"")</f>
        <v/>
      </c>
      <c r="D2035" s="27" t="str">
        <f>IF(C2035&lt;='Investment Calculator'!$C$8*'Investment Calculator'!$F$4,'Investment Calculator'!$C$6,"")</f>
        <v/>
      </c>
      <c r="E2035" s="27" t="str">
        <f>IFERROR((F2034+D2035)*'Investment Calculator'!$C$7/'Investment Calculator'!$F$4,"")</f>
        <v/>
      </c>
      <c r="F2035" s="27" t="str">
        <f>IFERROR(ABS(FV('Investment Calculator'!$C$7/'Investment Calculator'!$F$4,'SIP Schedule'!C2035,'SIP Schedule'!D2035,,1)),"")</f>
        <v/>
      </c>
    </row>
    <row r="2036" spans="3:6" x14ac:dyDescent="0.3">
      <c r="C2036" s="1" t="str">
        <f>IF(C2035&lt;'Investment Calculator'!$C$8*'Investment Calculator'!$F$4,'SIP Schedule'!C2035+1,"")</f>
        <v/>
      </c>
      <c r="D2036" s="27" t="str">
        <f>IF(C2036&lt;='Investment Calculator'!$C$8*'Investment Calculator'!$F$4,'Investment Calculator'!$C$6,"")</f>
        <v/>
      </c>
      <c r="E2036" s="27" t="str">
        <f>IFERROR((F2035+D2036)*'Investment Calculator'!$C$7/'Investment Calculator'!$F$4,"")</f>
        <v/>
      </c>
      <c r="F2036" s="27" t="str">
        <f>IFERROR(ABS(FV('Investment Calculator'!$C$7/'Investment Calculator'!$F$4,'SIP Schedule'!C2036,'SIP Schedule'!D2036,,1)),"")</f>
        <v/>
      </c>
    </row>
    <row r="2037" spans="3:6" x14ac:dyDescent="0.3">
      <c r="C2037" s="1" t="str">
        <f>IF(C2036&lt;'Investment Calculator'!$C$8*'Investment Calculator'!$F$4,'SIP Schedule'!C2036+1,"")</f>
        <v/>
      </c>
      <c r="D2037" s="27" t="str">
        <f>IF(C2037&lt;='Investment Calculator'!$C$8*'Investment Calculator'!$F$4,'Investment Calculator'!$C$6,"")</f>
        <v/>
      </c>
      <c r="E2037" s="27" t="str">
        <f>IFERROR((F2036+D2037)*'Investment Calculator'!$C$7/'Investment Calculator'!$F$4,"")</f>
        <v/>
      </c>
      <c r="F2037" s="27" t="str">
        <f>IFERROR(ABS(FV('Investment Calculator'!$C$7/'Investment Calculator'!$F$4,'SIP Schedule'!C2037,'SIP Schedule'!D2037,,1)),"")</f>
        <v/>
      </c>
    </row>
    <row r="2038" spans="3:6" x14ac:dyDescent="0.3">
      <c r="C2038" s="1" t="str">
        <f>IF(C2037&lt;'Investment Calculator'!$C$8*'Investment Calculator'!$F$4,'SIP Schedule'!C2037+1,"")</f>
        <v/>
      </c>
      <c r="D2038" s="27" t="str">
        <f>IF(C2038&lt;='Investment Calculator'!$C$8*'Investment Calculator'!$F$4,'Investment Calculator'!$C$6,"")</f>
        <v/>
      </c>
      <c r="E2038" s="27" t="str">
        <f>IFERROR((F2037+D2038)*'Investment Calculator'!$C$7/'Investment Calculator'!$F$4,"")</f>
        <v/>
      </c>
      <c r="F2038" s="27" t="str">
        <f>IFERROR(ABS(FV('Investment Calculator'!$C$7/'Investment Calculator'!$F$4,'SIP Schedule'!C2038,'SIP Schedule'!D2038,,1)),"")</f>
        <v/>
      </c>
    </row>
    <row r="2039" spans="3:6" x14ac:dyDescent="0.3">
      <c r="C2039" s="1" t="str">
        <f>IF(C2038&lt;'Investment Calculator'!$C$8*'Investment Calculator'!$F$4,'SIP Schedule'!C2038+1,"")</f>
        <v/>
      </c>
      <c r="D2039" s="27" t="str">
        <f>IF(C2039&lt;='Investment Calculator'!$C$8*'Investment Calculator'!$F$4,'Investment Calculator'!$C$6,"")</f>
        <v/>
      </c>
      <c r="E2039" s="27" t="str">
        <f>IFERROR((F2038+D2039)*'Investment Calculator'!$C$7/'Investment Calculator'!$F$4,"")</f>
        <v/>
      </c>
      <c r="F2039" s="27" t="str">
        <f>IFERROR(ABS(FV('Investment Calculator'!$C$7/'Investment Calculator'!$F$4,'SIP Schedule'!C2039,'SIP Schedule'!D2039,,1)),"")</f>
        <v/>
      </c>
    </row>
    <row r="2040" spans="3:6" x14ac:dyDescent="0.3">
      <c r="C2040" s="1" t="str">
        <f>IF(C2039&lt;'Investment Calculator'!$C$8*'Investment Calculator'!$F$4,'SIP Schedule'!C2039+1,"")</f>
        <v/>
      </c>
      <c r="D2040" s="27" t="str">
        <f>IF(C2040&lt;='Investment Calculator'!$C$8*'Investment Calculator'!$F$4,'Investment Calculator'!$C$6,"")</f>
        <v/>
      </c>
      <c r="E2040" s="27" t="str">
        <f>IFERROR((F2039+D2040)*'Investment Calculator'!$C$7/'Investment Calculator'!$F$4,"")</f>
        <v/>
      </c>
      <c r="F2040" s="27" t="str">
        <f>IFERROR(ABS(FV('Investment Calculator'!$C$7/'Investment Calculator'!$F$4,'SIP Schedule'!C2040,'SIP Schedule'!D2040,,1)),"")</f>
        <v/>
      </c>
    </row>
    <row r="2041" spans="3:6" x14ac:dyDescent="0.3">
      <c r="C2041" s="1" t="str">
        <f>IF(C2040&lt;'Investment Calculator'!$C$8*'Investment Calculator'!$F$4,'SIP Schedule'!C2040+1,"")</f>
        <v/>
      </c>
      <c r="D2041" s="27" t="str">
        <f>IF(C2041&lt;='Investment Calculator'!$C$8*'Investment Calculator'!$F$4,'Investment Calculator'!$C$6,"")</f>
        <v/>
      </c>
      <c r="E2041" s="27" t="str">
        <f>IFERROR((F2040+D2041)*'Investment Calculator'!$C$7/'Investment Calculator'!$F$4,"")</f>
        <v/>
      </c>
      <c r="F2041" s="27" t="str">
        <f>IFERROR(ABS(FV('Investment Calculator'!$C$7/'Investment Calculator'!$F$4,'SIP Schedule'!C2041,'SIP Schedule'!D2041,,1)),"")</f>
        <v/>
      </c>
    </row>
    <row r="2042" spans="3:6" x14ac:dyDescent="0.3">
      <c r="C2042" s="1" t="str">
        <f>IF(C2041&lt;'Investment Calculator'!$C$8*'Investment Calculator'!$F$4,'SIP Schedule'!C2041+1,"")</f>
        <v/>
      </c>
      <c r="D2042" s="27" t="str">
        <f>IF(C2042&lt;='Investment Calculator'!$C$8*'Investment Calculator'!$F$4,'Investment Calculator'!$C$6,"")</f>
        <v/>
      </c>
      <c r="E2042" s="27" t="str">
        <f>IFERROR((F2041+D2042)*'Investment Calculator'!$C$7/'Investment Calculator'!$F$4,"")</f>
        <v/>
      </c>
      <c r="F2042" s="27" t="str">
        <f>IFERROR(ABS(FV('Investment Calculator'!$C$7/'Investment Calculator'!$F$4,'SIP Schedule'!C2042,'SIP Schedule'!D2042,,1)),"")</f>
        <v/>
      </c>
    </row>
    <row r="2043" spans="3:6" x14ac:dyDescent="0.3">
      <c r="C2043" s="1" t="str">
        <f>IF(C2042&lt;'Investment Calculator'!$C$8*'Investment Calculator'!$F$4,'SIP Schedule'!C2042+1,"")</f>
        <v/>
      </c>
      <c r="D2043" s="27" t="str">
        <f>IF(C2043&lt;='Investment Calculator'!$C$8*'Investment Calculator'!$F$4,'Investment Calculator'!$C$6,"")</f>
        <v/>
      </c>
      <c r="E2043" s="27" t="str">
        <f>IFERROR((F2042+D2043)*'Investment Calculator'!$C$7/'Investment Calculator'!$F$4,"")</f>
        <v/>
      </c>
      <c r="F2043" s="27" t="str">
        <f>IFERROR(ABS(FV('Investment Calculator'!$C$7/'Investment Calculator'!$F$4,'SIP Schedule'!C2043,'SIP Schedule'!D2043,,1)),"")</f>
        <v/>
      </c>
    </row>
    <row r="2044" spans="3:6" x14ac:dyDescent="0.3">
      <c r="C2044" s="1" t="str">
        <f>IF(C2043&lt;'Investment Calculator'!$C$8*'Investment Calculator'!$F$4,'SIP Schedule'!C2043+1,"")</f>
        <v/>
      </c>
      <c r="D2044" s="27" t="str">
        <f>IF(C2044&lt;='Investment Calculator'!$C$8*'Investment Calculator'!$F$4,'Investment Calculator'!$C$6,"")</f>
        <v/>
      </c>
      <c r="E2044" s="27" t="str">
        <f>IFERROR((F2043+D2044)*'Investment Calculator'!$C$7/'Investment Calculator'!$F$4,"")</f>
        <v/>
      </c>
      <c r="F2044" s="27" t="str">
        <f>IFERROR(ABS(FV('Investment Calculator'!$C$7/'Investment Calculator'!$F$4,'SIP Schedule'!C2044,'SIP Schedule'!D2044,,1)),"")</f>
        <v/>
      </c>
    </row>
    <row r="2045" spans="3:6" x14ac:dyDescent="0.3">
      <c r="C2045" s="1" t="str">
        <f>IF(C2044&lt;'Investment Calculator'!$C$8*'Investment Calculator'!$F$4,'SIP Schedule'!C2044+1,"")</f>
        <v/>
      </c>
      <c r="D2045" s="27" t="str">
        <f>IF(C2045&lt;='Investment Calculator'!$C$8*'Investment Calculator'!$F$4,'Investment Calculator'!$C$6,"")</f>
        <v/>
      </c>
      <c r="E2045" s="27" t="str">
        <f>IFERROR((F2044+D2045)*'Investment Calculator'!$C$7/'Investment Calculator'!$F$4,"")</f>
        <v/>
      </c>
      <c r="F2045" s="27" t="str">
        <f>IFERROR(ABS(FV('Investment Calculator'!$C$7/'Investment Calculator'!$F$4,'SIP Schedule'!C2045,'SIP Schedule'!D2045,,1)),"")</f>
        <v/>
      </c>
    </row>
    <row r="2046" spans="3:6" x14ac:dyDescent="0.3">
      <c r="C2046" s="1" t="str">
        <f>IF(C2045&lt;'Investment Calculator'!$C$8*'Investment Calculator'!$F$4,'SIP Schedule'!C2045+1,"")</f>
        <v/>
      </c>
      <c r="D2046" s="27" t="str">
        <f>IF(C2046&lt;='Investment Calculator'!$C$8*'Investment Calculator'!$F$4,'Investment Calculator'!$C$6,"")</f>
        <v/>
      </c>
      <c r="E2046" s="27" t="str">
        <f>IFERROR((F2045+D2046)*'Investment Calculator'!$C$7/'Investment Calculator'!$F$4,"")</f>
        <v/>
      </c>
      <c r="F2046" s="27" t="str">
        <f>IFERROR(ABS(FV('Investment Calculator'!$C$7/'Investment Calculator'!$F$4,'SIP Schedule'!C2046,'SIP Schedule'!D2046,,1)),"")</f>
        <v/>
      </c>
    </row>
    <row r="2047" spans="3:6" x14ac:dyDescent="0.3">
      <c r="C2047" s="1" t="str">
        <f>IF(C2046&lt;'Investment Calculator'!$C$8*'Investment Calculator'!$F$4,'SIP Schedule'!C2046+1,"")</f>
        <v/>
      </c>
      <c r="D2047" s="27" t="str">
        <f>IF(C2047&lt;='Investment Calculator'!$C$8*'Investment Calculator'!$F$4,'Investment Calculator'!$C$6,"")</f>
        <v/>
      </c>
      <c r="E2047" s="27" t="str">
        <f>IFERROR((F2046+D2047)*'Investment Calculator'!$C$7/'Investment Calculator'!$F$4,"")</f>
        <v/>
      </c>
      <c r="F2047" s="27" t="str">
        <f>IFERROR(ABS(FV('Investment Calculator'!$C$7/'Investment Calculator'!$F$4,'SIP Schedule'!C2047,'SIP Schedule'!D2047,,1)),"")</f>
        <v/>
      </c>
    </row>
    <row r="2048" spans="3:6" x14ac:dyDescent="0.3">
      <c r="C2048" s="1" t="str">
        <f>IF(C2047&lt;'Investment Calculator'!$C$8*'Investment Calculator'!$F$4,'SIP Schedule'!C2047+1,"")</f>
        <v/>
      </c>
      <c r="D2048" s="27" t="str">
        <f>IF(C2048&lt;='Investment Calculator'!$C$8*'Investment Calculator'!$F$4,'Investment Calculator'!$C$6,"")</f>
        <v/>
      </c>
      <c r="E2048" s="27" t="str">
        <f>IFERROR((F2047+D2048)*'Investment Calculator'!$C$7/'Investment Calculator'!$F$4,"")</f>
        <v/>
      </c>
      <c r="F2048" s="27" t="str">
        <f>IFERROR(ABS(FV('Investment Calculator'!$C$7/'Investment Calculator'!$F$4,'SIP Schedule'!C2048,'SIP Schedule'!D2048,,1)),"")</f>
        <v/>
      </c>
    </row>
    <row r="2049" spans="3:6" x14ac:dyDescent="0.3">
      <c r="C2049" s="1" t="str">
        <f>IF(C2048&lt;'Investment Calculator'!$C$8*'Investment Calculator'!$F$4,'SIP Schedule'!C2048+1,"")</f>
        <v/>
      </c>
      <c r="D2049" s="27" t="str">
        <f>IF(C2049&lt;='Investment Calculator'!$C$8*'Investment Calculator'!$F$4,'Investment Calculator'!$C$6,"")</f>
        <v/>
      </c>
      <c r="E2049" s="27" t="str">
        <f>IFERROR((F2048+D2049)*'Investment Calculator'!$C$7/'Investment Calculator'!$F$4,"")</f>
        <v/>
      </c>
      <c r="F2049" s="27" t="str">
        <f>IFERROR(ABS(FV('Investment Calculator'!$C$7/'Investment Calculator'!$F$4,'SIP Schedule'!C2049,'SIP Schedule'!D2049,,1)),"")</f>
        <v/>
      </c>
    </row>
    <row r="2050" spans="3:6" x14ac:dyDescent="0.3">
      <c r="C2050" s="1" t="str">
        <f>IF(C2049&lt;'Investment Calculator'!$C$8*'Investment Calculator'!$F$4,'SIP Schedule'!C2049+1,"")</f>
        <v/>
      </c>
      <c r="D2050" s="27" t="str">
        <f>IF(C2050&lt;='Investment Calculator'!$C$8*'Investment Calculator'!$F$4,'Investment Calculator'!$C$6,"")</f>
        <v/>
      </c>
      <c r="E2050" s="27" t="str">
        <f>IFERROR((F2049+D2050)*'Investment Calculator'!$C$7/'Investment Calculator'!$F$4,"")</f>
        <v/>
      </c>
      <c r="F2050" s="27" t="str">
        <f>IFERROR(ABS(FV('Investment Calculator'!$C$7/'Investment Calculator'!$F$4,'SIP Schedule'!C2050,'SIP Schedule'!D2050,,1)),"")</f>
        <v/>
      </c>
    </row>
    <row r="2051" spans="3:6" x14ac:dyDescent="0.3">
      <c r="C2051" s="1" t="str">
        <f>IF(C2050&lt;'Investment Calculator'!$C$8*'Investment Calculator'!$F$4,'SIP Schedule'!C2050+1,"")</f>
        <v/>
      </c>
      <c r="D2051" s="27" t="str">
        <f>IF(C2051&lt;='Investment Calculator'!$C$8*'Investment Calculator'!$F$4,'Investment Calculator'!$C$6,"")</f>
        <v/>
      </c>
      <c r="E2051" s="27" t="str">
        <f>IFERROR((F2050+D2051)*'Investment Calculator'!$C$7/'Investment Calculator'!$F$4,"")</f>
        <v/>
      </c>
      <c r="F2051" s="27" t="str">
        <f>IFERROR(ABS(FV('Investment Calculator'!$C$7/'Investment Calculator'!$F$4,'SIP Schedule'!C2051,'SIP Schedule'!D2051,,1)),"")</f>
        <v/>
      </c>
    </row>
    <row r="2052" spans="3:6" x14ac:dyDescent="0.3">
      <c r="C2052" s="1" t="str">
        <f>IF(C2051&lt;'Investment Calculator'!$C$8*'Investment Calculator'!$F$4,'SIP Schedule'!C2051+1,"")</f>
        <v/>
      </c>
      <c r="D2052" s="27" t="str">
        <f>IF(C2052&lt;='Investment Calculator'!$C$8*'Investment Calculator'!$F$4,'Investment Calculator'!$C$6,"")</f>
        <v/>
      </c>
      <c r="E2052" s="27" t="str">
        <f>IFERROR((F2051+D2052)*'Investment Calculator'!$C$7/'Investment Calculator'!$F$4,"")</f>
        <v/>
      </c>
      <c r="F2052" s="27" t="str">
        <f>IFERROR(ABS(FV('Investment Calculator'!$C$7/'Investment Calculator'!$F$4,'SIP Schedule'!C2052,'SIP Schedule'!D2052,,1)),"")</f>
        <v/>
      </c>
    </row>
    <row r="2053" spans="3:6" x14ac:dyDescent="0.3">
      <c r="C2053" s="1" t="str">
        <f>IF(C2052&lt;'Investment Calculator'!$C$8*'Investment Calculator'!$F$4,'SIP Schedule'!C2052+1,"")</f>
        <v/>
      </c>
      <c r="D2053" s="27" t="str">
        <f>IF(C2053&lt;='Investment Calculator'!$C$8*'Investment Calculator'!$F$4,'Investment Calculator'!$C$6,"")</f>
        <v/>
      </c>
      <c r="E2053" s="27" t="str">
        <f>IFERROR((F2052+D2053)*'Investment Calculator'!$C$7/'Investment Calculator'!$F$4,"")</f>
        <v/>
      </c>
      <c r="F2053" s="27" t="str">
        <f>IFERROR(ABS(FV('Investment Calculator'!$C$7/'Investment Calculator'!$F$4,'SIP Schedule'!C2053,'SIP Schedule'!D2053,,1)),"")</f>
        <v/>
      </c>
    </row>
    <row r="2054" spans="3:6" x14ac:dyDescent="0.3">
      <c r="C2054" s="1" t="str">
        <f>IF(C2053&lt;'Investment Calculator'!$C$8*'Investment Calculator'!$F$4,'SIP Schedule'!C2053+1,"")</f>
        <v/>
      </c>
      <c r="D2054" s="27" t="str">
        <f>IF(C2054&lt;='Investment Calculator'!$C$8*'Investment Calculator'!$F$4,'Investment Calculator'!$C$6,"")</f>
        <v/>
      </c>
      <c r="E2054" s="27" t="str">
        <f>IFERROR((F2053+D2054)*'Investment Calculator'!$C$7/'Investment Calculator'!$F$4,"")</f>
        <v/>
      </c>
      <c r="F2054" s="27" t="str">
        <f>IFERROR(ABS(FV('Investment Calculator'!$C$7/'Investment Calculator'!$F$4,'SIP Schedule'!C2054,'SIP Schedule'!D2054,,1)),"")</f>
        <v/>
      </c>
    </row>
    <row r="2055" spans="3:6" x14ac:dyDescent="0.3">
      <c r="C2055" s="1" t="str">
        <f>IF(C2054&lt;'Investment Calculator'!$C$8*'Investment Calculator'!$F$4,'SIP Schedule'!C2054+1,"")</f>
        <v/>
      </c>
      <c r="D2055" s="27" t="str">
        <f>IF(C2055&lt;='Investment Calculator'!$C$8*'Investment Calculator'!$F$4,'Investment Calculator'!$C$6,"")</f>
        <v/>
      </c>
      <c r="E2055" s="27" t="str">
        <f>IFERROR((F2054+D2055)*'Investment Calculator'!$C$7/'Investment Calculator'!$F$4,"")</f>
        <v/>
      </c>
      <c r="F2055" s="27" t="str">
        <f>IFERROR(ABS(FV('Investment Calculator'!$C$7/'Investment Calculator'!$F$4,'SIP Schedule'!C2055,'SIP Schedule'!D2055,,1)),"")</f>
        <v/>
      </c>
    </row>
    <row r="2056" spans="3:6" x14ac:dyDescent="0.3">
      <c r="C2056" s="1" t="str">
        <f>IF(C2055&lt;'Investment Calculator'!$C$8*'Investment Calculator'!$F$4,'SIP Schedule'!C2055+1,"")</f>
        <v/>
      </c>
      <c r="D2056" s="27" t="str">
        <f>IF(C2056&lt;='Investment Calculator'!$C$8*'Investment Calculator'!$F$4,'Investment Calculator'!$C$6,"")</f>
        <v/>
      </c>
      <c r="E2056" s="27" t="str">
        <f>IFERROR((F2055+D2056)*'Investment Calculator'!$C$7/'Investment Calculator'!$F$4,"")</f>
        <v/>
      </c>
      <c r="F2056" s="27" t="str">
        <f>IFERROR(ABS(FV('Investment Calculator'!$C$7/'Investment Calculator'!$F$4,'SIP Schedule'!C2056,'SIP Schedule'!D2056,,1)),"")</f>
        <v/>
      </c>
    </row>
    <row r="2057" spans="3:6" x14ac:dyDescent="0.3">
      <c r="C2057" s="1" t="str">
        <f>IF(C2056&lt;'Investment Calculator'!$C$8*'Investment Calculator'!$F$4,'SIP Schedule'!C2056+1,"")</f>
        <v/>
      </c>
      <c r="D2057" s="27" t="str">
        <f>IF(C2057&lt;='Investment Calculator'!$C$8*'Investment Calculator'!$F$4,'Investment Calculator'!$C$6,"")</f>
        <v/>
      </c>
      <c r="E2057" s="27" t="str">
        <f>IFERROR((F2056+D2057)*'Investment Calculator'!$C$7/'Investment Calculator'!$F$4,"")</f>
        <v/>
      </c>
      <c r="F2057" s="27" t="str">
        <f>IFERROR(ABS(FV('Investment Calculator'!$C$7/'Investment Calculator'!$F$4,'SIP Schedule'!C2057,'SIP Schedule'!D2057,,1)),"")</f>
        <v/>
      </c>
    </row>
    <row r="2058" spans="3:6" x14ac:dyDescent="0.3">
      <c r="C2058" s="1" t="str">
        <f>IF(C2057&lt;'Investment Calculator'!$C$8*'Investment Calculator'!$F$4,'SIP Schedule'!C2057+1,"")</f>
        <v/>
      </c>
      <c r="D2058" s="27" t="str">
        <f>IF(C2058&lt;='Investment Calculator'!$C$8*'Investment Calculator'!$F$4,'Investment Calculator'!$C$6,"")</f>
        <v/>
      </c>
      <c r="E2058" s="27" t="str">
        <f>IFERROR((F2057+D2058)*'Investment Calculator'!$C$7/'Investment Calculator'!$F$4,"")</f>
        <v/>
      </c>
      <c r="F2058" s="27" t="str">
        <f>IFERROR(ABS(FV('Investment Calculator'!$C$7/'Investment Calculator'!$F$4,'SIP Schedule'!C2058,'SIP Schedule'!D2058,,1)),"")</f>
        <v/>
      </c>
    </row>
    <row r="2059" spans="3:6" x14ac:dyDescent="0.3">
      <c r="C2059" s="1" t="str">
        <f>IF(C2058&lt;'Investment Calculator'!$C$8*'Investment Calculator'!$F$4,'SIP Schedule'!C2058+1,"")</f>
        <v/>
      </c>
      <c r="D2059" s="27" t="str">
        <f>IF(C2059&lt;='Investment Calculator'!$C$8*'Investment Calculator'!$F$4,'Investment Calculator'!$C$6,"")</f>
        <v/>
      </c>
      <c r="E2059" s="27" t="str">
        <f>IFERROR((F2058+D2059)*'Investment Calculator'!$C$7/'Investment Calculator'!$F$4,"")</f>
        <v/>
      </c>
      <c r="F2059" s="27" t="str">
        <f>IFERROR(ABS(FV('Investment Calculator'!$C$7/'Investment Calculator'!$F$4,'SIP Schedule'!C2059,'SIP Schedule'!D2059,,1)),"")</f>
        <v/>
      </c>
    </row>
    <row r="2060" spans="3:6" x14ac:dyDescent="0.3">
      <c r="C2060" s="1" t="str">
        <f>IF(C2059&lt;'Investment Calculator'!$C$8*'Investment Calculator'!$F$4,'SIP Schedule'!C2059+1,"")</f>
        <v/>
      </c>
      <c r="D2060" s="27" t="str">
        <f>IF(C2060&lt;='Investment Calculator'!$C$8*'Investment Calculator'!$F$4,'Investment Calculator'!$C$6,"")</f>
        <v/>
      </c>
      <c r="E2060" s="27" t="str">
        <f>IFERROR((F2059+D2060)*'Investment Calculator'!$C$7/'Investment Calculator'!$F$4,"")</f>
        <v/>
      </c>
      <c r="F2060" s="27" t="str">
        <f>IFERROR(ABS(FV('Investment Calculator'!$C$7/'Investment Calculator'!$F$4,'SIP Schedule'!C2060,'SIP Schedule'!D2060,,1)),"")</f>
        <v/>
      </c>
    </row>
    <row r="2061" spans="3:6" x14ac:dyDescent="0.3">
      <c r="C2061" s="1" t="str">
        <f>IF(C2060&lt;'Investment Calculator'!$C$8*'Investment Calculator'!$F$4,'SIP Schedule'!C2060+1,"")</f>
        <v/>
      </c>
      <c r="D2061" s="27" t="str">
        <f>IF(C2061&lt;='Investment Calculator'!$C$8*'Investment Calculator'!$F$4,'Investment Calculator'!$C$6,"")</f>
        <v/>
      </c>
      <c r="E2061" s="27" t="str">
        <f>IFERROR((F2060+D2061)*'Investment Calculator'!$C$7/'Investment Calculator'!$F$4,"")</f>
        <v/>
      </c>
      <c r="F2061" s="27" t="str">
        <f>IFERROR(ABS(FV('Investment Calculator'!$C$7/'Investment Calculator'!$F$4,'SIP Schedule'!C2061,'SIP Schedule'!D2061,,1)),"")</f>
        <v/>
      </c>
    </row>
    <row r="2062" spans="3:6" x14ac:dyDescent="0.3">
      <c r="C2062" s="1" t="str">
        <f>IF(C2061&lt;'Investment Calculator'!$C$8*'Investment Calculator'!$F$4,'SIP Schedule'!C2061+1,"")</f>
        <v/>
      </c>
      <c r="D2062" s="27" t="str">
        <f>IF(C2062&lt;='Investment Calculator'!$C$8*'Investment Calculator'!$F$4,'Investment Calculator'!$C$6,"")</f>
        <v/>
      </c>
      <c r="E2062" s="27" t="str">
        <f>IFERROR((F2061+D2062)*'Investment Calculator'!$C$7/'Investment Calculator'!$F$4,"")</f>
        <v/>
      </c>
      <c r="F2062" s="27" t="str">
        <f>IFERROR(ABS(FV('Investment Calculator'!$C$7/'Investment Calculator'!$F$4,'SIP Schedule'!C2062,'SIP Schedule'!D2062,,1)),"")</f>
        <v/>
      </c>
    </row>
    <row r="2063" spans="3:6" x14ac:dyDescent="0.3">
      <c r="C2063" s="1" t="str">
        <f>IF(C2062&lt;'Investment Calculator'!$C$8*'Investment Calculator'!$F$4,'SIP Schedule'!C2062+1,"")</f>
        <v/>
      </c>
      <c r="D2063" s="27" t="str">
        <f>IF(C2063&lt;='Investment Calculator'!$C$8*'Investment Calculator'!$F$4,'Investment Calculator'!$C$6,"")</f>
        <v/>
      </c>
      <c r="E2063" s="27" t="str">
        <f>IFERROR((F2062+D2063)*'Investment Calculator'!$C$7/'Investment Calculator'!$F$4,"")</f>
        <v/>
      </c>
      <c r="F2063" s="27" t="str">
        <f>IFERROR(ABS(FV('Investment Calculator'!$C$7/'Investment Calculator'!$F$4,'SIP Schedule'!C2063,'SIP Schedule'!D2063,,1)),"")</f>
        <v/>
      </c>
    </row>
    <row r="2064" spans="3:6" x14ac:dyDescent="0.3">
      <c r="C2064" s="1" t="str">
        <f>IF(C2063&lt;'Investment Calculator'!$C$8*'Investment Calculator'!$F$4,'SIP Schedule'!C2063+1,"")</f>
        <v/>
      </c>
      <c r="D2064" s="27" t="str">
        <f>IF(C2064&lt;='Investment Calculator'!$C$8*'Investment Calculator'!$F$4,'Investment Calculator'!$C$6,"")</f>
        <v/>
      </c>
      <c r="E2064" s="27" t="str">
        <f>IFERROR((F2063+D2064)*'Investment Calculator'!$C$7/'Investment Calculator'!$F$4,"")</f>
        <v/>
      </c>
      <c r="F2064" s="27" t="str">
        <f>IFERROR(ABS(FV('Investment Calculator'!$C$7/'Investment Calculator'!$F$4,'SIP Schedule'!C2064,'SIP Schedule'!D2064,,1)),"")</f>
        <v/>
      </c>
    </row>
    <row r="2065" spans="3:6" x14ac:dyDescent="0.3">
      <c r="C2065" s="1" t="str">
        <f>IF(C2064&lt;'Investment Calculator'!$C$8*'Investment Calculator'!$F$4,'SIP Schedule'!C2064+1,"")</f>
        <v/>
      </c>
      <c r="D2065" s="27" t="str">
        <f>IF(C2065&lt;='Investment Calculator'!$C$8*'Investment Calculator'!$F$4,'Investment Calculator'!$C$6,"")</f>
        <v/>
      </c>
      <c r="E2065" s="27" t="str">
        <f>IFERROR((F2064+D2065)*'Investment Calculator'!$C$7/'Investment Calculator'!$F$4,"")</f>
        <v/>
      </c>
      <c r="F2065" s="27" t="str">
        <f>IFERROR(ABS(FV('Investment Calculator'!$C$7/'Investment Calculator'!$F$4,'SIP Schedule'!C2065,'SIP Schedule'!D2065,,1)),"")</f>
        <v/>
      </c>
    </row>
    <row r="2066" spans="3:6" x14ac:dyDescent="0.3">
      <c r="C2066" s="1" t="str">
        <f>IF(C2065&lt;'Investment Calculator'!$C$8*'Investment Calculator'!$F$4,'SIP Schedule'!C2065+1,"")</f>
        <v/>
      </c>
      <c r="D2066" s="27" t="str">
        <f>IF(C2066&lt;='Investment Calculator'!$C$8*'Investment Calculator'!$F$4,'Investment Calculator'!$C$6,"")</f>
        <v/>
      </c>
      <c r="E2066" s="27" t="str">
        <f>IFERROR((F2065+D2066)*'Investment Calculator'!$C$7/'Investment Calculator'!$F$4,"")</f>
        <v/>
      </c>
      <c r="F2066" s="27" t="str">
        <f>IFERROR(ABS(FV('Investment Calculator'!$C$7/'Investment Calculator'!$F$4,'SIP Schedule'!C2066,'SIP Schedule'!D2066,,1)),"")</f>
        <v/>
      </c>
    </row>
    <row r="2067" spans="3:6" x14ac:dyDescent="0.3">
      <c r="C2067" s="1" t="str">
        <f>IF(C2066&lt;'Investment Calculator'!$C$8*'Investment Calculator'!$F$4,'SIP Schedule'!C2066+1,"")</f>
        <v/>
      </c>
      <c r="D2067" s="27" t="str">
        <f>IF(C2067&lt;='Investment Calculator'!$C$8*'Investment Calculator'!$F$4,'Investment Calculator'!$C$6,"")</f>
        <v/>
      </c>
      <c r="E2067" s="27" t="str">
        <f>IFERROR((F2066+D2067)*'Investment Calculator'!$C$7/'Investment Calculator'!$F$4,"")</f>
        <v/>
      </c>
      <c r="F2067" s="27" t="str">
        <f>IFERROR(ABS(FV('Investment Calculator'!$C$7/'Investment Calculator'!$F$4,'SIP Schedule'!C2067,'SIP Schedule'!D2067,,1)),"")</f>
        <v/>
      </c>
    </row>
    <row r="2068" spans="3:6" x14ac:dyDescent="0.3">
      <c r="C2068" s="1" t="str">
        <f>IF(C2067&lt;'Investment Calculator'!$C$8*'Investment Calculator'!$F$4,'SIP Schedule'!C2067+1,"")</f>
        <v/>
      </c>
      <c r="D2068" s="27" t="str">
        <f>IF(C2068&lt;='Investment Calculator'!$C$8*'Investment Calculator'!$F$4,'Investment Calculator'!$C$6,"")</f>
        <v/>
      </c>
      <c r="E2068" s="27" t="str">
        <f>IFERROR((F2067+D2068)*'Investment Calculator'!$C$7/'Investment Calculator'!$F$4,"")</f>
        <v/>
      </c>
      <c r="F2068" s="27" t="str">
        <f>IFERROR(ABS(FV('Investment Calculator'!$C$7/'Investment Calculator'!$F$4,'SIP Schedule'!C2068,'SIP Schedule'!D2068,,1)),"")</f>
        <v/>
      </c>
    </row>
    <row r="2069" spans="3:6" x14ac:dyDescent="0.3">
      <c r="C2069" s="1" t="str">
        <f>IF(C2068&lt;'Investment Calculator'!$C$8*'Investment Calculator'!$F$4,'SIP Schedule'!C2068+1,"")</f>
        <v/>
      </c>
      <c r="D2069" s="27" t="str">
        <f>IF(C2069&lt;='Investment Calculator'!$C$8*'Investment Calculator'!$F$4,'Investment Calculator'!$C$6,"")</f>
        <v/>
      </c>
      <c r="E2069" s="27" t="str">
        <f>IFERROR((F2068+D2069)*'Investment Calculator'!$C$7/'Investment Calculator'!$F$4,"")</f>
        <v/>
      </c>
      <c r="F2069" s="27" t="str">
        <f>IFERROR(ABS(FV('Investment Calculator'!$C$7/'Investment Calculator'!$F$4,'SIP Schedule'!C2069,'SIP Schedule'!D2069,,1)),"")</f>
        <v/>
      </c>
    </row>
    <row r="2070" spans="3:6" x14ac:dyDescent="0.3">
      <c r="C2070" s="1" t="str">
        <f>IF(C2069&lt;'Investment Calculator'!$C$8*'Investment Calculator'!$F$4,'SIP Schedule'!C2069+1,"")</f>
        <v/>
      </c>
      <c r="D2070" s="27" t="str">
        <f>IF(C2070&lt;='Investment Calculator'!$C$8*'Investment Calculator'!$F$4,'Investment Calculator'!$C$6,"")</f>
        <v/>
      </c>
      <c r="E2070" s="27" t="str">
        <f>IFERROR((F2069+D2070)*'Investment Calculator'!$C$7/'Investment Calculator'!$F$4,"")</f>
        <v/>
      </c>
      <c r="F2070" s="27" t="str">
        <f>IFERROR(ABS(FV('Investment Calculator'!$C$7/'Investment Calculator'!$F$4,'SIP Schedule'!C2070,'SIP Schedule'!D2070,,1)),"")</f>
        <v/>
      </c>
    </row>
    <row r="2071" spans="3:6" x14ac:dyDescent="0.3">
      <c r="C2071" s="1" t="str">
        <f>IF(C2070&lt;'Investment Calculator'!$C$8*'Investment Calculator'!$F$4,'SIP Schedule'!C2070+1,"")</f>
        <v/>
      </c>
      <c r="D2071" s="27" t="str">
        <f>IF(C2071&lt;='Investment Calculator'!$C$8*'Investment Calculator'!$F$4,'Investment Calculator'!$C$6,"")</f>
        <v/>
      </c>
      <c r="E2071" s="27" t="str">
        <f>IFERROR((F2070+D2071)*'Investment Calculator'!$C$7/'Investment Calculator'!$F$4,"")</f>
        <v/>
      </c>
      <c r="F2071" s="27" t="str">
        <f>IFERROR(ABS(FV('Investment Calculator'!$C$7/'Investment Calculator'!$F$4,'SIP Schedule'!C2071,'SIP Schedule'!D2071,,1)),"")</f>
        <v/>
      </c>
    </row>
    <row r="2072" spans="3:6" x14ac:dyDescent="0.3">
      <c r="C2072" s="1" t="str">
        <f>IF(C2071&lt;'Investment Calculator'!$C$8*'Investment Calculator'!$F$4,'SIP Schedule'!C2071+1,"")</f>
        <v/>
      </c>
      <c r="D2072" s="27" t="str">
        <f>IF(C2072&lt;='Investment Calculator'!$C$8*'Investment Calculator'!$F$4,'Investment Calculator'!$C$6,"")</f>
        <v/>
      </c>
      <c r="E2072" s="27" t="str">
        <f>IFERROR((F2071+D2072)*'Investment Calculator'!$C$7/'Investment Calculator'!$F$4,"")</f>
        <v/>
      </c>
      <c r="F2072" s="27" t="str">
        <f>IFERROR(ABS(FV('Investment Calculator'!$C$7/'Investment Calculator'!$F$4,'SIP Schedule'!C2072,'SIP Schedule'!D2072,,1)),"")</f>
        <v/>
      </c>
    </row>
    <row r="2073" spans="3:6" x14ac:dyDescent="0.3">
      <c r="C2073" s="1" t="str">
        <f>IF(C2072&lt;'Investment Calculator'!$C$8*'Investment Calculator'!$F$4,'SIP Schedule'!C2072+1,"")</f>
        <v/>
      </c>
      <c r="D2073" s="27" t="str">
        <f>IF(C2073&lt;='Investment Calculator'!$C$8*'Investment Calculator'!$F$4,'Investment Calculator'!$C$6,"")</f>
        <v/>
      </c>
      <c r="E2073" s="27" t="str">
        <f>IFERROR((F2072+D2073)*'Investment Calculator'!$C$7/'Investment Calculator'!$F$4,"")</f>
        <v/>
      </c>
      <c r="F2073" s="27" t="str">
        <f>IFERROR(ABS(FV('Investment Calculator'!$C$7/'Investment Calculator'!$F$4,'SIP Schedule'!C2073,'SIP Schedule'!D2073,,1)),"")</f>
        <v/>
      </c>
    </row>
    <row r="2074" spans="3:6" x14ac:dyDescent="0.3">
      <c r="C2074" s="1" t="str">
        <f>IF(C2073&lt;'Investment Calculator'!$C$8*'Investment Calculator'!$F$4,'SIP Schedule'!C2073+1,"")</f>
        <v/>
      </c>
      <c r="D2074" s="27" t="str">
        <f>IF(C2074&lt;='Investment Calculator'!$C$8*'Investment Calculator'!$F$4,'Investment Calculator'!$C$6,"")</f>
        <v/>
      </c>
      <c r="E2074" s="27" t="str">
        <f>IFERROR((F2073+D2074)*'Investment Calculator'!$C$7/'Investment Calculator'!$F$4,"")</f>
        <v/>
      </c>
      <c r="F2074" s="27" t="str">
        <f>IFERROR(ABS(FV('Investment Calculator'!$C$7/'Investment Calculator'!$F$4,'SIP Schedule'!C2074,'SIP Schedule'!D2074,,1)),"")</f>
        <v/>
      </c>
    </row>
    <row r="2075" spans="3:6" x14ac:dyDescent="0.3">
      <c r="C2075" s="1" t="str">
        <f>IF(C2074&lt;'Investment Calculator'!$C$8*'Investment Calculator'!$F$4,'SIP Schedule'!C2074+1,"")</f>
        <v/>
      </c>
      <c r="D2075" s="27" t="str">
        <f>IF(C2075&lt;='Investment Calculator'!$C$8*'Investment Calculator'!$F$4,'Investment Calculator'!$C$6,"")</f>
        <v/>
      </c>
      <c r="E2075" s="27" t="str">
        <f>IFERROR((F2074+D2075)*'Investment Calculator'!$C$7/'Investment Calculator'!$F$4,"")</f>
        <v/>
      </c>
      <c r="F2075" s="27" t="str">
        <f>IFERROR(ABS(FV('Investment Calculator'!$C$7/'Investment Calculator'!$F$4,'SIP Schedule'!C2075,'SIP Schedule'!D2075,,1)),"")</f>
        <v/>
      </c>
    </row>
    <row r="2076" spans="3:6" x14ac:dyDescent="0.3">
      <c r="C2076" s="1" t="str">
        <f>IF(C2075&lt;'Investment Calculator'!$C$8*'Investment Calculator'!$F$4,'SIP Schedule'!C2075+1,"")</f>
        <v/>
      </c>
      <c r="D2076" s="27" t="str">
        <f>IF(C2076&lt;='Investment Calculator'!$C$8*'Investment Calculator'!$F$4,'Investment Calculator'!$C$6,"")</f>
        <v/>
      </c>
      <c r="E2076" s="27" t="str">
        <f>IFERROR((F2075+D2076)*'Investment Calculator'!$C$7/'Investment Calculator'!$F$4,"")</f>
        <v/>
      </c>
      <c r="F2076" s="27" t="str">
        <f>IFERROR(ABS(FV('Investment Calculator'!$C$7/'Investment Calculator'!$F$4,'SIP Schedule'!C2076,'SIP Schedule'!D2076,,1)),"")</f>
        <v/>
      </c>
    </row>
    <row r="2077" spans="3:6" x14ac:dyDescent="0.3">
      <c r="C2077" s="1" t="str">
        <f>IF(C2076&lt;'Investment Calculator'!$C$8*'Investment Calculator'!$F$4,'SIP Schedule'!C2076+1,"")</f>
        <v/>
      </c>
      <c r="D2077" s="27" t="str">
        <f>IF(C2077&lt;='Investment Calculator'!$C$8*'Investment Calculator'!$F$4,'Investment Calculator'!$C$6,"")</f>
        <v/>
      </c>
      <c r="E2077" s="27" t="str">
        <f>IFERROR((F2076+D2077)*'Investment Calculator'!$C$7/'Investment Calculator'!$F$4,"")</f>
        <v/>
      </c>
      <c r="F2077" s="27" t="str">
        <f>IFERROR(ABS(FV('Investment Calculator'!$C$7/'Investment Calculator'!$F$4,'SIP Schedule'!C2077,'SIP Schedule'!D2077,,1)),"")</f>
        <v/>
      </c>
    </row>
    <row r="2078" spans="3:6" x14ac:dyDescent="0.3">
      <c r="C2078" s="1" t="str">
        <f>IF(C2077&lt;'Investment Calculator'!$C$8*'Investment Calculator'!$F$4,'SIP Schedule'!C2077+1,"")</f>
        <v/>
      </c>
      <c r="D2078" s="27" t="str">
        <f>IF(C2078&lt;='Investment Calculator'!$C$8*'Investment Calculator'!$F$4,'Investment Calculator'!$C$6,"")</f>
        <v/>
      </c>
      <c r="E2078" s="27" t="str">
        <f>IFERROR((F2077+D2078)*'Investment Calculator'!$C$7/'Investment Calculator'!$F$4,"")</f>
        <v/>
      </c>
      <c r="F2078" s="27" t="str">
        <f>IFERROR(ABS(FV('Investment Calculator'!$C$7/'Investment Calculator'!$F$4,'SIP Schedule'!C2078,'SIP Schedule'!D2078,,1)),"")</f>
        <v/>
      </c>
    </row>
    <row r="2079" spans="3:6" x14ac:dyDescent="0.3">
      <c r="C2079" s="1" t="str">
        <f>IF(C2078&lt;'Investment Calculator'!$C$8*'Investment Calculator'!$F$4,'SIP Schedule'!C2078+1,"")</f>
        <v/>
      </c>
      <c r="D2079" s="27" t="str">
        <f>IF(C2079&lt;='Investment Calculator'!$C$8*'Investment Calculator'!$F$4,'Investment Calculator'!$C$6,"")</f>
        <v/>
      </c>
      <c r="E2079" s="27" t="str">
        <f>IFERROR((F2078+D2079)*'Investment Calculator'!$C$7/'Investment Calculator'!$F$4,"")</f>
        <v/>
      </c>
      <c r="F2079" s="27" t="str">
        <f>IFERROR(ABS(FV('Investment Calculator'!$C$7/'Investment Calculator'!$F$4,'SIP Schedule'!C2079,'SIP Schedule'!D2079,,1)),"")</f>
        <v/>
      </c>
    </row>
    <row r="2080" spans="3:6" x14ac:dyDescent="0.3">
      <c r="C2080" s="1" t="str">
        <f>IF(C2079&lt;'Investment Calculator'!$C$8*'Investment Calculator'!$F$4,'SIP Schedule'!C2079+1,"")</f>
        <v/>
      </c>
      <c r="D2080" s="27" t="str">
        <f>IF(C2080&lt;='Investment Calculator'!$C$8*'Investment Calculator'!$F$4,'Investment Calculator'!$C$6,"")</f>
        <v/>
      </c>
      <c r="E2080" s="27" t="str">
        <f>IFERROR((F2079+D2080)*'Investment Calculator'!$C$7/'Investment Calculator'!$F$4,"")</f>
        <v/>
      </c>
      <c r="F2080" s="27" t="str">
        <f>IFERROR(ABS(FV('Investment Calculator'!$C$7/'Investment Calculator'!$F$4,'SIP Schedule'!C2080,'SIP Schedule'!D2080,,1)),"")</f>
        <v/>
      </c>
    </row>
    <row r="2081" spans="3:6" x14ac:dyDescent="0.3">
      <c r="C2081" s="1" t="str">
        <f>IF(C2080&lt;'Investment Calculator'!$C$8*'Investment Calculator'!$F$4,'SIP Schedule'!C2080+1,"")</f>
        <v/>
      </c>
      <c r="D2081" s="27" t="str">
        <f>IF(C2081&lt;='Investment Calculator'!$C$8*'Investment Calculator'!$F$4,'Investment Calculator'!$C$6,"")</f>
        <v/>
      </c>
      <c r="E2081" s="27" t="str">
        <f>IFERROR((F2080+D2081)*'Investment Calculator'!$C$7/'Investment Calculator'!$F$4,"")</f>
        <v/>
      </c>
      <c r="F2081" s="27" t="str">
        <f>IFERROR(ABS(FV('Investment Calculator'!$C$7/'Investment Calculator'!$F$4,'SIP Schedule'!C2081,'SIP Schedule'!D2081,,1)),"")</f>
        <v/>
      </c>
    </row>
    <row r="2082" spans="3:6" x14ac:dyDescent="0.3">
      <c r="C2082" s="1" t="str">
        <f>IF(C2081&lt;'Investment Calculator'!$C$8*'Investment Calculator'!$F$4,'SIP Schedule'!C2081+1,"")</f>
        <v/>
      </c>
      <c r="D2082" s="27" t="str">
        <f>IF(C2082&lt;='Investment Calculator'!$C$8*'Investment Calculator'!$F$4,'Investment Calculator'!$C$6,"")</f>
        <v/>
      </c>
      <c r="E2082" s="27" t="str">
        <f>IFERROR((F2081+D2082)*'Investment Calculator'!$C$7/'Investment Calculator'!$F$4,"")</f>
        <v/>
      </c>
      <c r="F2082" s="27" t="str">
        <f>IFERROR(ABS(FV('Investment Calculator'!$C$7/'Investment Calculator'!$F$4,'SIP Schedule'!C2082,'SIP Schedule'!D2082,,1)),"")</f>
        <v/>
      </c>
    </row>
    <row r="2083" spans="3:6" x14ac:dyDescent="0.3">
      <c r="C2083" s="1" t="str">
        <f>IF(C2082&lt;'Investment Calculator'!$C$8*'Investment Calculator'!$F$4,'SIP Schedule'!C2082+1,"")</f>
        <v/>
      </c>
      <c r="D2083" s="27" t="str">
        <f>IF(C2083&lt;='Investment Calculator'!$C$8*'Investment Calculator'!$F$4,'Investment Calculator'!$C$6,"")</f>
        <v/>
      </c>
      <c r="E2083" s="27" t="str">
        <f>IFERROR((F2082+D2083)*'Investment Calculator'!$C$7/'Investment Calculator'!$F$4,"")</f>
        <v/>
      </c>
      <c r="F2083" s="27" t="str">
        <f>IFERROR(ABS(FV('Investment Calculator'!$C$7/'Investment Calculator'!$F$4,'SIP Schedule'!C2083,'SIP Schedule'!D2083,,1)),"")</f>
        <v/>
      </c>
    </row>
    <row r="2084" spans="3:6" x14ac:dyDescent="0.3">
      <c r="C2084" s="1" t="str">
        <f>IF(C2083&lt;'Investment Calculator'!$C$8*'Investment Calculator'!$F$4,'SIP Schedule'!C2083+1,"")</f>
        <v/>
      </c>
      <c r="D2084" s="27" t="str">
        <f>IF(C2084&lt;='Investment Calculator'!$C$8*'Investment Calculator'!$F$4,'Investment Calculator'!$C$6,"")</f>
        <v/>
      </c>
      <c r="E2084" s="27" t="str">
        <f>IFERROR((F2083+D2084)*'Investment Calculator'!$C$7/'Investment Calculator'!$F$4,"")</f>
        <v/>
      </c>
      <c r="F2084" s="27" t="str">
        <f>IFERROR(ABS(FV('Investment Calculator'!$C$7/'Investment Calculator'!$F$4,'SIP Schedule'!C2084,'SIP Schedule'!D2084,,1)),"")</f>
        <v/>
      </c>
    </row>
    <row r="2085" spans="3:6" x14ac:dyDescent="0.3">
      <c r="C2085" s="1" t="str">
        <f>IF(C2084&lt;'Investment Calculator'!$C$8*'Investment Calculator'!$F$4,'SIP Schedule'!C2084+1,"")</f>
        <v/>
      </c>
      <c r="D2085" s="27" t="str">
        <f>IF(C2085&lt;='Investment Calculator'!$C$8*'Investment Calculator'!$F$4,'Investment Calculator'!$C$6,"")</f>
        <v/>
      </c>
      <c r="E2085" s="27" t="str">
        <f>IFERROR((F2084+D2085)*'Investment Calculator'!$C$7/'Investment Calculator'!$F$4,"")</f>
        <v/>
      </c>
      <c r="F2085" s="27" t="str">
        <f>IFERROR(ABS(FV('Investment Calculator'!$C$7/'Investment Calculator'!$F$4,'SIP Schedule'!C2085,'SIP Schedule'!D2085,,1)),"")</f>
        <v/>
      </c>
    </row>
    <row r="2086" spans="3:6" x14ac:dyDescent="0.3">
      <c r="C2086" s="1" t="str">
        <f>IF(C2085&lt;'Investment Calculator'!$C$8*'Investment Calculator'!$F$4,'SIP Schedule'!C2085+1,"")</f>
        <v/>
      </c>
      <c r="D2086" s="27" t="str">
        <f>IF(C2086&lt;='Investment Calculator'!$C$8*'Investment Calculator'!$F$4,'Investment Calculator'!$C$6,"")</f>
        <v/>
      </c>
      <c r="E2086" s="27" t="str">
        <f>IFERROR((F2085+D2086)*'Investment Calculator'!$C$7/'Investment Calculator'!$F$4,"")</f>
        <v/>
      </c>
      <c r="F2086" s="27" t="str">
        <f>IFERROR(ABS(FV('Investment Calculator'!$C$7/'Investment Calculator'!$F$4,'SIP Schedule'!C2086,'SIP Schedule'!D2086,,1)),"")</f>
        <v/>
      </c>
    </row>
    <row r="2087" spans="3:6" x14ac:dyDescent="0.3">
      <c r="C2087" s="1" t="str">
        <f>IF(C2086&lt;'Investment Calculator'!$C$8*'Investment Calculator'!$F$4,'SIP Schedule'!C2086+1,"")</f>
        <v/>
      </c>
      <c r="D2087" s="27" t="str">
        <f>IF(C2087&lt;='Investment Calculator'!$C$8*'Investment Calculator'!$F$4,'Investment Calculator'!$C$6,"")</f>
        <v/>
      </c>
      <c r="E2087" s="27" t="str">
        <f>IFERROR((F2086+D2087)*'Investment Calculator'!$C$7/'Investment Calculator'!$F$4,"")</f>
        <v/>
      </c>
      <c r="F2087" s="27" t="str">
        <f>IFERROR(ABS(FV('Investment Calculator'!$C$7/'Investment Calculator'!$F$4,'SIP Schedule'!C2087,'SIP Schedule'!D2087,,1)),"")</f>
        <v/>
      </c>
    </row>
    <row r="2088" spans="3:6" x14ac:dyDescent="0.3">
      <c r="C2088" s="1" t="str">
        <f>IF(C2087&lt;'Investment Calculator'!$C$8*'Investment Calculator'!$F$4,'SIP Schedule'!C2087+1,"")</f>
        <v/>
      </c>
      <c r="D2088" s="27" t="str">
        <f>IF(C2088&lt;='Investment Calculator'!$C$8*'Investment Calculator'!$F$4,'Investment Calculator'!$C$6,"")</f>
        <v/>
      </c>
      <c r="E2088" s="27" t="str">
        <f>IFERROR((F2087+D2088)*'Investment Calculator'!$C$7/'Investment Calculator'!$F$4,"")</f>
        <v/>
      </c>
      <c r="F2088" s="27" t="str">
        <f>IFERROR(ABS(FV('Investment Calculator'!$C$7/'Investment Calculator'!$F$4,'SIP Schedule'!C2088,'SIP Schedule'!D2088,,1)),"")</f>
        <v/>
      </c>
    </row>
    <row r="2089" spans="3:6" x14ac:dyDescent="0.3">
      <c r="C2089" s="1" t="str">
        <f>IF(C2088&lt;'Investment Calculator'!$C$8*'Investment Calculator'!$F$4,'SIP Schedule'!C2088+1,"")</f>
        <v/>
      </c>
      <c r="D2089" s="27" t="str">
        <f>IF(C2089&lt;='Investment Calculator'!$C$8*'Investment Calculator'!$F$4,'Investment Calculator'!$C$6,"")</f>
        <v/>
      </c>
      <c r="E2089" s="27" t="str">
        <f>IFERROR((F2088+D2089)*'Investment Calculator'!$C$7/'Investment Calculator'!$F$4,"")</f>
        <v/>
      </c>
      <c r="F2089" s="27" t="str">
        <f>IFERROR(ABS(FV('Investment Calculator'!$C$7/'Investment Calculator'!$F$4,'SIP Schedule'!C2089,'SIP Schedule'!D2089,,1)),"")</f>
        <v/>
      </c>
    </row>
    <row r="2090" spans="3:6" x14ac:dyDescent="0.3">
      <c r="C2090" s="1" t="str">
        <f>IF(C2089&lt;'Investment Calculator'!$C$8*'Investment Calculator'!$F$4,'SIP Schedule'!C2089+1,"")</f>
        <v/>
      </c>
      <c r="D2090" s="27" t="str">
        <f>IF(C2090&lt;='Investment Calculator'!$C$8*'Investment Calculator'!$F$4,'Investment Calculator'!$C$6,"")</f>
        <v/>
      </c>
      <c r="E2090" s="27" t="str">
        <f>IFERROR((F2089+D2090)*'Investment Calculator'!$C$7/'Investment Calculator'!$F$4,"")</f>
        <v/>
      </c>
      <c r="F2090" s="27" t="str">
        <f>IFERROR(ABS(FV('Investment Calculator'!$C$7/'Investment Calculator'!$F$4,'SIP Schedule'!C2090,'SIP Schedule'!D2090,,1)),"")</f>
        <v/>
      </c>
    </row>
    <row r="2091" spans="3:6" x14ac:dyDescent="0.3">
      <c r="C2091" s="1" t="str">
        <f>IF(C2090&lt;'Investment Calculator'!$C$8*'Investment Calculator'!$F$4,'SIP Schedule'!C2090+1,"")</f>
        <v/>
      </c>
      <c r="D2091" s="27" t="str">
        <f>IF(C2091&lt;='Investment Calculator'!$C$8*'Investment Calculator'!$F$4,'Investment Calculator'!$C$6,"")</f>
        <v/>
      </c>
      <c r="E2091" s="27" t="str">
        <f>IFERROR((F2090+D2091)*'Investment Calculator'!$C$7/'Investment Calculator'!$F$4,"")</f>
        <v/>
      </c>
      <c r="F2091" s="27" t="str">
        <f>IFERROR(ABS(FV('Investment Calculator'!$C$7/'Investment Calculator'!$F$4,'SIP Schedule'!C2091,'SIP Schedule'!D2091,,1)),"")</f>
        <v/>
      </c>
    </row>
    <row r="2092" spans="3:6" x14ac:dyDescent="0.3">
      <c r="C2092" s="1" t="str">
        <f>IF(C2091&lt;'Investment Calculator'!$C$8*'Investment Calculator'!$F$4,'SIP Schedule'!C2091+1,"")</f>
        <v/>
      </c>
      <c r="D2092" s="27" t="str">
        <f>IF(C2092&lt;='Investment Calculator'!$C$8*'Investment Calculator'!$F$4,'Investment Calculator'!$C$6,"")</f>
        <v/>
      </c>
      <c r="E2092" s="27" t="str">
        <f>IFERROR((F2091+D2092)*'Investment Calculator'!$C$7/'Investment Calculator'!$F$4,"")</f>
        <v/>
      </c>
      <c r="F2092" s="27" t="str">
        <f>IFERROR(ABS(FV('Investment Calculator'!$C$7/'Investment Calculator'!$F$4,'SIP Schedule'!C2092,'SIP Schedule'!D2092,,1)),"")</f>
        <v/>
      </c>
    </row>
    <row r="2093" spans="3:6" x14ac:dyDescent="0.3">
      <c r="C2093" s="1" t="str">
        <f>IF(C2092&lt;'Investment Calculator'!$C$8*'Investment Calculator'!$F$4,'SIP Schedule'!C2092+1,"")</f>
        <v/>
      </c>
      <c r="D2093" s="27" t="str">
        <f>IF(C2093&lt;='Investment Calculator'!$C$8*'Investment Calculator'!$F$4,'Investment Calculator'!$C$6,"")</f>
        <v/>
      </c>
      <c r="E2093" s="27" t="str">
        <f>IFERROR((F2092+D2093)*'Investment Calculator'!$C$7/'Investment Calculator'!$F$4,"")</f>
        <v/>
      </c>
      <c r="F2093" s="27" t="str">
        <f>IFERROR(ABS(FV('Investment Calculator'!$C$7/'Investment Calculator'!$F$4,'SIP Schedule'!C2093,'SIP Schedule'!D2093,,1)),"")</f>
        <v/>
      </c>
    </row>
    <row r="2094" spans="3:6" x14ac:dyDescent="0.3">
      <c r="C2094" s="1" t="str">
        <f>IF(C2093&lt;'Investment Calculator'!$C$8*'Investment Calculator'!$F$4,'SIP Schedule'!C2093+1,"")</f>
        <v/>
      </c>
      <c r="D2094" s="27" t="str">
        <f>IF(C2094&lt;='Investment Calculator'!$C$8*'Investment Calculator'!$F$4,'Investment Calculator'!$C$6,"")</f>
        <v/>
      </c>
      <c r="E2094" s="27" t="str">
        <f>IFERROR((F2093+D2094)*'Investment Calculator'!$C$7/'Investment Calculator'!$F$4,"")</f>
        <v/>
      </c>
      <c r="F2094" s="27" t="str">
        <f>IFERROR(ABS(FV('Investment Calculator'!$C$7/'Investment Calculator'!$F$4,'SIP Schedule'!C2094,'SIP Schedule'!D2094,,1)),"")</f>
        <v/>
      </c>
    </row>
    <row r="2095" spans="3:6" x14ac:dyDescent="0.3">
      <c r="C2095" s="1" t="str">
        <f>IF(C2094&lt;'Investment Calculator'!$C$8*'Investment Calculator'!$F$4,'SIP Schedule'!C2094+1,"")</f>
        <v/>
      </c>
      <c r="D2095" s="27" t="str">
        <f>IF(C2095&lt;='Investment Calculator'!$C$8*'Investment Calculator'!$F$4,'Investment Calculator'!$C$6,"")</f>
        <v/>
      </c>
      <c r="E2095" s="27" t="str">
        <f>IFERROR((F2094+D2095)*'Investment Calculator'!$C$7/'Investment Calculator'!$F$4,"")</f>
        <v/>
      </c>
      <c r="F2095" s="27" t="str">
        <f>IFERROR(ABS(FV('Investment Calculator'!$C$7/'Investment Calculator'!$F$4,'SIP Schedule'!C2095,'SIP Schedule'!D2095,,1)),"")</f>
        <v/>
      </c>
    </row>
    <row r="2096" spans="3:6" x14ac:dyDescent="0.3">
      <c r="C2096" s="1" t="str">
        <f>IF(C2095&lt;'Investment Calculator'!$C$8*'Investment Calculator'!$F$4,'SIP Schedule'!C2095+1,"")</f>
        <v/>
      </c>
      <c r="D2096" s="27" t="str">
        <f>IF(C2096&lt;='Investment Calculator'!$C$8*'Investment Calculator'!$F$4,'Investment Calculator'!$C$6,"")</f>
        <v/>
      </c>
      <c r="E2096" s="27" t="str">
        <f>IFERROR((F2095+D2096)*'Investment Calculator'!$C$7/'Investment Calculator'!$F$4,"")</f>
        <v/>
      </c>
      <c r="F2096" s="27" t="str">
        <f>IFERROR(ABS(FV('Investment Calculator'!$C$7/'Investment Calculator'!$F$4,'SIP Schedule'!C2096,'SIP Schedule'!D2096,,1)),"")</f>
        <v/>
      </c>
    </row>
    <row r="2097" spans="3:6" x14ac:dyDescent="0.3">
      <c r="C2097" s="1" t="str">
        <f>IF(C2096&lt;'Investment Calculator'!$C$8*'Investment Calculator'!$F$4,'SIP Schedule'!C2096+1,"")</f>
        <v/>
      </c>
      <c r="D2097" s="27" t="str">
        <f>IF(C2097&lt;='Investment Calculator'!$C$8*'Investment Calculator'!$F$4,'Investment Calculator'!$C$6,"")</f>
        <v/>
      </c>
      <c r="E2097" s="27" t="str">
        <f>IFERROR((F2096+D2097)*'Investment Calculator'!$C$7/'Investment Calculator'!$F$4,"")</f>
        <v/>
      </c>
      <c r="F2097" s="27" t="str">
        <f>IFERROR(ABS(FV('Investment Calculator'!$C$7/'Investment Calculator'!$F$4,'SIP Schedule'!C2097,'SIP Schedule'!D2097,,1)),"")</f>
        <v/>
      </c>
    </row>
    <row r="2098" spans="3:6" x14ac:dyDescent="0.3">
      <c r="C2098" s="1" t="str">
        <f>IF(C2097&lt;'Investment Calculator'!$C$8*'Investment Calculator'!$F$4,'SIP Schedule'!C2097+1,"")</f>
        <v/>
      </c>
      <c r="D2098" s="27" t="str">
        <f>IF(C2098&lt;='Investment Calculator'!$C$8*'Investment Calculator'!$F$4,'Investment Calculator'!$C$6,"")</f>
        <v/>
      </c>
      <c r="E2098" s="27" t="str">
        <f>IFERROR((F2097+D2098)*'Investment Calculator'!$C$7/'Investment Calculator'!$F$4,"")</f>
        <v/>
      </c>
      <c r="F2098" s="27" t="str">
        <f>IFERROR(ABS(FV('Investment Calculator'!$C$7/'Investment Calculator'!$F$4,'SIP Schedule'!C2098,'SIP Schedule'!D2098,,1)),"")</f>
        <v/>
      </c>
    </row>
    <row r="2099" spans="3:6" x14ac:dyDescent="0.3">
      <c r="C2099" s="1" t="str">
        <f>IF(C2098&lt;'Investment Calculator'!$C$8*'Investment Calculator'!$F$4,'SIP Schedule'!C2098+1,"")</f>
        <v/>
      </c>
      <c r="D2099" s="27" t="str">
        <f>IF(C2099&lt;='Investment Calculator'!$C$8*'Investment Calculator'!$F$4,'Investment Calculator'!$C$6,"")</f>
        <v/>
      </c>
      <c r="E2099" s="27" t="str">
        <f>IFERROR((F2098+D2099)*'Investment Calculator'!$C$7/'Investment Calculator'!$F$4,"")</f>
        <v/>
      </c>
      <c r="F2099" s="27" t="str">
        <f>IFERROR(ABS(FV('Investment Calculator'!$C$7/'Investment Calculator'!$F$4,'SIP Schedule'!C2099,'SIP Schedule'!D2099,,1)),"")</f>
        <v/>
      </c>
    </row>
    <row r="2100" spans="3:6" x14ac:dyDescent="0.3">
      <c r="C2100" s="1" t="str">
        <f>IF(C2099&lt;'Investment Calculator'!$C$8*'Investment Calculator'!$F$4,'SIP Schedule'!C2099+1,"")</f>
        <v/>
      </c>
      <c r="D2100" s="27" t="str">
        <f>IF(C2100&lt;='Investment Calculator'!$C$8*'Investment Calculator'!$F$4,'Investment Calculator'!$C$6,"")</f>
        <v/>
      </c>
      <c r="E2100" s="27" t="str">
        <f>IFERROR((F2099+D2100)*'Investment Calculator'!$C$7/'Investment Calculator'!$F$4,"")</f>
        <v/>
      </c>
      <c r="F2100" s="27" t="str">
        <f>IFERROR(ABS(FV('Investment Calculator'!$C$7/'Investment Calculator'!$F$4,'SIP Schedule'!C2100,'SIP Schedule'!D2100,,1)),"")</f>
        <v/>
      </c>
    </row>
    <row r="2101" spans="3:6" x14ac:dyDescent="0.3">
      <c r="C2101" s="1" t="str">
        <f>IF(C2100&lt;'Investment Calculator'!$C$8*'Investment Calculator'!$F$4,'SIP Schedule'!C2100+1,"")</f>
        <v/>
      </c>
      <c r="D2101" s="27" t="str">
        <f>IF(C2101&lt;='Investment Calculator'!$C$8*'Investment Calculator'!$F$4,'Investment Calculator'!$C$6,"")</f>
        <v/>
      </c>
      <c r="E2101" s="27" t="str">
        <f>IFERROR((F2100+D2101)*'Investment Calculator'!$C$7/'Investment Calculator'!$F$4,"")</f>
        <v/>
      </c>
      <c r="F2101" s="27" t="str">
        <f>IFERROR(ABS(FV('Investment Calculator'!$C$7/'Investment Calculator'!$F$4,'SIP Schedule'!C2101,'SIP Schedule'!D2101,,1)),"")</f>
        <v/>
      </c>
    </row>
    <row r="2102" spans="3:6" x14ac:dyDescent="0.3">
      <c r="C2102" s="1" t="str">
        <f>IF(C2101&lt;'Investment Calculator'!$C$8*'Investment Calculator'!$F$4,'SIP Schedule'!C2101+1,"")</f>
        <v/>
      </c>
      <c r="D2102" s="27" t="str">
        <f>IF(C2102&lt;='Investment Calculator'!$C$8*'Investment Calculator'!$F$4,'Investment Calculator'!$C$6,"")</f>
        <v/>
      </c>
      <c r="E2102" s="27" t="str">
        <f>IFERROR((F2101+D2102)*'Investment Calculator'!$C$7/'Investment Calculator'!$F$4,"")</f>
        <v/>
      </c>
      <c r="F2102" s="27" t="str">
        <f>IFERROR(ABS(FV('Investment Calculator'!$C$7/'Investment Calculator'!$F$4,'SIP Schedule'!C2102,'SIP Schedule'!D2102,,1)),"")</f>
        <v/>
      </c>
    </row>
    <row r="2103" spans="3:6" x14ac:dyDescent="0.3">
      <c r="C2103" s="1" t="str">
        <f>IF(C2102&lt;'Investment Calculator'!$C$8*'Investment Calculator'!$F$4,'SIP Schedule'!C2102+1,"")</f>
        <v/>
      </c>
      <c r="D2103" s="27" t="str">
        <f>IF(C2103&lt;='Investment Calculator'!$C$8*'Investment Calculator'!$F$4,'Investment Calculator'!$C$6,"")</f>
        <v/>
      </c>
      <c r="E2103" s="27" t="str">
        <f>IFERROR((F2102+D2103)*'Investment Calculator'!$C$7/'Investment Calculator'!$F$4,"")</f>
        <v/>
      </c>
      <c r="F2103" s="27" t="str">
        <f>IFERROR(ABS(FV('Investment Calculator'!$C$7/'Investment Calculator'!$F$4,'SIP Schedule'!C2103,'SIP Schedule'!D2103,,1)),"")</f>
        <v/>
      </c>
    </row>
    <row r="2104" spans="3:6" x14ac:dyDescent="0.3">
      <c r="C2104" s="1" t="str">
        <f>IF(C2103&lt;'Investment Calculator'!$C$8*'Investment Calculator'!$F$4,'SIP Schedule'!C2103+1,"")</f>
        <v/>
      </c>
      <c r="D2104" s="27" t="str">
        <f>IF(C2104&lt;='Investment Calculator'!$C$8*'Investment Calculator'!$F$4,'Investment Calculator'!$C$6,"")</f>
        <v/>
      </c>
      <c r="E2104" s="27" t="str">
        <f>IFERROR((F2103+D2104)*'Investment Calculator'!$C$7/'Investment Calculator'!$F$4,"")</f>
        <v/>
      </c>
      <c r="F2104" s="27" t="str">
        <f>IFERROR(ABS(FV('Investment Calculator'!$C$7/'Investment Calculator'!$F$4,'SIP Schedule'!C2104,'SIP Schedule'!D2104,,1)),"")</f>
        <v/>
      </c>
    </row>
    <row r="2105" spans="3:6" x14ac:dyDescent="0.3">
      <c r="C2105" s="1" t="str">
        <f>IF(C2104&lt;'Investment Calculator'!$C$8*'Investment Calculator'!$F$4,'SIP Schedule'!C2104+1,"")</f>
        <v/>
      </c>
      <c r="D2105" s="27" t="str">
        <f>IF(C2105&lt;='Investment Calculator'!$C$8*'Investment Calculator'!$F$4,'Investment Calculator'!$C$6,"")</f>
        <v/>
      </c>
      <c r="E2105" s="27" t="str">
        <f>IFERROR((F2104+D2105)*'Investment Calculator'!$C$7/'Investment Calculator'!$F$4,"")</f>
        <v/>
      </c>
      <c r="F2105" s="27" t="str">
        <f>IFERROR(ABS(FV('Investment Calculator'!$C$7/'Investment Calculator'!$F$4,'SIP Schedule'!C2105,'SIP Schedule'!D2105,,1)),"")</f>
        <v/>
      </c>
    </row>
    <row r="2106" spans="3:6" x14ac:dyDescent="0.3">
      <c r="C2106" s="1" t="str">
        <f>IF(C2105&lt;'Investment Calculator'!$C$8*'Investment Calculator'!$F$4,'SIP Schedule'!C2105+1,"")</f>
        <v/>
      </c>
      <c r="D2106" s="27" t="str">
        <f>IF(C2106&lt;='Investment Calculator'!$C$8*'Investment Calculator'!$F$4,'Investment Calculator'!$C$6,"")</f>
        <v/>
      </c>
      <c r="E2106" s="27" t="str">
        <f>IFERROR((F2105+D2106)*'Investment Calculator'!$C$7/'Investment Calculator'!$F$4,"")</f>
        <v/>
      </c>
      <c r="F2106" s="27" t="str">
        <f>IFERROR(ABS(FV('Investment Calculator'!$C$7/'Investment Calculator'!$F$4,'SIP Schedule'!C2106,'SIP Schedule'!D2106,,1)),"")</f>
        <v/>
      </c>
    </row>
    <row r="2107" spans="3:6" x14ac:dyDescent="0.3">
      <c r="C2107" s="1" t="str">
        <f>IF(C2106&lt;'Investment Calculator'!$C$8*'Investment Calculator'!$F$4,'SIP Schedule'!C2106+1,"")</f>
        <v/>
      </c>
      <c r="D2107" s="27" t="str">
        <f>IF(C2107&lt;='Investment Calculator'!$C$8*'Investment Calculator'!$F$4,'Investment Calculator'!$C$6,"")</f>
        <v/>
      </c>
      <c r="E2107" s="27" t="str">
        <f>IFERROR((F2106+D2107)*'Investment Calculator'!$C$7/'Investment Calculator'!$F$4,"")</f>
        <v/>
      </c>
      <c r="F2107" s="27" t="str">
        <f>IFERROR(ABS(FV('Investment Calculator'!$C$7/'Investment Calculator'!$F$4,'SIP Schedule'!C2107,'SIP Schedule'!D2107,,1)),"")</f>
        <v/>
      </c>
    </row>
    <row r="2108" spans="3:6" x14ac:dyDescent="0.3">
      <c r="C2108" s="1" t="str">
        <f>IF(C2107&lt;'Investment Calculator'!$C$8*'Investment Calculator'!$F$4,'SIP Schedule'!C2107+1,"")</f>
        <v/>
      </c>
      <c r="D2108" s="27" t="str">
        <f>IF(C2108&lt;='Investment Calculator'!$C$8*'Investment Calculator'!$F$4,'Investment Calculator'!$C$6,"")</f>
        <v/>
      </c>
      <c r="E2108" s="27" t="str">
        <f>IFERROR((F2107+D2108)*'Investment Calculator'!$C$7/'Investment Calculator'!$F$4,"")</f>
        <v/>
      </c>
      <c r="F2108" s="27" t="str">
        <f>IFERROR(ABS(FV('Investment Calculator'!$C$7/'Investment Calculator'!$F$4,'SIP Schedule'!C2108,'SIP Schedule'!D2108,,1)),"")</f>
        <v/>
      </c>
    </row>
    <row r="2109" spans="3:6" x14ac:dyDescent="0.3">
      <c r="C2109" s="1" t="str">
        <f>IF(C2108&lt;'Investment Calculator'!$C$8*'Investment Calculator'!$F$4,'SIP Schedule'!C2108+1,"")</f>
        <v/>
      </c>
      <c r="D2109" s="27" t="str">
        <f>IF(C2109&lt;='Investment Calculator'!$C$8*'Investment Calculator'!$F$4,'Investment Calculator'!$C$6,"")</f>
        <v/>
      </c>
      <c r="E2109" s="27" t="str">
        <f>IFERROR((F2108+D2109)*'Investment Calculator'!$C$7/'Investment Calculator'!$F$4,"")</f>
        <v/>
      </c>
      <c r="F2109" s="27" t="str">
        <f>IFERROR(ABS(FV('Investment Calculator'!$C$7/'Investment Calculator'!$F$4,'SIP Schedule'!C2109,'SIP Schedule'!D2109,,1)),"")</f>
        <v/>
      </c>
    </row>
    <row r="2110" spans="3:6" x14ac:dyDescent="0.3">
      <c r="C2110" s="1" t="str">
        <f>IF(C2109&lt;'Investment Calculator'!$C$8*'Investment Calculator'!$F$4,'SIP Schedule'!C2109+1,"")</f>
        <v/>
      </c>
      <c r="D2110" s="27" t="str">
        <f>IF(C2110&lt;='Investment Calculator'!$C$8*'Investment Calculator'!$F$4,'Investment Calculator'!$C$6,"")</f>
        <v/>
      </c>
      <c r="E2110" s="27" t="str">
        <f>IFERROR((F2109+D2110)*'Investment Calculator'!$C$7/'Investment Calculator'!$F$4,"")</f>
        <v/>
      </c>
      <c r="F2110" s="27" t="str">
        <f>IFERROR(ABS(FV('Investment Calculator'!$C$7/'Investment Calculator'!$F$4,'SIP Schedule'!C2110,'SIP Schedule'!D2110,,1)),"")</f>
        <v/>
      </c>
    </row>
    <row r="2111" spans="3:6" x14ac:dyDescent="0.3">
      <c r="C2111" s="1" t="str">
        <f>IF(C2110&lt;'Investment Calculator'!$C$8*'Investment Calculator'!$F$4,'SIP Schedule'!C2110+1,"")</f>
        <v/>
      </c>
      <c r="D2111" s="27" t="str">
        <f>IF(C2111&lt;='Investment Calculator'!$C$8*'Investment Calculator'!$F$4,'Investment Calculator'!$C$6,"")</f>
        <v/>
      </c>
      <c r="E2111" s="27" t="str">
        <f>IFERROR((F2110+D2111)*'Investment Calculator'!$C$7/'Investment Calculator'!$F$4,"")</f>
        <v/>
      </c>
      <c r="F2111" s="27" t="str">
        <f>IFERROR(ABS(FV('Investment Calculator'!$C$7/'Investment Calculator'!$F$4,'SIP Schedule'!C2111,'SIP Schedule'!D2111,,1)),"")</f>
        <v/>
      </c>
    </row>
    <row r="2112" spans="3:6" x14ac:dyDescent="0.3">
      <c r="C2112" s="1" t="str">
        <f>IF(C2111&lt;'Investment Calculator'!$C$8*'Investment Calculator'!$F$4,'SIP Schedule'!C2111+1,"")</f>
        <v/>
      </c>
      <c r="D2112" s="27" t="str">
        <f>IF(C2112&lt;='Investment Calculator'!$C$8*'Investment Calculator'!$F$4,'Investment Calculator'!$C$6,"")</f>
        <v/>
      </c>
      <c r="E2112" s="27" t="str">
        <f>IFERROR((F2111+D2112)*'Investment Calculator'!$C$7/'Investment Calculator'!$F$4,"")</f>
        <v/>
      </c>
      <c r="F2112" s="27" t="str">
        <f>IFERROR(ABS(FV('Investment Calculator'!$C$7/'Investment Calculator'!$F$4,'SIP Schedule'!C2112,'SIP Schedule'!D2112,,1)),"")</f>
        <v/>
      </c>
    </row>
    <row r="2113" spans="3:6" x14ac:dyDescent="0.3">
      <c r="C2113" s="1" t="str">
        <f>IF(C2112&lt;'Investment Calculator'!$C$8*'Investment Calculator'!$F$4,'SIP Schedule'!C2112+1,"")</f>
        <v/>
      </c>
      <c r="D2113" s="27" t="str">
        <f>IF(C2113&lt;='Investment Calculator'!$C$8*'Investment Calculator'!$F$4,'Investment Calculator'!$C$6,"")</f>
        <v/>
      </c>
      <c r="E2113" s="27" t="str">
        <f>IFERROR((F2112+D2113)*'Investment Calculator'!$C$7/'Investment Calculator'!$F$4,"")</f>
        <v/>
      </c>
      <c r="F2113" s="27" t="str">
        <f>IFERROR(ABS(FV('Investment Calculator'!$C$7/'Investment Calculator'!$F$4,'SIP Schedule'!C2113,'SIP Schedule'!D2113,,1)),"")</f>
        <v/>
      </c>
    </row>
    <row r="2114" spans="3:6" x14ac:dyDescent="0.3">
      <c r="C2114" s="1" t="str">
        <f>IF(C2113&lt;'Investment Calculator'!$C$8*'Investment Calculator'!$F$4,'SIP Schedule'!C2113+1,"")</f>
        <v/>
      </c>
      <c r="D2114" s="27" t="str">
        <f>IF(C2114&lt;='Investment Calculator'!$C$8*'Investment Calculator'!$F$4,'Investment Calculator'!$C$6,"")</f>
        <v/>
      </c>
      <c r="E2114" s="27" t="str">
        <f>IFERROR((F2113+D2114)*'Investment Calculator'!$C$7/'Investment Calculator'!$F$4,"")</f>
        <v/>
      </c>
      <c r="F2114" s="27" t="str">
        <f>IFERROR(ABS(FV('Investment Calculator'!$C$7/'Investment Calculator'!$F$4,'SIP Schedule'!C2114,'SIP Schedule'!D2114,,1)),"")</f>
        <v/>
      </c>
    </row>
    <row r="2115" spans="3:6" x14ac:dyDescent="0.3">
      <c r="C2115" s="1" t="str">
        <f>IF(C2114&lt;'Investment Calculator'!$C$8*'Investment Calculator'!$F$4,'SIP Schedule'!C2114+1,"")</f>
        <v/>
      </c>
      <c r="D2115" s="27" t="str">
        <f>IF(C2115&lt;='Investment Calculator'!$C$8*'Investment Calculator'!$F$4,'Investment Calculator'!$C$6,"")</f>
        <v/>
      </c>
      <c r="E2115" s="27" t="str">
        <f>IFERROR((F2114+D2115)*'Investment Calculator'!$C$7/'Investment Calculator'!$F$4,"")</f>
        <v/>
      </c>
      <c r="F2115" s="27" t="str">
        <f>IFERROR(ABS(FV('Investment Calculator'!$C$7/'Investment Calculator'!$F$4,'SIP Schedule'!C2115,'SIP Schedule'!D2115,,1)),"")</f>
        <v/>
      </c>
    </row>
    <row r="2116" spans="3:6" x14ac:dyDescent="0.3">
      <c r="C2116" s="1" t="str">
        <f>IF(C2115&lt;'Investment Calculator'!$C$8*'Investment Calculator'!$F$4,'SIP Schedule'!C2115+1,"")</f>
        <v/>
      </c>
      <c r="D2116" s="27" t="str">
        <f>IF(C2116&lt;='Investment Calculator'!$C$8*'Investment Calculator'!$F$4,'Investment Calculator'!$C$6,"")</f>
        <v/>
      </c>
      <c r="E2116" s="27" t="str">
        <f>IFERROR((F2115+D2116)*'Investment Calculator'!$C$7/'Investment Calculator'!$F$4,"")</f>
        <v/>
      </c>
      <c r="F2116" s="27" t="str">
        <f>IFERROR(ABS(FV('Investment Calculator'!$C$7/'Investment Calculator'!$F$4,'SIP Schedule'!C2116,'SIP Schedule'!D2116,,1)),"")</f>
        <v/>
      </c>
    </row>
    <row r="2117" spans="3:6" x14ac:dyDescent="0.3">
      <c r="C2117" s="1" t="str">
        <f>IF(C2116&lt;'Investment Calculator'!$C$8*'Investment Calculator'!$F$4,'SIP Schedule'!C2116+1,"")</f>
        <v/>
      </c>
      <c r="D2117" s="27" t="str">
        <f>IF(C2117&lt;='Investment Calculator'!$C$8*'Investment Calculator'!$F$4,'Investment Calculator'!$C$6,"")</f>
        <v/>
      </c>
      <c r="E2117" s="27" t="str">
        <f>IFERROR((F2116+D2117)*'Investment Calculator'!$C$7/'Investment Calculator'!$F$4,"")</f>
        <v/>
      </c>
      <c r="F2117" s="27" t="str">
        <f>IFERROR(ABS(FV('Investment Calculator'!$C$7/'Investment Calculator'!$F$4,'SIP Schedule'!C2117,'SIP Schedule'!D2117,,1)),"")</f>
        <v/>
      </c>
    </row>
    <row r="2118" spans="3:6" x14ac:dyDescent="0.3">
      <c r="C2118" s="1" t="str">
        <f>IF(C2117&lt;'Investment Calculator'!$C$8*'Investment Calculator'!$F$4,'SIP Schedule'!C2117+1,"")</f>
        <v/>
      </c>
      <c r="D2118" s="27" t="str">
        <f>IF(C2118&lt;='Investment Calculator'!$C$8*'Investment Calculator'!$F$4,'Investment Calculator'!$C$6,"")</f>
        <v/>
      </c>
      <c r="E2118" s="27" t="str">
        <f>IFERROR((F2117+D2118)*'Investment Calculator'!$C$7/'Investment Calculator'!$F$4,"")</f>
        <v/>
      </c>
      <c r="F2118" s="27" t="str">
        <f>IFERROR(ABS(FV('Investment Calculator'!$C$7/'Investment Calculator'!$F$4,'SIP Schedule'!C2118,'SIP Schedule'!D2118,,1)),"")</f>
        <v/>
      </c>
    </row>
    <row r="2119" spans="3:6" x14ac:dyDescent="0.3">
      <c r="C2119" s="1" t="str">
        <f>IF(C2118&lt;'Investment Calculator'!$C$8*'Investment Calculator'!$F$4,'SIP Schedule'!C2118+1,"")</f>
        <v/>
      </c>
      <c r="D2119" s="27" t="str">
        <f>IF(C2119&lt;='Investment Calculator'!$C$8*'Investment Calculator'!$F$4,'Investment Calculator'!$C$6,"")</f>
        <v/>
      </c>
      <c r="E2119" s="27" t="str">
        <f>IFERROR((F2118+D2119)*'Investment Calculator'!$C$7/'Investment Calculator'!$F$4,"")</f>
        <v/>
      </c>
      <c r="F2119" s="27" t="str">
        <f>IFERROR(ABS(FV('Investment Calculator'!$C$7/'Investment Calculator'!$F$4,'SIP Schedule'!C2119,'SIP Schedule'!D2119,,1)),"")</f>
        <v/>
      </c>
    </row>
    <row r="2120" spans="3:6" x14ac:dyDescent="0.3">
      <c r="C2120" s="1" t="str">
        <f>IF(C2119&lt;'Investment Calculator'!$C$8*'Investment Calculator'!$F$4,'SIP Schedule'!C2119+1,"")</f>
        <v/>
      </c>
      <c r="D2120" s="27" t="str">
        <f>IF(C2120&lt;='Investment Calculator'!$C$8*'Investment Calculator'!$F$4,'Investment Calculator'!$C$6,"")</f>
        <v/>
      </c>
      <c r="E2120" s="27" t="str">
        <f>IFERROR((F2119+D2120)*'Investment Calculator'!$C$7/'Investment Calculator'!$F$4,"")</f>
        <v/>
      </c>
      <c r="F2120" s="27" t="str">
        <f>IFERROR(ABS(FV('Investment Calculator'!$C$7/'Investment Calculator'!$F$4,'SIP Schedule'!C2120,'SIP Schedule'!D2120,,1)),"")</f>
        <v/>
      </c>
    </row>
    <row r="2121" spans="3:6" x14ac:dyDescent="0.3">
      <c r="C2121" s="1" t="str">
        <f>IF(C2120&lt;'Investment Calculator'!$C$8*'Investment Calculator'!$F$4,'SIP Schedule'!C2120+1,"")</f>
        <v/>
      </c>
      <c r="D2121" s="27" t="str">
        <f>IF(C2121&lt;='Investment Calculator'!$C$8*'Investment Calculator'!$F$4,'Investment Calculator'!$C$6,"")</f>
        <v/>
      </c>
      <c r="E2121" s="27" t="str">
        <f>IFERROR((F2120+D2121)*'Investment Calculator'!$C$7/'Investment Calculator'!$F$4,"")</f>
        <v/>
      </c>
      <c r="F2121" s="27" t="str">
        <f>IFERROR(ABS(FV('Investment Calculator'!$C$7/'Investment Calculator'!$F$4,'SIP Schedule'!C2121,'SIP Schedule'!D2121,,1)),"")</f>
        <v/>
      </c>
    </row>
    <row r="2122" spans="3:6" x14ac:dyDescent="0.3">
      <c r="C2122" s="1" t="str">
        <f>IF(C2121&lt;'Investment Calculator'!$C$8*'Investment Calculator'!$F$4,'SIP Schedule'!C2121+1,"")</f>
        <v/>
      </c>
      <c r="D2122" s="27" t="str">
        <f>IF(C2122&lt;='Investment Calculator'!$C$8*'Investment Calculator'!$F$4,'Investment Calculator'!$C$6,"")</f>
        <v/>
      </c>
      <c r="E2122" s="27" t="str">
        <f>IFERROR((F2121+D2122)*'Investment Calculator'!$C$7/'Investment Calculator'!$F$4,"")</f>
        <v/>
      </c>
      <c r="F2122" s="27" t="str">
        <f>IFERROR(ABS(FV('Investment Calculator'!$C$7/'Investment Calculator'!$F$4,'SIP Schedule'!C2122,'SIP Schedule'!D2122,,1)),"")</f>
        <v/>
      </c>
    </row>
    <row r="2123" spans="3:6" x14ac:dyDescent="0.3">
      <c r="C2123" s="1" t="str">
        <f>IF(C2122&lt;'Investment Calculator'!$C$8*'Investment Calculator'!$F$4,'SIP Schedule'!C2122+1,"")</f>
        <v/>
      </c>
      <c r="D2123" s="27" t="str">
        <f>IF(C2123&lt;='Investment Calculator'!$C$8*'Investment Calculator'!$F$4,'Investment Calculator'!$C$6,"")</f>
        <v/>
      </c>
      <c r="E2123" s="27" t="str">
        <f>IFERROR((F2122+D2123)*'Investment Calculator'!$C$7/'Investment Calculator'!$F$4,"")</f>
        <v/>
      </c>
      <c r="F2123" s="27" t="str">
        <f>IFERROR(ABS(FV('Investment Calculator'!$C$7/'Investment Calculator'!$F$4,'SIP Schedule'!C2123,'SIP Schedule'!D2123,,1)),"")</f>
        <v/>
      </c>
    </row>
    <row r="2124" spans="3:6" x14ac:dyDescent="0.3">
      <c r="C2124" s="1" t="str">
        <f>IF(C2123&lt;'Investment Calculator'!$C$8*'Investment Calculator'!$F$4,'SIP Schedule'!C2123+1,"")</f>
        <v/>
      </c>
      <c r="D2124" s="27" t="str">
        <f>IF(C2124&lt;='Investment Calculator'!$C$8*'Investment Calculator'!$F$4,'Investment Calculator'!$C$6,"")</f>
        <v/>
      </c>
      <c r="E2124" s="27" t="str">
        <f>IFERROR((F2123+D2124)*'Investment Calculator'!$C$7/'Investment Calculator'!$F$4,"")</f>
        <v/>
      </c>
      <c r="F2124" s="27" t="str">
        <f>IFERROR(ABS(FV('Investment Calculator'!$C$7/'Investment Calculator'!$F$4,'SIP Schedule'!C2124,'SIP Schedule'!D2124,,1)),"")</f>
        <v/>
      </c>
    </row>
    <row r="2125" spans="3:6" x14ac:dyDescent="0.3">
      <c r="C2125" s="1" t="str">
        <f>IF(C2124&lt;'Investment Calculator'!$C$8*'Investment Calculator'!$F$4,'SIP Schedule'!C2124+1,"")</f>
        <v/>
      </c>
      <c r="D2125" s="27" t="str">
        <f>IF(C2125&lt;='Investment Calculator'!$C$8*'Investment Calculator'!$F$4,'Investment Calculator'!$C$6,"")</f>
        <v/>
      </c>
      <c r="E2125" s="27" t="str">
        <f>IFERROR((F2124+D2125)*'Investment Calculator'!$C$7/'Investment Calculator'!$F$4,"")</f>
        <v/>
      </c>
      <c r="F2125" s="27" t="str">
        <f>IFERROR(ABS(FV('Investment Calculator'!$C$7/'Investment Calculator'!$F$4,'SIP Schedule'!C2125,'SIP Schedule'!D2125,,1)),"")</f>
        <v/>
      </c>
    </row>
    <row r="2126" spans="3:6" x14ac:dyDescent="0.3">
      <c r="C2126" s="1" t="str">
        <f>IF(C2125&lt;'Investment Calculator'!$C$8*'Investment Calculator'!$F$4,'SIP Schedule'!C2125+1,"")</f>
        <v/>
      </c>
      <c r="D2126" s="27" t="str">
        <f>IF(C2126&lt;='Investment Calculator'!$C$8*'Investment Calculator'!$F$4,'Investment Calculator'!$C$6,"")</f>
        <v/>
      </c>
      <c r="E2126" s="27" t="str">
        <f>IFERROR((F2125+D2126)*'Investment Calculator'!$C$7/'Investment Calculator'!$F$4,"")</f>
        <v/>
      </c>
      <c r="F2126" s="27" t="str">
        <f>IFERROR(ABS(FV('Investment Calculator'!$C$7/'Investment Calculator'!$F$4,'SIP Schedule'!C2126,'SIP Schedule'!D2126,,1)),"")</f>
        <v/>
      </c>
    </row>
    <row r="2127" spans="3:6" x14ac:dyDescent="0.3">
      <c r="C2127" s="1" t="str">
        <f>IF(C2126&lt;'Investment Calculator'!$C$8*'Investment Calculator'!$F$4,'SIP Schedule'!C2126+1,"")</f>
        <v/>
      </c>
      <c r="D2127" s="27" t="str">
        <f>IF(C2127&lt;='Investment Calculator'!$C$8*'Investment Calculator'!$F$4,'Investment Calculator'!$C$6,"")</f>
        <v/>
      </c>
      <c r="E2127" s="27" t="str">
        <f>IFERROR((F2126+D2127)*'Investment Calculator'!$C$7/'Investment Calculator'!$F$4,"")</f>
        <v/>
      </c>
      <c r="F2127" s="27" t="str">
        <f>IFERROR(ABS(FV('Investment Calculator'!$C$7/'Investment Calculator'!$F$4,'SIP Schedule'!C2127,'SIP Schedule'!D2127,,1)),"")</f>
        <v/>
      </c>
    </row>
    <row r="2128" spans="3:6" x14ac:dyDescent="0.3">
      <c r="C2128" s="1" t="str">
        <f>IF(C2127&lt;'Investment Calculator'!$C$8*'Investment Calculator'!$F$4,'SIP Schedule'!C2127+1,"")</f>
        <v/>
      </c>
      <c r="D2128" s="27" t="str">
        <f>IF(C2128&lt;='Investment Calculator'!$C$8*'Investment Calculator'!$F$4,'Investment Calculator'!$C$6,"")</f>
        <v/>
      </c>
      <c r="E2128" s="27" t="str">
        <f>IFERROR((F2127+D2128)*'Investment Calculator'!$C$7/'Investment Calculator'!$F$4,"")</f>
        <v/>
      </c>
      <c r="F2128" s="27" t="str">
        <f>IFERROR(ABS(FV('Investment Calculator'!$C$7/'Investment Calculator'!$F$4,'SIP Schedule'!C2128,'SIP Schedule'!D2128,,1)),"")</f>
        <v/>
      </c>
    </row>
    <row r="2129" spans="3:6" x14ac:dyDescent="0.3">
      <c r="C2129" s="1" t="str">
        <f>IF(C2128&lt;'Investment Calculator'!$C$8*'Investment Calculator'!$F$4,'SIP Schedule'!C2128+1,"")</f>
        <v/>
      </c>
      <c r="D2129" s="27" t="str">
        <f>IF(C2129&lt;='Investment Calculator'!$C$8*'Investment Calculator'!$F$4,'Investment Calculator'!$C$6,"")</f>
        <v/>
      </c>
      <c r="E2129" s="27" t="str">
        <f>IFERROR((F2128+D2129)*'Investment Calculator'!$C$7/'Investment Calculator'!$F$4,"")</f>
        <v/>
      </c>
      <c r="F2129" s="27" t="str">
        <f>IFERROR(ABS(FV('Investment Calculator'!$C$7/'Investment Calculator'!$F$4,'SIP Schedule'!C2129,'SIP Schedule'!D2129,,1)),"")</f>
        <v/>
      </c>
    </row>
    <row r="2130" spans="3:6" x14ac:dyDescent="0.3">
      <c r="C2130" s="1" t="str">
        <f>IF(C2129&lt;'Investment Calculator'!$C$8*'Investment Calculator'!$F$4,'SIP Schedule'!C2129+1,"")</f>
        <v/>
      </c>
      <c r="D2130" s="27" t="str">
        <f>IF(C2130&lt;='Investment Calculator'!$C$8*'Investment Calculator'!$F$4,'Investment Calculator'!$C$6,"")</f>
        <v/>
      </c>
      <c r="E2130" s="27" t="str">
        <f>IFERROR((F2129+D2130)*'Investment Calculator'!$C$7/'Investment Calculator'!$F$4,"")</f>
        <v/>
      </c>
      <c r="F2130" s="27" t="str">
        <f>IFERROR(ABS(FV('Investment Calculator'!$C$7/'Investment Calculator'!$F$4,'SIP Schedule'!C2130,'SIP Schedule'!D2130,,1)),"")</f>
        <v/>
      </c>
    </row>
    <row r="2131" spans="3:6" x14ac:dyDescent="0.3">
      <c r="C2131" s="1" t="str">
        <f>IF(C2130&lt;'Investment Calculator'!$C$8*'Investment Calculator'!$F$4,'SIP Schedule'!C2130+1,"")</f>
        <v/>
      </c>
      <c r="D2131" s="27" t="str">
        <f>IF(C2131&lt;='Investment Calculator'!$C$8*'Investment Calculator'!$F$4,'Investment Calculator'!$C$6,"")</f>
        <v/>
      </c>
      <c r="E2131" s="27" t="str">
        <f>IFERROR((F2130+D2131)*'Investment Calculator'!$C$7/'Investment Calculator'!$F$4,"")</f>
        <v/>
      </c>
      <c r="F2131" s="27" t="str">
        <f>IFERROR(ABS(FV('Investment Calculator'!$C$7/'Investment Calculator'!$F$4,'SIP Schedule'!C2131,'SIP Schedule'!D2131,,1)),"")</f>
        <v/>
      </c>
    </row>
    <row r="2132" spans="3:6" x14ac:dyDescent="0.3">
      <c r="C2132" s="1" t="str">
        <f>IF(C2131&lt;'Investment Calculator'!$C$8*'Investment Calculator'!$F$4,'SIP Schedule'!C2131+1,"")</f>
        <v/>
      </c>
      <c r="D2132" s="27" t="str">
        <f>IF(C2132&lt;='Investment Calculator'!$C$8*'Investment Calculator'!$F$4,'Investment Calculator'!$C$6,"")</f>
        <v/>
      </c>
      <c r="E2132" s="27" t="str">
        <f>IFERROR((F2131+D2132)*'Investment Calculator'!$C$7/'Investment Calculator'!$F$4,"")</f>
        <v/>
      </c>
      <c r="F2132" s="27" t="str">
        <f>IFERROR(ABS(FV('Investment Calculator'!$C$7/'Investment Calculator'!$F$4,'SIP Schedule'!C2132,'SIP Schedule'!D2132,,1)),"")</f>
        <v/>
      </c>
    </row>
    <row r="2133" spans="3:6" x14ac:dyDescent="0.3">
      <c r="C2133" s="1" t="str">
        <f>IF(C2132&lt;'Investment Calculator'!$C$8*'Investment Calculator'!$F$4,'SIP Schedule'!C2132+1,"")</f>
        <v/>
      </c>
      <c r="D2133" s="27" t="str">
        <f>IF(C2133&lt;='Investment Calculator'!$C$8*'Investment Calculator'!$F$4,'Investment Calculator'!$C$6,"")</f>
        <v/>
      </c>
      <c r="E2133" s="27" t="str">
        <f>IFERROR((F2132+D2133)*'Investment Calculator'!$C$7/'Investment Calculator'!$F$4,"")</f>
        <v/>
      </c>
      <c r="F2133" s="27" t="str">
        <f>IFERROR(ABS(FV('Investment Calculator'!$C$7/'Investment Calculator'!$F$4,'SIP Schedule'!C2133,'SIP Schedule'!D2133,,1)),"")</f>
        <v/>
      </c>
    </row>
    <row r="2134" spans="3:6" x14ac:dyDescent="0.3">
      <c r="C2134" s="1" t="str">
        <f>IF(C2133&lt;'Investment Calculator'!$C$8*'Investment Calculator'!$F$4,'SIP Schedule'!C2133+1,"")</f>
        <v/>
      </c>
      <c r="D2134" s="27" t="str">
        <f>IF(C2134&lt;='Investment Calculator'!$C$8*'Investment Calculator'!$F$4,'Investment Calculator'!$C$6,"")</f>
        <v/>
      </c>
      <c r="E2134" s="27" t="str">
        <f>IFERROR((F2133+D2134)*'Investment Calculator'!$C$7/'Investment Calculator'!$F$4,"")</f>
        <v/>
      </c>
      <c r="F2134" s="27" t="str">
        <f>IFERROR(ABS(FV('Investment Calculator'!$C$7/'Investment Calculator'!$F$4,'SIP Schedule'!C2134,'SIP Schedule'!D2134,,1)),"")</f>
        <v/>
      </c>
    </row>
    <row r="2135" spans="3:6" x14ac:dyDescent="0.3">
      <c r="C2135" s="1" t="str">
        <f>IF(C2134&lt;'Investment Calculator'!$C$8*'Investment Calculator'!$F$4,'SIP Schedule'!C2134+1,"")</f>
        <v/>
      </c>
      <c r="D2135" s="27" t="str">
        <f>IF(C2135&lt;='Investment Calculator'!$C$8*'Investment Calculator'!$F$4,'Investment Calculator'!$C$6,"")</f>
        <v/>
      </c>
      <c r="E2135" s="27" t="str">
        <f>IFERROR((F2134+D2135)*'Investment Calculator'!$C$7/'Investment Calculator'!$F$4,"")</f>
        <v/>
      </c>
      <c r="F2135" s="27" t="str">
        <f>IFERROR(ABS(FV('Investment Calculator'!$C$7/'Investment Calculator'!$F$4,'SIP Schedule'!C2135,'SIP Schedule'!D2135,,1)),"")</f>
        <v/>
      </c>
    </row>
    <row r="2136" spans="3:6" x14ac:dyDescent="0.3">
      <c r="C2136" s="1" t="str">
        <f>IF(C2135&lt;'Investment Calculator'!$C$8*'Investment Calculator'!$F$4,'SIP Schedule'!C2135+1,"")</f>
        <v/>
      </c>
      <c r="D2136" s="27" t="str">
        <f>IF(C2136&lt;='Investment Calculator'!$C$8*'Investment Calculator'!$F$4,'Investment Calculator'!$C$6,"")</f>
        <v/>
      </c>
      <c r="E2136" s="27" t="str">
        <f>IFERROR((F2135+D2136)*'Investment Calculator'!$C$7/'Investment Calculator'!$F$4,"")</f>
        <v/>
      </c>
      <c r="F2136" s="27" t="str">
        <f>IFERROR(ABS(FV('Investment Calculator'!$C$7/'Investment Calculator'!$F$4,'SIP Schedule'!C2136,'SIP Schedule'!D2136,,1)),"")</f>
        <v/>
      </c>
    </row>
    <row r="2137" spans="3:6" x14ac:dyDescent="0.3">
      <c r="C2137" s="1" t="str">
        <f>IF(C2136&lt;'Investment Calculator'!$C$8*'Investment Calculator'!$F$4,'SIP Schedule'!C2136+1,"")</f>
        <v/>
      </c>
      <c r="D2137" s="27" t="str">
        <f>IF(C2137&lt;='Investment Calculator'!$C$8*'Investment Calculator'!$F$4,'Investment Calculator'!$C$6,"")</f>
        <v/>
      </c>
      <c r="E2137" s="27" t="str">
        <f>IFERROR((F2136+D2137)*'Investment Calculator'!$C$7/'Investment Calculator'!$F$4,"")</f>
        <v/>
      </c>
      <c r="F2137" s="27" t="str">
        <f>IFERROR(ABS(FV('Investment Calculator'!$C$7/'Investment Calculator'!$F$4,'SIP Schedule'!C2137,'SIP Schedule'!D2137,,1)),"")</f>
        <v/>
      </c>
    </row>
    <row r="2138" spans="3:6" x14ac:dyDescent="0.3">
      <c r="C2138" s="1" t="str">
        <f>IF(C2137&lt;'Investment Calculator'!$C$8*'Investment Calculator'!$F$4,'SIP Schedule'!C2137+1,"")</f>
        <v/>
      </c>
      <c r="D2138" s="27" t="str">
        <f>IF(C2138&lt;='Investment Calculator'!$C$8*'Investment Calculator'!$F$4,'Investment Calculator'!$C$6,"")</f>
        <v/>
      </c>
      <c r="E2138" s="27" t="str">
        <f>IFERROR((F2137+D2138)*'Investment Calculator'!$C$7/'Investment Calculator'!$F$4,"")</f>
        <v/>
      </c>
      <c r="F2138" s="27" t="str">
        <f>IFERROR(ABS(FV('Investment Calculator'!$C$7/'Investment Calculator'!$F$4,'SIP Schedule'!C2138,'SIP Schedule'!D2138,,1)),"")</f>
        <v/>
      </c>
    </row>
    <row r="2139" spans="3:6" x14ac:dyDescent="0.3">
      <c r="C2139" s="1" t="str">
        <f>IF(C2138&lt;'Investment Calculator'!$C$8*'Investment Calculator'!$F$4,'SIP Schedule'!C2138+1,"")</f>
        <v/>
      </c>
      <c r="D2139" s="27" t="str">
        <f>IF(C2139&lt;='Investment Calculator'!$C$8*'Investment Calculator'!$F$4,'Investment Calculator'!$C$6,"")</f>
        <v/>
      </c>
      <c r="E2139" s="27" t="str">
        <f>IFERROR((F2138+D2139)*'Investment Calculator'!$C$7/'Investment Calculator'!$F$4,"")</f>
        <v/>
      </c>
      <c r="F2139" s="27" t="str">
        <f>IFERROR(ABS(FV('Investment Calculator'!$C$7/'Investment Calculator'!$F$4,'SIP Schedule'!C2139,'SIP Schedule'!D2139,,1)),"")</f>
        <v/>
      </c>
    </row>
    <row r="2140" spans="3:6" x14ac:dyDescent="0.3">
      <c r="C2140" s="1" t="str">
        <f>IF(C2139&lt;'Investment Calculator'!$C$8*'Investment Calculator'!$F$4,'SIP Schedule'!C2139+1,"")</f>
        <v/>
      </c>
      <c r="D2140" s="27" t="str">
        <f>IF(C2140&lt;='Investment Calculator'!$C$8*'Investment Calculator'!$F$4,'Investment Calculator'!$C$6,"")</f>
        <v/>
      </c>
      <c r="E2140" s="27" t="str">
        <f>IFERROR((F2139+D2140)*'Investment Calculator'!$C$7/'Investment Calculator'!$F$4,"")</f>
        <v/>
      </c>
      <c r="F2140" s="27" t="str">
        <f>IFERROR(ABS(FV('Investment Calculator'!$C$7/'Investment Calculator'!$F$4,'SIP Schedule'!C2140,'SIP Schedule'!D2140,,1)),"")</f>
        <v/>
      </c>
    </row>
    <row r="2141" spans="3:6" x14ac:dyDescent="0.3">
      <c r="C2141" s="1" t="str">
        <f>IF(C2140&lt;'Investment Calculator'!$C$8*'Investment Calculator'!$F$4,'SIP Schedule'!C2140+1,"")</f>
        <v/>
      </c>
      <c r="D2141" s="27" t="str">
        <f>IF(C2141&lt;='Investment Calculator'!$C$8*'Investment Calculator'!$F$4,'Investment Calculator'!$C$6,"")</f>
        <v/>
      </c>
      <c r="E2141" s="27" t="str">
        <f>IFERROR((F2140+D2141)*'Investment Calculator'!$C$7/'Investment Calculator'!$F$4,"")</f>
        <v/>
      </c>
      <c r="F2141" s="27" t="str">
        <f>IFERROR(ABS(FV('Investment Calculator'!$C$7/'Investment Calculator'!$F$4,'SIP Schedule'!C2141,'SIP Schedule'!D2141,,1)),"")</f>
        <v/>
      </c>
    </row>
    <row r="2142" spans="3:6" x14ac:dyDescent="0.3">
      <c r="C2142" s="1" t="str">
        <f>IF(C2141&lt;'Investment Calculator'!$C$8*'Investment Calculator'!$F$4,'SIP Schedule'!C2141+1,"")</f>
        <v/>
      </c>
      <c r="D2142" s="27" t="str">
        <f>IF(C2142&lt;='Investment Calculator'!$C$8*'Investment Calculator'!$F$4,'Investment Calculator'!$C$6,"")</f>
        <v/>
      </c>
      <c r="E2142" s="27" t="str">
        <f>IFERROR((F2141+D2142)*'Investment Calculator'!$C$7/'Investment Calculator'!$F$4,"")</f>
        <v/>
      </c>
      <c r="F2142" s="27" t="str">
        <f>IFERROR(ABS(FV('Investment Calculator'!$C$7/'Investment Calculator'!$F$4,'SIP Schedule'!C2142,'SIP Schedule'!D2142,,1)),"")</f>
        <v/>
      </c>
    </row>
    <row r="2143" spans="3:6" x14ac:dyDescent="0.3">
      <c r="C2143" s="1" t="str">
        <f>IF(C2142&lt;'Investment Calculator'!$C$8*'Investment Calculator'!$F$4,'SIP Schedule'!C2142+1,"")</f>
        <v/>
      </c>
      <c r="D2143" s="27" t="str">
        <f>IF(C2143&lt;='Investment Calculator'!$C$8*'Investment Calculator'!$F$4,'Investment Calculator'!$C$6,"")</f>
        <v/>
      </c>
      <c r="E2143" s="27" t="str">
        <f>IFERROR((F2142+D2143)*'Investment Calculator'!$C$7/'Investment Calculator'!$F$4,"")</f>
        <v/>
      </c>
      <c r="F2143" s="27" t="str">
        <f>IFERROR(ABS(FV('Investment Calculator'!$C$7/'Investment Calculator'!$F$4,'SIP Schedule'!C2143,'SIP Schedule'!D2143,,1)),"")</f>
        <v/>
      </c>
    </row>
    <row r="2144" spans="3:6" x14ac:dyDescent="0.3">
      <c r="C2144" s="1" t="str">
        <f>IF(C2143&lt;'Investment Calculator'!$C$8*'Investment Calculator'!$F$4,'SIP Schedule'!C2143+1,"")</f>
        <v/>
      </c>
      <c r="D2144" s="27" t="str">
        <f>IF(C2144&lt;='Investment Calculator'!$C$8*'Investment Calculator'!$F$4,'Investment Calculator'!$C$6,"")</f>
        <v/>
      </c>
      <c r="E2144" s="27" t="str">
        <f>IFERROR((F2143+D2144)*'Investment Calculator'!$C$7/'Investment Calculator'!$F$4,"")</f>
        <v/>
      </c>
      <c r="F2144" s="27" t="str">
        <f>IFERROR(ABS(FV('Investment Calculator'!$C$7/'Investment Calculator'!$F$4,'SIP Schedule'!C2144,'SIP Schedule'!D2144,,1)),"")</f>
        <v/>
      </c>
    </row>
    <row r="2145" spans="3:6" x14ac:dyDescent="0.3">
      <c r="C2145" s="1" t="str">
        <f>IF(C2144&lt;'Investment Calculator'!$C$8*'Investment Calculator'!$F$4,'SIP Schedule'!C2144+1,"")</f>
        <v/>
      </c>
      <c r="D2145" s="27" t="str">
        <f>IF(C2145&lt;='Investment Calculator'!$C$8*'Investment Calculator'!$F$4,'Investment Calculator'!$C$6,"")</f>
        <v/>
      </c>
      <c r="E2145" s="27" t="str">
        <f>IFERROR((F2144+D2145)*'Investment Calculator'!$C$7/'Investment Calculator'!$F$4,"")</f>
        <v/>
      </c>
      <c r="F2145" s="27" t="str">
        <f>IFERROR(ABS(FV('Investment Calculator'!$C$7/'Investment Calculator'!$F$4,'SIP Schedule'!C2145,'SIP Schedule'!D2145,,1)),"")</f>
        <v/>
      </c>
    </row>
    <row r="2146" spans="3:6" x14ac:dyDescent="0.3">
      <c r="C2146" s="1" t="str">
        <f>IF(C2145&lt;'Investment Calculator'!$C$8*'Investment Calculator'!$F$4,'SIP Schedule'!C2145+1,"")</f>
        <v/>
      </c>
      <c r="D2146" s="27" t="str">
        <f>IF(C2146&lt;='Investment Calculator'!$C$8*'Investment Calculator'!$F$4,'Investment Calculator'!$C$6,"")</f>
        <v/>
      </c>
      <c r="E2146" s="27" t="str">
        <f>IFERROR((F2145+D2146)*'Investment Calculator'!$C$7/'Investment Calculator'!$F$4,"")</f>
        <v/>
      </c>
      <c r="F2146" s="27" t="str">
        <f>IFERROR(ABS(FV('Investment Calculator'!$C$7/'Investment Calculator'!$F$4,'SIP Schedule'!C2146,'SIP Schedule'!D2146,,1)),"")</f>
        <v/>
      </c>
    </row>
    <row r="2147" spans="3:6" x14ac:dyDescent="0.3">
      <c r="C2147" s="1" t="str">
        <f>IF(C2146&lt;'Investment Calculator'!$C$8*'Investment Calculator'!$F$4,'SIP Schedule'!C2146+1,"")</f>
        <v/>
      </c>
      <c r="D2147" s="27" t="str">
        <f>IF(C2147&lt;='Investment Calculator'!$C$8*'Investment Calculator'!$F$4,'Investment Calculator'!$C$6,"")</f>
        <v/>
      </c>
      <c r="E2147" s="27" t="str">
        <f>IFERROR((F2146+D2147)*'Investment Calculator'!$C$7/'Investment Calculator'!$F$4,"")</f>
        <v/>
      </c>
      <c r="F2147" s="27" t="str">
        <f>IFERROR(ABS(FV('Investment Calculator'!$C$7/'Investment Calculator'!$F$4,'SIP Schedule'!C2147,'SIP Schedule'!D2147,,1)),"")</f>
        <v/>
      </c>
    </row>
    <row r="2148" spans="3:6" x14ac:dyDescent="0.3">
      <c r="C2148" s="1" t="str">
        <f>IF(C2147&lt;'Investment Calculator'!$C$8*'Investment Calculator'!$F$4,'SIP Schedule'!C2147+1,"")</f>
        <v/>
      </c>
      <c r="D2148" s="27" t="str">
        <f>IF(C2148&lt;='Investment Calculator'!$C$8*'Investment Calculator'!$F$4,'Investment Calculator'!$C$6,"")</f>
        <v/>
      </c>
      <c r="E2148" s="27" t="str">
        <f>IFERROR((F2147+D2148)*'Investment Calculator'!$C$7/'Investment Calculator'!$F$4,"")</f>
        <v/>
      </c>
      <c r="F2148" s="27" t="str">
        <f>IFERROR(ABS(FV('Investment Calculator'!$C$7/'Investment Calculator'!$F$4,'SIP Schedule'!C2148,'SIP Schedule'!D2148,,1)),"")</f>
        <v/>
      </c>
    </row>
    <row r="2149" spans="3:6" x14ac:dyDescent="0.3">
      <c r="C2149" s="1" t="str">
        <f>IF(C2148&lt;'Investment Calculator'!$C$8*'Investment Calculator'!$F$4,'SIP Schedule'!C2148+1,"")</f>
        <v/>
      </c>
      <c r="D2149" s="27" t="str">
        <f>IF(C2149&lt;='Investment Calculator'!$C$8*'Investment Calculator'!$F$4,'Investment Calculator'!$C$6,"")</f>
        <v/>
      </c>
      <c r="E2149" s="27" t="str">
        <f>IFERROR((F2148+D2149)*'Investment Calculator'!$C$7/'Investment Calculator'!$F$4,"")</f>
        <v/>
      </c>
      <c r="F2149" s="27" t="str">
        <f>IFERROR(ABS(FV('Investment Calculator'!$C$7/'Investment Calculator'!$F$4,'SIP Schedule'!C2149,'SIP Schedule'!D2149,,1)),"")</f>
        <v/>
      </c>
    </row>
    <row r="2150" spans="3:6" x14ac:dyDescent="0.3">
      <c r="C2150" s="1" t="str">
        <f>IF(C2149&lt;'Investment Calculator'!$C$8*'Investment Calculator'!$F$4,'SIP Schedule'!C2149+1,"")</f>
        <v/>
      </c>
      <c r="D2150" s="27" t="str">
        <f>IF(C2150&lt;='Investment Calculator'!$C$8*'Investment Calculator'!$F$4,'Investment Calculator'!$C$6,"")</f>
        <v/>
      </c>
      <c r="E2150" s="27" t="str">
        <f>IFERROR((F2149+D2150)*'Investment Calculator'!$C$7/'Investment Calculator'!$F$4,"")</f>
        <v/>
      </c>
      <c r="F2150" s="27" t="str">
        <f>IFERROR(ABS(FV('Investment Calculator'!$C$7/'Investment Calculator'!$F$4,'SIP Schedule'!C2150,'SIP Schedule'!D2150,,1)),"")</f>
        <v/>
      </c>
    </row>
    <row r="2151" spans="3:6" x14ac:dyDescent="0.3">
      <c r="C2151" s="1" t="str">
        <f>IF(C2150&lt;'Investment Calculator'!$C$8*'Investment Calculator'!$F$4,'SIP Schedule'!C2150+1,"")</f>
        <v/>
      </c>
      <c r="D2151" s="27" t="str">
        <f>IF(C2151&lt;='Investment Calculator'!$C$8*'Investment Calculator'!$F$4,'Investment Calculator'!$C$6,"")</f>
        <v/>
      </c>
      <c r="E2151" s="27" t="str">
        <f>IFERROR((F2150+D2151)*'Investment Calculator'!$C$7/'Investment Calculator'!$F$4,"")</f>
        <v/>
      </c>
      <c r="F2151" s="27" t="str">
        <f>IFERROR(ABS(FV('Investment Calculator'!$C$7/'Investment Calculator'!$F$4,'SIP Schedule'!C2151,'SIP Schedule'!D2151,,1)),"")</f>
        <v/>
      </c>
    </row>
    <row r="2152" spans="3:6" x14ac:dyDescent="0.3">
      <c r="C2152" s="1" t="str">
        <f>IF(C2151&lt;'Investment Calculator'!$C$8*'Investment Calculator'!$F$4,'SIP Schedule'!C2151+1,"")</f>
        <v/>
      </c>
      <c r="D2152" s="27" t="str">
        <f>IF(C2152&lt;='Investment Calculator'!$C$8*'Investment Calculator'!$F$4,'Investment Calculator'!$C$6,"")</f>
        <v/>
      </c>
      <c r="E2152" s="27" t="str">
        <f>IFERROR((F2151+D2152)*'Investment Calculator'!$C$7/'Investment Calculator'!$F$4,"")</f>
        <v/>
      </c>
      <c r="F2152" s="27" t="str">
        <f>IFERROR(ABS(FV('Investment Calculator'!$C$7/'Investment Calculator'!$F$4,'SIP Schedule'!C2152,'SIP Schedule'!D2152,,1)),"")</f>
        <v/>
      </c>
    </row>
    <row r="2153" spans="3:6" x14ac:dyDescent="0.3">
      <c r="C2153" s="1" t="str">
        <f>IF(C2152&lt;'Investment Calculator'!$C$8*'Investment Calculator'!$F$4,'SIP Schedule'!C2152+1,"")</f>
        <v/>
      </c>
      <c r="D2153" s="27" t="str">
        <f>IF(C2153&lt;='Investment Calculator'!$C$8*'Investment Calculator'!$F$4,'Investment Calculator'!$C$6,"")</f>
        <v/>
      </c>
      <c r="E2153" s="27" t="str">
        <f>IFERROR((F2152+D2153)*'Investment Calculator'!$C$7/'Investment Calculator'!$F$4,"")</f>
        <v/>
      </c>
      <c r="F2153" s="27" t="str">
        <f>IFERROR(ABS(FV('Investment Calculator'!$C$7/'Investment Calculator'!$F$4,'SIP Schedule'!C2153,'SIP Schedule'!D2153,,1)),"")</f>
        <v/>
      </c>
    </row>
    <row r="2154" spans="3:6" x14ac:dyDescent="0.3">
      <c r="C2154" s="1" t="str">
        <f>IF(C2153&lt;'Investment Calculator'!$C$8*'Investment Calculator'!$F$4,'SIP Schedule'!C2153+1,"")</f>
        <v/>
      </c>
      <c r="D2154" s="27" t="str">
        <f>IF(C2154&lt;='Investment Calculator'!$C$8*'Investment Calculator'!$F$4,'Investment Calculator'!$C$6,"")</f>
        <v/>
      </c>
      <c r="E2154" s="27" t="str">
        <f>IFERROR((F2153+D2154)*'Investment Calculator'!$C$7/'Investment Calculator'!$F$4,"")</f>
        <v/>
      </c>
      <c r="F2154" s="27" t="str">
        <f>IFERROR(ABS(FV('Investment Calculator'!$C$7/'Investment Calculator'!$F$4,'SIP Schedule'!C2154,'SIP Schedule'!D2154,,1)),"")</f>
        <v/>
      </c>
    </row>
    <row r="2155" spans="3:6" x14ac:dyDescent="0.3">
      <c r="C2155" s="1" t="str">
        <f>IF(C2154&lt;'Investment Calculator'!$C$8*'Investment Calculator'!$F$4,'SIP Schedule'!C2154+1,"")</f>
        <v/>
      </c>
      <c r="D2155" s="27" t="str">
        <f>IF(C2155&lt;='Investment Calculator'!$C$8*'Investment Calculator'!$F$4,'Investment Calculator'!$C$6,"")</f>
        <v/>
      </c>
      <c r="E2155" s="27" t="str">
        <f>IFERROR((F2154+D2155)*'Investment Calculator'!$C$7/'Investment Calculator'!$F$4,"")</f>
        <v/>
      </c>
      <c r="F2155" s="27" t="str">
        <f>IFERROR(ABS(FV('Investment Calculator'!$C$7/'Investment Calculator'!$F$4,'SIP Schedule'!C2155,'SIP Schedule'!D2155,,1)),"")</f>
        <v/>
      </c>
    </row>
    <row r="2156" spans="3:6" x14ac:dyDescent="0.3">
      <c r="C2156" s="1" t="str">
        <f>IF(C2155&lt;'Investment Calculator'!$C$8*'Investment Calculator'!$F$4,'SIP Schedule'!C2155+1,"")</f>
        <v/>
      </c>
      <c r="D2156" s="27" t="str">
        <f>IF(C2156&lt;='Investment Calculator'!$C$8*'Investment Calculator'!$F$4,'Investment Calculator'!$C$6,"")</f>
        <v/>
      </c>
      <c r="E2156" s="27" t="str">
        <f>IFERROR((F2155+D2156)*'Investment Calculator'!$C$7/'Investment Calculator'!$F$4,"")</f>
        <v/>
      </c>
      <c r="F2156" s="27" t="str">
        <f>IFERROR(ABS(FV('Investment Calculator'!$C$7/'Investment Calculator'!$F$4,'SIP Schedule'!C2156,'SIP Schedule'!D2156,,1)),"")</f>
        <v/>
      </c>
    </row>
    <row r="2157" spans="3:6" x14ac:dyDescent="0.3">
      <c r="C2157" s="1" t="str">
        <f>IF(C2156&lt;'Investment Calculator'!$C$8*'Investment Calculator'!$F$4,'SIP Schedule'!C2156+1,"")</f>
        <v/>
      </c>
      <c r="D2157" s="27" t="str">
        <f>IF(C2157&lt;='Investment Calculator'!$C$8*'Investment Calculator'!$F$4,'Investment Calculator'!$C$6,"")</f>
        <v/>
      </c>
      <c r="E2157" s="27" t="str">
        <f>IFERROR((F2156+D2157)*'Investment Calculator'!$C$7/'Investment Calculator'!$F$4,"")</f>
        <v/>
      </c>
      <c r="F2157" s="27" t="str">
        <f>IFERROR(ABS(FV('Investment Calculator'!$C$7/'Investment Calculator'!$F$4,'SIP Schedule'!C2157,'SIP Schedule'!D2157,,1)),"")</f>
        <v/>
      </c>
    </row>
    <row r="2158" spans="3:6" x14ac:dyDescent="0.3">
      <c r="C2158" s="1" t="str">
        <f>IF(C2157&lt;'Investment Calculator'!$C$8*'Investment Calculator'!$F$4,'SIP Schedule'!C2157+1,"")</f>
        <v/>
      </c>
      <c r="D2158" s="27" t="str">
        <f>IF(C2158&lt;='Investment Calculator'!$C$8*'Investment Calculator'!$F$4,'Investment Calculator'!$C$6,"")</f>
        <v/>
      </c>
      <c r="E2158" s="27" t="str">
        <f>IFERROR((F2157+D2158)*'Investment Calculator'!$C$7/'Investment Calculator'!$F$4,"")</f>
        <v/>
      </c>
      <c r="F2158" s="27" t="str">
        <f>IFERROR(ABS(FV('Investment Calculator'!$C$7/'Investment Calculator'!$F$4,'SIP Schedule'!C2158,'SIP Schedule'!D2158,,1)),"")</f>
        <v/>
      </c>
    </row>
    <row r="2159" spans="3:6" x14ac:dyDescent="0.3">
      <c r="C2159" s="1" t="str">
        <f>IF(C2158&lt;'Investment Calculator'!$C$8*'Investment Calculator'!$F$4,'SIP Schedule'!C2158+1,"")</f>
        <v/>
      </c>
      <c r="D2159" s="27" t="str">
        <f>IF(C2159&lt;='Investment Calculator'!$C$8*'Investment Calculator'!$F$4,'Investment Calculator'!$C$6,"")</f>
        <v/>
      </c>
      <c r="E2159" s="27" t="str">
        <f>IFERROR((F2158+D2159)*'Investment Calculator'!$C$7/'Investment Calculator'!$F$4,"")</f>
        <v/>
      </c>
      <c r="F2159" s="27" t="str">
        <f>IFERROR(ABS(FV('Investment Calculator'!$C$7/'Investment Calculator'!$F$4,'SIP Schedule'!C2159,'SIP Schedule'!D2159,,1)),"")</f>
        <v/>
      </c>
    </row>
    <row r="2160" spans="3:6" x14ac:dyDescent="0.3">
      <c r="C2160" s="1" t="str">
        <f>IF(C2159&lt;'Investment Calculator'!$C$8*'Investment Calculator'!$F$4,'SIP Schedule'!C2159+1,"")</f>
        <v/>
      </c>
      <c r="D2160" s="27" t="str">
        <f>IF(C2160&lt;='Investment Calculator'!$C$8*'Investment Calculator'!$F$4,'Investment Calculator'!$C$6,"")</f>
        <v/>
      </c>
      <c r="E2160" s="27" t="str">
        <f>IFERROR((F2159+D2160)*'Investment Calculator'!$C$7/'Investment Calculator'!$F$4,"")</f>
        <v/>
      </c>
      <c r="F2160" s="27" t="str">
        <f>IFERROR(ABS(FV('Investment Calculator'!$C$7/'Investment Calculator'!$F$4,'SIP Schedule'!C2160,'SIP Schedule'!D2160,,1)),"")</f>
        <v/>
      </c>
    </row>
    <row r="2161" spans="3:6" x14ac:dyDescent="0.3">
      <c r="C2161" s="1" t="str">
        <f>IF(C2160&lt;'Investment Calculator'!$C$8*'Investment Calculator'!$F$4,'SIP Schedule'!C2160+1,"")</f>
        <v/>
      </c>
      <c r="D2161" s="27" t="str">
        <f>IF(C2161&lt;='Investment Calculator'!$C$8*'Investment Calculator'!$F$4,'Investment Calculator'!$C$6,"")</f>
        <v/>
      </c>
      <c r="E2161" s="27" t="str">
        <f>IFERROR((F2160+D2161)*'Investment Calculator'!$C$7/'Investment Calculator'!$F$4,"")</f>
        <v/>
      </c>
      <c r="F2161" s="27" t="str">
        <f>IFERROR(ABS(FV('Investment Calculator'!$C$7/'Investment Calculator'!$F$4,'SIP Schedule'!C2161,'SIP Schedule'!D2161,,1)),"")</f>
        <v/>
      </c>
    </row>
    <row r="2162" spans="3:6" x14ac:dyDescent="0.3">
      <c r="C2162" s="1" t="str">
        <f>IF(C2161&lt;'Investment Calculator'!$C$8*'Investment Calculator'!$F$4,'SIP Schedule'!C2161+1,"")</f>
        <v/>
      </c>
      <c r="D2162" s="27" t="str">
        <f>IF(C2162&lt;='Investment Calculator'!$C$8*'Investment Calculator'!$F$4,'Investment Calculator'!$C$6,"")</f>
        <v/>
      </c>
      <c r="E2162" s="27" t="str">
        <f>IFERROR((F2161+D2162)*'Investment Calculator'!$C$7/'Investment Calculator'!$F$4,"")</f>
        <v/>
      </c>
      <c r="F2162" s="27" t="str">
        <f>IFERROR(ABS(FV('Investment Calculator'!$C$7/'Investment Calculator'!$F$4,'SIP Schedule'!C2162,'SIP Schedule'!D2162,,1)),"")</f>
        <v/>
      </c>
    </row>
    <row r="2163" spans="3:6" x14ac:dyDescent="0.3">
      <c r="C2163" s="1" t="str">
        <f>IF(C2162&lt;'Investment Calculator'!$C$8*'Investment Calculator'!$F$4,'SIP Schedule'!C2162+1,"")</f>
        <v/>
      </c>
      <c r="D2163" s="27" t="str">
        <f>IF(C2163&lt;='Investment Calculator'!$C$8*'Investment Calculator'!$F$4,'Investment Calculator'!$C$6,"")</f>
        <v/>
      </c>
      <c r="E2163" s="27" t="str">
        <f>IFERROR((F2162+D2163)*'Investment Calculator'!$C$7/'Investment Calculator'!$F$4,"")</f>
        <v/>
      </c>
      <c r="F2163" s="27" t="str">
        <f>IFERROR(ABS(FV('Investment Calculator'!$C$7/'Investment Calculator'!$F$4,'SIP Schedule'!C2163,'SIP Schedule'!D2163,,1)),"")</f>
        <v/>
      </c>
    </row>
    <row r="2164" spans="3:6" x14ac:dyDescent="0.3">
      <c r="C2164" s="1" t="str">
        <f>IF(C2163&lt;'Investment Calculator'!$C$8*'Investment Calculator'!$F$4,'SIP Schedule'!C2163+1,"")</f>
        <v/>
      </c>
      <c r="D2164" s="27" t="str">
        <f>IF(C2164&lt;='Investment Calculator'!$C$8*'Investment Calculator'!$F$4,'Investment Calculator'!$C$6,"")</f>
        <v/>
      </c>
      <c r="E2164" s="27" t="str">
        <f>IFERROR((F2163+D2164)*'Investment Calculator'!$C$7/'Investment Calculator'!$F$4,"")</f>
        <v/>
      </c>
      <c r="F2164" s="27" t="str">
        <f>IFERROR(ABS(FV('Investment Calculator'!$C$7/'Investment Calculator'!$F$4,'SIP Schedule'!C2164,'SIP Schedule'!D2164,,1)),"")</f>
        <v/>
      </c>
    </row>
    <row r="2165" spans="3:6" x14ac:dyDescent="0.3">
      <c r="C2165" s="1" t="str">
        <f>IF(C2164&lt;'Investment Calculator'!$C$8*'Investment Calculator'!$F$4,'SIP Schedule'!C2164+1,"")</f>
        <v/>
      </c>
      <c r="D2165" s="27" t="str">
        <f>IF(C2165&lt;='Investment Calculator'!$C$8*'Investment Calculator'!$F$4,'Investment Calculator'!$C$6,"")</f>
        <v/>
      </c>
      <c r="E2165" s="27" t="str">
        <f>IFERROR((F2164+D2165)*'Investment Calculator'!$C$7/'Investment Calculator'!$F$4,"")</f>
        <v/>
      </c>
      <c r="F2165" s="27" t="str">
        <f>IFERROR(ABS(FV('Investment Calculator'!$C$7/'Investment Calculator'!$F$4,'SIP Schedule'!C2165,'SIP Schedule'!D2165,,1)),"")</f>
        <v/>
      </c>
    </row>
    <row r="2166" spans="3:6" x14ac:dyDescent="0.3">
      <c r="C2166" s="1" t="str">
        <f>IF(C2165&lt;'Investment Calculator'!$C$8*'Investment Calculator'!$F$4,'SIP Schedule'!C2165+1,"")</f>
        <v/>
      </c>
      <c r="D2166" s="27" t="str">
        <f>IF(C2166&lt;='Investment Calculator'!$C$8*'Investment Calculator'!$F$4,'Investment Calculator'!$C$6,"")</f>
        <v/>
      </c>
      <c r="E2166" s="27" t="str">
        <f>IFERROR((F2165+D2166)*'Investment Calculator'!$C$7/'Investment Calculator'!$F$4,"")</f>
        <v/>
      </c>
      <c r="F2166" s="27" t="str">
        <f>IFERROR(ABS(FV('Investment Calculator'!$C$7/'Investment Calculator'!$F$4,'SIP Schedule'!C2166,'SIP Schedule'!D2166,,1)),"")</f>
        <v/>
      </c>
    </row>
    <row r="2167" spans="3:6" x14ac:dyDescent="0.3">
      <c r="C2167" s="1" t="str">
        <f>IF(C2166&lt;'Investment Calculator'!$C$8*'Investment Calculator'!$F$4,'SIP Schedule'!C2166+1,"")</f>
        <v/>
      </c>
      <c r="D2167" s="27" t="str">
        <f>IF(C2167&lt;='Investment Calculator'!$C$8*'Investment Calculator'!$F$4,'Investment Calculator'!$C$6,"")</f>
        <v/>
      </c>
      <c r="E2167" s="27" t="str">
        <f>IFERROR((F2166+D2167)*'Investment Calculator'!$C$7/'Investment Calculator'!$F$4,"")</f>
        <v/>
      </c>
      <c r="F2167" s="27" t="str">
        <f>IFERROR(ABS(FV('Investment Calculator'!$C$7/'Investment Calculator'!$F$4,'SIP Schedule'!C2167,'SIP Schedule'!D2167,,1)),"")</f>
        <v/>
      </c>
    </row>
    <row r="2168" spans="3:6" x14ac:dyDescent="0.3">
      <c r="C2168" s="1" t="str">
        <f>IF(C2167&lt;'Investment Calculator'!$C$8*'Investment Calculator'!$F$4,'SIP Schedule'!C2167+1,"")</f>
        <v/>
      </c>
      <c r="D2168" s="27" t="str">
        <f>IF(C2168&lt;='Investment Calculator'!$C$8*'Investment Calculator'!$F$4,'Investment Calculator'!$C$6,"")</f>
        <v/>
      </c>
      <c r="E2168" s="27" t="str">
        <f>IFERROR((F2167+D2168)*'Investment Calculator'!$C$7/'Investment Calculator'!$F$4,"")</f>
        <v/>
      </c>
      <c r="F2168" s="27" t="str">
        <f>IFERROR(ABS(FV('Investment Calculator'!$C$7/'Investment Calculator'!$F$4,'SIP Schedule'!C2168,'SIP Schedule'!D2168,,1)),"")</f>
        <v/>
      </c>
    </row>
    <row r="2169" spans="3:6" x14ac:dyDescent="0.3">
      <c r="C2169" s="1" t="str">
        <f>IF(C2168&lt;'Investment Calculator'!$C$8*'Investment Calculator'!$F$4,'SIP Schedule'!C2168+1,"")</f>
        <v/>
      </c>
      <c r="D2169" s="27" t="str">
        <f>IF(C2169&lt;='Investment Calculator'!$C$8*'Investment Calculator'!$F$4,'Investment Calculator'!$C$6,"")</f>
        <v/>
      </c>
      <c r="E2169" s="27" t="str">
        <f>IFERROR((F2168+D2169)*'Investment Calculator'!$C$7/'Investment Calculator'!$F$4,"")</f>
        <v/>
      </c>
      <c r="F2169" s="27" t="str">
        <f>IFERROR(ABS(FV('Investment Calculator'!$C$7/'Investment Calculator'!$F$4,'SIP Schedule'!C2169,'SIP Schedule'!D2169,,1)),"")</f>
        <v/>
      </c>
    </row>
    <row r="2170" spans="3:6" x14ac:dyDescent="0.3">
      <c r="C2170" s="1" t="str">
        <f>IF(C2169&lt;'Investment Calculator'!$C$8*'Investment Calculator'!$F$4,'SIP Schedule'!C2169+1,"")</f>
        <v/>
      </c>
      <c r="D2170" s="27" t="str">
        <f>IF(C2170&lt;='Investment Calculator'!$C$8*'Investment Calculator'!$F$4,'Investment Calculator'!$C$6,"")</f>
        <v/>
      </c>
      <c r="E2170" s="27" t="str">
        <f>IFERROR((F2169+D2170)*'Investment Calculator'!$C$7/'Investment Calculator'!$F$4,"")</f>
        <v/>
      </c>
      <c r="F2170" s="27" t="str">
        <f>IFERROR(ABS(FV('Investment Calculator'!$C$7/'Investment Calculator'!$F$4,'SIP Schedule'!C2170,'SIP Schedule'!D2170,,1)),"")</f>
        <v/>
      </c>
    </row>
    <row r="2171" spans="3:6" x14ac:dyDescent="0.3">
      <c r="C2171" s="1" t="str">
        <f>IF(C2170&lt;'Investment Calculator'!$C$8*'Investment Calculator'!$F$4,'SIP Schedule'!C2170+1,"")</f>
        <v/>
      </c>
      <c r="D2171" s="27" t="str">
        <f>IF(C2171&lt;='Investment Calculator'!$C$8*'Investment Calculator'!$F$4,'Investment Calculator'!$C$6,"")</f>
        <v/>
      </c>
      <c r="E2171" s="27" t="str">
        <f>IFERROR((F2170+D2171)*'Investment Calculator'!$C$7/'Investment Calculator'!$F$4,"")</f>
        <v/>
      </c>
      <c r="F2171" s="27" t="str">
        <f>IFERROR(ABS(FV('Investment Calculator'!$C$7/'Investment Calculator'!$F$4,'SIP Schedule'!C2171,'SIP Schedule'!D2171,,1)),"")</f>
        <v/>
      </c>
    </row>
    <row r="2172" spans="3:6" x14ac:dyDescent="0.3">
      <c r="C2172" s="1" t="str">
        <f>IF(C2171&lt;'Investment Calculator'!$C$8*'Investment Calculator'!$F$4,'SIP Schedule'!C2171+1,"")</f>
        <v/>
      </c>
      <c r="D2172" s="27" t="str">
        <f>IF(C2172&lt;='Investment Calculator'!$C$8*'Investment Calculator'!$F$4,'Investment Calculator'!$C$6,"")</f>
        <v/>
      </c>
      <c r="E2172" s="27" t="str">
        <f>IFERROR((F2171+D2172)*'Investment Calculator'!$C$7/'Investment Calculator'!$F$4,"")</f>
        <v/>
      </c>
      <c r="F2172" s="27" t="str">
        <f>IFERROR(ABS(FV('Investment Calculator'!$C$7/'Investment Calculator'!$F$4,'SIP Schedule'!C2172,'SIP Schedule'!D2172,,1)),"")</f>
        <v/>
      </c>
    </row>
    <row r="2173" spans="3:6" x14ac:dyDescent="0.3">
      <c r="C2173" s="1" t="str">
        <f>IF(C2172&lt;'Investment Calculator'!$C$8*'Investment Calculator'!$F$4,'SIP Schedule'!C2172+1,"")</f>
        <v/>
      </c>
      <c r="D2173" s="27" t="str">
        <f>IF(C2173&lt;='Investment Calculator'!$C$8*'Investment Calculator'!$F$4,'Investment Calculator'!$C$6,"")</f>
        <v/>
      </c>
      <c r="E2173" s="27" t="str">
        <f>IFERROR((F2172+D2173)*'Investment Calculator'!$C$7/'Investment Calculator'!$F$4,"")</f>
        <v/>
      </c>
      <c r="F2173" s="27" t="str">
        <f>IFERROR(ABS(FV('Investment Calculator'!$C$7/'Investment Calculator'!$F$4,'SIP Schedule'!C2173,'SIP Schedule'!D2173,,1)),"")</f>
        <v/>
      </c>
    </row>
    <row r="2174" spans="3:6" x14ac:dyDescent="0.3">
      <c r="C2174" s="1" t="str">
        <f>IF(C2173&lt;'Investment Calculator'!$C$8*'Investment Calculator'!$F$4,'SIP Schedule'!C2173+1,"")</f>
        <v/>
      </c>
      <c r="D2174" s="27" t="str">
        <f>IF(C2174&lt;='Investment Calculator'!$C$8*'Investment Calculator'!$F$4,'Investment Calculator'!$C$6,"")</f>
        <v/>
      </c>
      <c r="E2174" s="27" t="str">
        <f>IFERROR((F2173+D2174)*'Investment Calculator'!$C$7/'Investment Calculator'!$F$4,"")</f>
        <v/>
      </c>
      <c r="F2174" s="27" t="str">
        <f>IFERROR(ABS(FV('Investment Calculator'!$C$7/'Investment Calculator'!$F$4,'SIP Schedule'!C2174,'SIP Schedule'!D2174,,1)),"")</f>
        <v/>
      </c>
    </row>
    <row r="2175" spans="3:6" x14ac:dyDescent="0.3">
      <c r="C2175" s="1" t="str">
        <f>IF(C2174&lt;'Investment Calculator'!$C$8*'Investment Calculator'!$F$4,'SIP Schedule'!C2174+1,"")</f>
        <v/>
      </c>
      <c r="D2175" s="27" t="str">
        <f>IF(C2175&lt;='Investment Calculator'!$C$8*'Investment Calculator'!$F$4,'Investment Calculator'!$C$6,"")</f>
        <v/>
      </c>
      <c r="E2175" s="27" t="str">
        <f>IFERROR((F2174+D2175)*'Investment Calculator'!$C$7/'Investment Calculator'!$F$4,"")</f>
        <v/>
      </c>
      <c r="F2175" s="27" t="str">
        <f>IFERROR(ABS(FV('Investment Calculator'!$C$7/'Investment Calculator'!$F$4,'SIP Schedule'!C2175,'SIP Schedule'!D2175,,1)),"")</f>
        <v/>
      </c>
    </row>
    <row r="2176" spans="3:6" x14ac:dyDescent="0.3">
      <c r="C2176" s="1" t="str">
        <f>IF(C2175&lt;'Investment Calculator'!$C$8*'Investment Calculator'!$F$4,'SIP Schedule'!C2175+1,"")</f>
        <v/>
      </c>
      <c r="D2176" s="27" t="str">
        <f>IF(C2176&lt;='Investment Calculator'!$C$8*'Investment Calculator'!$F$4,'Investment Calculator'!$C$6,"")</f>
        <v/>
      </c>
      <c r="E2176" s="27" t="str">
        <f>IFERROR((F2175+D2176)*'Investment Calculator'!$C$7/'Investment Calculator'!$F$4,"")</f>
        <v/>
      </c>
      <c r="F2176" s="27" t="str">
        <f>IFERROR(ABS(FV('Investment Calculator'!$C$7/'Investment Calculator'!$F$4,'SIP Schedule'!C2176,'SIP Schedule'!D2176,,1)),"")</f>
        <v/>
      </c>
    </row>
    <row r="2177" spans="3:6" x14ac:dyDescent="0.3">
      <c r="C2177" s="1" t="str">
        <f>IF(C2176&lt;'Investment Calculator'!$C$8*'Investment Calculator'!$F$4,'SIP Schedule'!C2176+1,"")</f>
        <v/>
      </c>
      <c r="D2177" s="27" t="str">
        <f>IF(C2177&lt;='Investment Calculator'!$C$8*'Investment Calculator'!$F$4,'Investment Calculator'!$C$6,"")</f>
        <v/>
      </c>
      <c r="E2177" s="27" t="str">
        <f>IFERROR((F2176+D2177)*'Investment Calculator'!$C$7/'Investment Calculator'!$F$4,"")</f>
        <v/>
      </c>
      <c r="F2177" s="27" t="str">
        <f>IFERROR(ABS(FV('Investment Calculator'!$C$7/'Investment Calculator'!$F$4,'SIP Schedule'!C2177,'SIP Schedule'!D2177,,1)),"")</f>
        <v/>
      </c>
    </row>
    <row r="2178" spans="3:6" x14ac:dyDescent="0.3">
      <c r="C2178" s="1" t="str">
        <f>IF(C2177&lt;'Investment Calculator'!$C$8*'Investment Calculator'!$F$4,'SIP Schedule'!C2177+1,"")</f>
        <v/>
      </c>
      <c r="D2178" s="27" t="str">
        <f>IF(C2178&lt;='Investment Calculator'!$C$8*'Investment Calculator'!$F$4,'Investment Calculator'!$C$6,"")</f>
        <v/>
      </c>
      <c r="E2178" s="27" t="str">
        <f>IFERROR((F2177+D2178)*'Investment Calculator'!$C$7/'Investment Calculator'!$F$4,"")</f>
        <v/>
      </c>
      <c r="F2178" s="27" t="str">
        <f>IFERROR(ABS(FV('Investment Calculator'!$C$7/'Investment Calculator'!$F$4,'SIP Schedule'!C2178,'SIP Schedule'!D2178,,1)),"")</f>
        <v/>
      </c>
    </row>
    <row r="2179" spans="3:6" x14ac:dyDescent="0.3">
      <c r="C2179" s="1" t="str">
        <f>IF(C2178&lt;'Investment Calculator'!$C$8*'Investment Calculator'!$F$4,'SIP Schedule'!C2178+1,"")</f>
        <v/>
      </c>
      <c r="D2179" s="27" t="str">
        <f>IF(C2179&lt;='Investment Calculator'!$C$8*'Investment Calculator'!$F$4,'Investment Calculator'!$C$6,"")</f>
        <v/>
      </c>
      <c r="E2179" s="27" t="str">
        <f>IFERROR((F2178+D2179)*'Investment Calculator'!$C$7/'Investment Calculator'!$F$4,"")</f>
        <v/>
      </c>
      <c r="F2179" s="27" t="str">
        <f>IFERROR(ABS(FV('Investment Calculator'!$C$7/'Investment Calculator'!$F$4,'SIP Schedule'!C2179,'SIP Schedule'!D2179,,1)),"")</f>
        <v/>
      </c>
    </row>
    <row r="2180" spans="3:6" x14ac:dyDescent="0.3">
      <c r="C2180" s="1" t="str">
        <f>IF(C2179&lt;'Investment Calculator'!$C$8*'Investment Calculator'!$F$4,'SIP Schedule'!C2179+1,"")</f>
        <v/>
      </c>
      <c r="D2180" s="27" t="str">
        <f>IF(C2180&lt;='Investment Calculator'!$C$8*'Investment Calculator'!$F$4,'Investment Calculator'!$C$6,"")</f>
        <v/>
      </c>
      <c r="E2180" s="27" t="str">
        <f>IFERROR((F2179+D2180)*'Investment Calculator'!$C$7/'Investment Calculator'!$F$4,"")</f>
        <v/>
      </c>
      <c r="F2180" s="27" t="str">
        <f>IFERROR(ABS(FV('Investment Calculator'!$C$7/'Investment Calculator'!$F$4,'SIP Schedule'!C2180,'SIP Schedule'!D2180,,1)),"")</f>
        <v/>
      </c>
    </row>
    <row r="2181" spans="3:6" x14ac:dyDescent="0.3">
      <c r="C2181" s="1" t="str">
        <f>IF(C2180&lt;'Investment Calculator'!$C$8*'Investment Calculator'!$F$4,'SIP Schedule'!C2180+1,"")</f>
        <v/>
      </c>
      <c r="D2181" s="27" t="str">
        <f>IF(C2181&lt;='Investment Calculator'!$C$8*'Investment Calculator'!$F$4,'Investment Calculator'!$C$6,"")</f>
        <v/>
      </c>
      <c r="E2181" s="27" t="str">
        <f>IFERROR((F2180+D2181)*'Investment Calculator'!$C$7/'Investment Calculator'!$F$4,"")</f>
        <v/>
      </c>
      <c r="F2181" s="27" t="str">
        <f>IFERROR(ABS(FV('Investment Calculator'!$C$7/'Investment Calculator'!$F$4,'SIP Schedule'!C2181,'SIP Schedule'!D2181,,1)),"")</f>
        <v/>
      </c>
    </row>
    <row r="2182" spans="3:6" x14ac:dyDescent="0.3">
      <c r="C2182" s="1" t="str">
        <f>IF(C2181&lt;'Investment Calculator'!$C$8*'Investment Calculator'!$F$4,'SIP Schedule'!C2181+1,"")</f>
        <v/>
      </c>
      <c r="D2182" s="27" t="str">
        <f>IF(C2182&lt;='Investment Calculator'!$C$8*'Investment Calculator'!$F$4,'Investment Calculator'!$C$6,"")</f>
        <v/>
      </c>
      <c r="E2182" s="27" t="str">
        <f>IFERROR((F2181+D2182)*'Investment Calculator'!$C$7/'Investment Calculator'!$F$4,"")</f>
        <v/>
      </c>
      <c r="F2182" s="27" t="str">
        <f>IFERROR(ABS(FV('Investment Calculator'!$C$7/'Investment Calculator'!$F$4,'SIP Schedule'!C2182,'SIP Schedule'!D2182,,1)),"")</f>
        <v/>
      </c>
    </row>
    <row r="2183" spans="3:6" x14ac:dyDescent="0.3">
      <c r="C2183" s="1" t="str">
        <f>IF(C2182&lt;'Investment Calculator'!$C$8*'Investment Calculator'!$F$4,'SIP Schedule'!C2182+1,"")</f>
        <v/>
      </c>
      <c r="D2183" s="27" t="str">
        <f>IF(C2183&lt;='Investment Calculator'!$C$8*'Investment Calculator'!$F$4,'Investment Calculator'!$C$6,"")</f>
        <v/>
      </c>
      <c r="E2183" s="27" t="str">
        <f>IFERROR((F2182+D2183)*'Investment Calculator'!$C$7/'Investment Calculator'!$F$4,"")</f>
        <v/>
      </c>
      <c r="F2183" s="27" t="str">
        <f>IFERROR(ABS(FV('Investment Calculator'!$C$7/'Investment Calculator'!$F$4,'SIP Schedule'!C2183,'SIP Schedule'!D2183,,1)),"")</f>
        <v/>
      </c>
    </row>
    <row r="2184" spans="3:6" x14ac:dyDescent="0.3">
      <c r="C2184" s="1" t="str">
        <f>IF(C2183&lt;'Investment Calculator'!$C$8*'Investment Calculator'!$F$4,'SIP Schedule'!C2183+1,"")</f>
        <v/>
      </c>
      <c r="D2184" s="27" t="str">
        <f>IF(C2184&lt;='Investment Calculator'!$C$8*'Investment Calculator'!$F$4,'Investment Calculator'!$C$6,"")</f>
        <v/>
      </c>
      <c r="E2184" s="27" t="str">
        <f>IFERROR((F2183+D2184)*'Investment Calculator'!$C$7/'Investment Calculator'!$F$4,"")</f>
        <v/>
      </c>
      <c r="F2184" s="27" t="str">
        <f>IFERROR(ABS(FV('Investment Calculator'!$C$7/'Investment Calculator'!$F$4,'SIP Schedule'!C2184,'SIP Schedule'!D2184,,1)),"")</f>
        <v/>
      </c>
    </row>
    <row r="2185" spans="3:6" x14ac:dyDescent="0.3">
      <c r="C2185" s="1" t="str">
        <f>IF(C2184&lt;'Investment Calculator'!$C$8*'Investment Calculator'!$F$4,'SIP Schedule'!C2184+1,"")</f>
        <v/>
      </c>
      <c r="D2185" s="27" t="str">
        <f>IF(C2185&lt;='Investment Calculator'!$C$8*'Investment Calculator'!$F$4,'Investment Calculator'!$C$6,"")</f>
        <v/>
      </c>
      <c r="E2185" s="27" t="str">
        <f>IFERROR((F2184+D2185)*'Investment Calculator'!$C$7/'Investment Calculator'!$F$4,"")</f>
        <v/>
      </c>
      <c r="F2185" s="27" t="str">
        <f>IFERROR(ABS(FV('Investment Calculator'!$C$7/'Investment Calculator'!$F$4,'SIP Schedule'!C2185,'SIP Schedule'!D2185,,1)),"")</f>
        <v/>
      </c>
    </row>
    <row r="2186" spans="3:6" x14ac:dyDescent="0.3">
      <c r="C2186" s="1" t="str">
        <f>IF(C2185&lt;'Investment Calculator'!$C$8*'Investment Calculator'!$F$4,'SIP Schedule'!C2185+1,"")</f>
        <v/>
      </c>
      <c r="D2186" s="27" t="str">
        <f>IF(C2186&lt;='Investment Calculator'!$C$8*'Investment Calculator'!$F$4,'Investment Calculator'!$C$6,"")</f>
        <v/>
      </c>
      <c r="E2186" s="27" t="str">
        <f>IFERROR((F2185+D2186)*'Investment Calculator'!$C$7/'Investment Calculator'!$F$4,"")</f>
        <v/>
      </c>
      <c r="F2186" s="27" t="str">
        <f>IFERROR(ABS(FV('Investment Calculator'!$C$7/'Investment Calculator'!$F$4,'SIP Schedule'!C2186,'SIP Schedule'!D2186,,1)),"")</f>
        <v/>
      </c>
    </row>
    <row r="2187" spans="3:6" x14ac:dyDescent="0.3">
      <c r="C2187" s="1" t="str">
        <f>IF(C2186&lt;'Investment Calculator'!$C$8*'Investment Calculator'!$F$4,'SIP Schedule'!C2186+1,"")</f>
        <v/>
      </c>
      <c r="D2187" s="27" t="str">
        <f>IF(C2187&lt;='Investment Calculator'!$C$8*'Investment Calculator'!$F$4,'Investment Calculator'!$C$6,"")</f>
        <v/>
      </c>
      <c r="E2187" s="27" t="str">
        <f>IFERROR((F2186+D2187)*'Investment Calculator'!$C$7/'Investment Calculator'!$F$4,"")</f>
        <v/>
      </c>
      <c r="F2187" s="27" t="str">
        <f>IFERROR(ABS(FV('Investment Calculator'!$C$7/'Investment Calculator'!$F$4,'SIP Schedule'!C2187,'SIP Schedule'!D2187,,1)),"")</f>
        <v/>
      </c>
    </row>
    <row r="2188" spans="3:6" x14ac:dyDescent="0.3">
      <c r="C2188" s="1" t="str">
        <f>IF(C2187&lt;'Investment Calculator'!$C$8*'Investment Calculator'!$F$4,'SIP Schedule'!C2187+1,"")</f>
        <v/>
      </c>
      <c r="D2188" s="27" t="str">
        <f>IF(C2188&lt;='Investment Calculator'!$C$8*'Investment Calculator'!$F$4,'Investment Calculator'!$C$6,"")</f>
        <v/>
      </c>
      <c r="E2188" s="27" t="str">
        <f>IFERROR((F2187+D2188)*'Investment Calculator'!$C$7/'Investment Calculator'!$F$4,"")</f>
        <v/>
      </c>
      <c r="F2188" s="27" t="str">
        <f>IFERROR(ABS(FV('Investment Calculator'!$C$7/'Investment Calculator'!$F$4,'SIP Schedule'!C2188,'SIP Schedule'!D2188,,1)),"")</f>
        <v/>
      </c>
    </row>
    <row r="2189" spans="3:6" x14ac:dyDescent="0.3">
      <c r="C2189" s="1" t="str">
        <f>IF(C2188&lt;'Investment Calculator'!$C$8*'Investment Calculator'!$F$4,'SIP Schedule'!C2188+1,"")</f>
        <v/>
      </c>
      <c r="D2189" s="27" t="str">
        <f>IF(C2189&lt;='Investment Calculator'!$C$8*'Investment Calculator'!$F$4,'Investment Calculator'!$C$6,"")</f>
        <v/>
      </c>
      <c r="E2189" s="27" t="str">
        <f>IFERROR((F2188+D2189)*'Investment Calculator'!$C$7/'Investment Calculator'!$F$4,"")</f>
        <v/>
      </c>
      <c r="F2189" s="27" t="str">
        <f>IFERROR(ABS(FV('Investment Calculator'!$C$7/'Investment Calculator'!$F$4,'SIP Schedule'!C2189,'SIP Schedule'!D2189,,1)),"")</f>
        <v/>
      </c>
    </row>
    <row r="2190" spans="3:6" x14ac:dyDescent="0.3">
      <c r="C2190" s="1" t="str">
        <f>IF(C2189&lt;'Investment Calculator'!$C$8*'Investment Calculator'!$F$4,'SIP Schedule'!C2189+1,"")</f>
        <v/>
      </c>
      <c r="D2190" s="27" t="str">
        <f>IF(C2190&lt;='Investment Calculator'!$C$8*'Investment Calculator'!$F$4,'Investment Calculator'!$C$6,"")</f>
        <v/>
      </c>
      <c r="E2190" s="27" t="str">
        <f>IFERROR((F2189+D2190)*'Investment Calculator'!$C$7/'Investment Calculator'!$F$4,"")</f>
        <v/>
      </c>
      <c r="F2190" s="27" t="str">
        <f>IFERROR(ABS(FV('Investment Calculator'!$C$7/'Investment Calculator'!$F$4,'SIP Schedule'!C2190,'SIP Schedule'!D2190,,1)),"")</f>
        <v/>
      </c>
    </row>
    <row r="2191" spans="3:6" x14ac:dyDescent="0.3">
      <c r="C2191" s="1" t="str">
        <f>IF(C2190&lt;'Investment Calculator'!$C$8*'Investment Calculator'!$F$4,'SIP Schedule'!C2190+1,"")</f>
        <v/>
      </c>
      <c r="D2191" s="27" t="str">
        <f>IF(C2191&lt;='Investment Calculator'!$C$8*'Investment Calculator'!$F$4,'Investment Calculator'!$C$6,"")</f>
        <v/>
      </c>
      <c r="E2191" s="27" t="str">
        <f>IFERROR((F2190+D2191)*'Investment Calculator'!$C$7/'Investment Calculator'!$F$4,"")</f>
        <v/>
      </c>
      <c r="F2191" s="27" t="str">
        <f>IFERROR(ABS(FV('Investment Calculator'!$C$7/'Investment Calculator'!$F$4,'SIP Schedule'!C2191,'SIP Schedule'!D2191,,1)),"")</f>
        <v/>
      </c>
    </row>
    <row r="2192" spans="3:6" x14ac:dyDescent="0.3">
      <c r="C2192" s="1" t="str">
        <f>IF(C2191&lt;'Investment Calculator'!$C$8*'Investment Calculator'!$F$4,'SIP Schedule'!C2191+1,"")</f>
        <v/>
      </c>
      <c r="D2192" s="27" t="str">
        <f>IF(C2192&lt;='Investment Calculator'!$C$8*'Investment Calculator'!$F$4,'Investment Calculator'!$C$6,"")</f>
        <v/>
      </c>
      <c r="E2192" s="27" t="str">
        <f>IFERROR((F2191+D2192)*'Investment Calculator'!$C$7/'Investment Calculator'!$F$4,"")</f>
        <v/>
      </c>
      <c r="F2192" s="27" t="str">
        <f>IFERROR(ABS(FV('Investment Calculator'!$C$7/'Investment Calculator'!$F$4,'SIP Schedule'!C2192,'SIP Schedule'!D2192,,1)),"")</f>
        <v/>
      </c>
    </row>
    <row r="2193" spans="3:6" x14ac:dyDescent="0.3">
      <c r="C2193" s="1" t="str">
        <f>IF(C2192&lt;'Investment Calculator'!$C$8*'Investment Calculator'!$F$4,'SIP Schedule'!C2192+1,"")</f>
        <v/>
      </c>
      <c r="D2193" s="27" t="str">
        <f>IF(C2193&lt;='Investment Calculator'!$C$8*'Investment Calculator'!$F$4,'Investment Calculator'!$C$6,"")</f>
        <v/>
      </c>
      <c r="E2193" s="27" t="str">
        <f>IFERROR((F2192+D2193)*'Investment Calculator'!$C$7/'Investment Calculator'!$F$4,"")</f>
        <v/>
      </c>
      <c r="F2193" s="27" t="str">
        <f>IFERROR(ABS(FV('Investment Calculator'!$C$7/'Investment Calculator'!$F$4,'SIP Schedule'!C2193,'SIP Schedule'!D2193,,1)),"")</f>
        <v/>
      </c>
    </row>
    <row r="2194" spans="3:6" x14ac:dyDescent="0.3">
      <c r="C2194" s="1" t="str">
        <f>IF(C2193&lt;'Investment Calculator'!$C$8*'Investment Calculator'!$F$4,'SIP Schedule'!C2193+1,"")</f>
        <v/>
      </c>
      <c r="D2194" s="27" t="str">
        <f>IF(C2194&lt;='Investment Calculator'!$C$8*'Investment Calculator'!$F$4,'Investment Calculator'!$C$6,"")</f>
        <v/>
      </c>
      <c r="E2194" s="27" t="str">
        <f>IFERROR((F2193+D2194)*'Investment Calculator'!$C$7/'Investment Calculator'!$F$4,"")</f>
        <v/>
      </c>
      <c r="F2194" s="27" t="str">
        <f>IFERROR(ABS(FV('Investment Calculator'!$C$7/'Investment Calculator'!$F$4,'SIP Schedule'!C2194,'SIP Schedule'!D2194,,1)),"")</f>
        <v/>
      </c>
    </row>
    <row r="2195" spans="3:6" x14ac:dyDescent="0.3">
      <c r="C2195" s="1" t="str">
        <f>IF(C2194&lt;'Investment Calculator'!$C$8*'Investment Calculator'!$F$4,'SIP Schedule'!C2194+1,"")</f>
        <v/>
      </c>
      <c r="D2195" s="27" t="str">
        <f>IF(C2195&lt;='Investment Calculator'!$C$8*'Investment Calculator'!$F$4,'Investment Calculator'!$C$6,"")</f>
        <v/>
      </c>
      <c r="E2195" s="27" t="str">
        <f>IFERROR((F2194+D2195)*'Investment Calculator'!$C$7/'Investment Calculator'!$F$4,"")</f>
        <v/>
      </c>
      <c r="F2195" s="27" t="str">
        <f>IFERROR(ABS(FV('Investment Calculator'!$C$7/'Investment Calculator'!$F$4,'SIP Schedule'!C2195,'SIP Schedule'!D2195,,1)),"")</f>
        <v/>
      </c>
    </row>
    <row r="2196" spans="3:6" x14ac:dyDescent="0.3">
      <c r="C2196" s="1" t="str">
        <f>IF(C2195&lt;'Investment Calculator'!$C$8*'Investment Calculator'!$F$4,'SIP Schedule'!C2195+1,"")</f>
        <v/>
      </c>
      <c r="D2196" s="27" t="str">
        <f>IF(C2196&lt;='Investment Calculator'!$C$8*'Investment Calculator'!$F$4,'Investment Calculator'!$C$6,"")</f>
        <v/>
      </c>
      <c r="E2196" s="27" t="str">
        <f>IFERROR((F2195+D2196)*'Investment Calculator'!$C$7/'Investment Calculator'!$F$4,"")</f>
        <v/>
      </c>
      <c r="F2196" s="27" t="str">
        <f>IFERROR(ABS(FV('Investment Calculator'!$C$7/'Investment Calculator'!$F$4,'SIP Schedule'!C2196,'SIP Schedule'!D2196,,1)),"")</f>
        <v/>
      </c>
    </row>
    <row r="2197" spans="3:6" x14ac:dyDescent="0.3">
      <c r="C2197" s="1" t="str">
        <f>IF(C2196&lt;'Investment Calculator'!$C$8*'Investment Calculator'!$F$4,'SIP Schedule'!C2196+1,"")</f>
        <v/>
      </c>
      <c r="D2197" s="27" t="str">
        <f>IF(C2197&lt;='Investment Calculator'!$C$8*'Investment Calculator'!$F$4,'Investment Calculator'!$C$6,"")</f>
        <v/>
      </c>
      <c r="E2197" s="27" t="str">
        <f>IFERROR((F2196+D2197)*'Investment Calculator'!$C$7/'Investment Calculator'!$F$4,"")</f>
        <v/>
      </c>
      <c r="F2197" s="27" t="str">
        <f>IFERROR(ABS(FV('Investment Calculator'!$C$7/'Investment Calculator'!$F$4,'SIP Schedule'!C2197,'SIP Schedule'!D2197,,1)),"")</f>
        <v/>
      </c>
    </row>
    <row r="2198" spans="3:6" x14ac:dyDescent="0.3">
      <c r="C2198" s="1" t="str">
        <f>IF(C2197&lt;'Investment Calculator'!$C$8*'Investment Calculator'!$F$4,'SIP Schedule'!C2197+1,"")</f>
        <v/>
      </c>
      <c r="D2198" s="27" t="str">
        <f>IF(C2198&lt;='Investment Calculator'!$C$8*'Investment Calculator'!$F$4,'Investment Calculator'!$C$6,"")</f>
        <v/>
      </c>
      <c r="E2198" s="27" t="str">
        <f>IFERROR((F2197+D2198)*'Investment Calculator'!$C$7/'Investment Calculator'!$F$4,"")</f>
        <v/>
      </c>
      <c r="F2198" s="27" t="str">
        <f>IFERROR(ABS(FV('Investment Calculator'!$C$7/'Investment Calculator'!$F$4,'SIP Schedule'!C2198,'SIP Schedule'!D2198,,1)),"")</f>
        <v/>
      </c>
    </row>
    <row r="2199" spans="3:6" x14ac:dyDescent="0.3">
      <c r="C2199" s="1" t="str">
        <f>IF(C2198&lt;'Investment Calculator'!$C$8*'Investment Calculator'!$F$4,'SIP Schedule'!C2198+1,"")</f>
        <v/>
      </c>
      <c r="D2199" s="27" t="str">
        <f>IF(C2199&lt;='Investment Calculator'!$C$8*'Investment Calculator'!$F$4,'Investment Calculator'!$C$6,"")</f>
        <v/>
      </c>
      <c r="E2199" s="27" t="str">
        <f>IFERROR((F2198+D2199)*'Investment Calculator'!$C$7/'Investment Calculator'!$F$4,"")</f>
        <v/>
      </c>
      <c r="F2199" s="27" t="str">
        <f>IFERROR(ABS(FV('Investment Calculator'!$C$7/'Investment Calculator'!$F$4,'SIP Schedule'!C2199,'SIP Schedule'!D2199,,1)),"")</f>
        <v/>
      </c>
    </row>
    <row r="2200" spans="3:6" x14ac:dyDescent="0.3">
      <c r="C2200" s="1" t="str">
        <f>IF(C2199&lt;'Investment Calculator'!$C$8*'Investment Calculator'!$F$4,'SIP Schedule'!C2199+1,"")</f>
        <v/>
      </c>
      <c r="D2200" s="27" t="str">
        <f>IF(C2200&lt;='Investment Calculator'!$C$8*'Investment Calculator'!$F$4,'Investment Calculator'!$C$6,"")</f>
        <v/>
      </c>
      <c r="E2200" s="27" t="str">
        <f>IFERROR((F2199+D2200)*'Investment Calculator'!$C$7/'Investment Calculator'!$F$4,"")</f>
        <v/>
      </c>
      <c r="F2200" s="27" t="str">
        <f>IFERROR(ABS(FV('Investment Calculator'!$C$7/'Investment Calculator'!$F$4,'SIP Schedule'!C2200,'SIP Schedule'!D2200,,1)),"")</f>
        <v/>
      </c>
    </row>
    <row r="2201" spans="3:6" x14ac:dyDescent="0.3">
      <c r="C2201" s="1" t="str">
        <f>IF(C2200&lt;'Investment Calculator'!$C$8*'Investment Calculator'!$F$4,'SIP Schedule'!C2200+1,"")</f>
        <v/>
      </c>
      <c r="D2201" s="27" t="str">
        <f>IF(C2201&lt;='Investment Calculator'!$C$8*'Investment Calculator'!$F$4,'Investment Calculator'!$C$6,"")</f>
        <v/>
      </c>
      <c r="E2201" s="27" t="str">
        <f>IFERROR((F2200+D2201)*'Investment Calculator'!$C$7/'Investment Calculator'!$F$4,"")</f>
        <v/>
      </c>
      <c r="F2201" s="27" t="str">
        <f>IFERROR(ABS(FV('Investment Calculator'!$C$7/'Investment Calculator'!$F$4,'SIP Schedule'!C2201,'SIP Schedule'!D2201,,1)),"")</f>
        <v/>
      </c>
    </row>
    <row r="2202" spans="3:6" x14ac:dyDescent="0.3">
      <c r="C2202" s="1" t="str">
        <f>IF(C2201&lt;'Investment Calculator'!$C$8*'Investment Calculator'!$F$4,'SIP Schedule'!C2201+1,"")</f>
        <v/>
      </c>
      <c r="D2202" s="27" t="str">
        <f>IF(C2202&lt;='Investment Calculator'!$C$8*'Investment Calculator'!$F$4,'Investment Calculator'!$C$6,"")</f>
        <v/>
      </c>
      <c r="E2202" s="27" t="str">
        <f>IFERROR((F2201+D2202)*'Investment Calculator'!$C$7/'Investment Calculator'!$F$4,"")</f>
        <v/>
      </c>
      <c r="F2202" s="27" t="str">
        <f>IFERROR(ABS(FV('Investment Calculator'!$C$7/'Investment Calculator'!$F$4,'SIP Schedule'!C2202,'SIP Schedule'!D2202,,1)),"")</f>
        <v/>
      </c>
    </row>
    <row r="2203" spans="3:6" x14ac:dyDescent="0.3">
      <c r="C2203" s="1" t="str">
        <f>IF(C2202&lt;'Investment Calculator'!$C$8*'Investment Calculator'!$F$4,'SIP Schedule'!C2202+1,"")</f>
        <v/>
      </c>
      <c r="D2203" s="27" t="str">
        <f>IF(C2203&lt;='Investment Calculator'!$C$8*'Investment Calculator'!$F$4,'Investment Calculator'!$C$6,"")</f>
        <v/>
      </c>
      <c r="E2203" s="27" t="str">
        <f>IFERROR((F2202+D2203)*'Investment Calculator'!$C$7/'Investment Calculator'!$F$4,"")</f>
        <v/>
      </c>
      <c r="F2203" s="27" t="str">
        <f>IFERROR(ABS(FV('Investment Calculator'!$C$7/'Investment Calculator'!$F$4,'SIP Schedule'!C2203,'SIP Schedule'!D2203,,1)),"")</f>
        <v/>
      </c>
    </row>
    <row r="2204" spans="3:6" x14ac:dyDescent="0.3">
      <c r="C2204" s="1" t="str">
        <f>IF(C2203&lt;'Investment Calculator'!$C$8*'Investment Calculator'!$F$4,'SIP Schedule'!C2203+1,"")</f>
        <v/>
      </c>
      <c r="D2204" s="27" t="str">
        <f>IF(C2204&lt;='Investment Calculator'!$C$8*'Investment Calculator'!$F$4,'Investment Calculator'!$C$6,"")</f>
        <v/>
      </c>
      <c r="E2204" s="27" t="str">
        <f>IFERROR((F2203+D2204)*'Investment Calculator'!$C$7/'Investment Calculator'!$F$4,"")</f>
        <v/>
      </c>
      <c r="F2204" s="27" t="str">
        <f>IFERROR(ABS(FV('Investment Calculator'!$C$7/'Investment Calculator'!$F$4,'SIP Schedule'!C2204,'SIP Schedule'!D2204,,1)),"")</f>
        <v/>
      </c>
    </row>
    <row r="2205" spans="3:6" x14ac:dyDescent="0.3">
      <c r="C2205" s="1" t="str">
        <f>IF(C2204&lt;'Investment Calculator'!$C$8*'Investment Calculator'!$F$4,'SIP Schedule'!C2204+1,"")</f>
        <v/>
      </c>
      <c r="D2205" s="27" t="str">
        <f>IF(C2205&lt;='Investment Calculator'!$C$8*'Investment Calculator'!$F$4,'Investment Calculator'!$C$6,"")</f>
        <v/>
      </c>
      <c r="E2205" s="27" t="str">
        <f>IFERROR((F2204+D2205)*'Investment Calculator'!$C$7/'Investment Calculator'!$F$4,"")</f>
        <v/>
      </c>
      <c r="F2205" s="27" t="str">
        <f>IFERROR(ABS(FV('Investment Calculator'!$C$7/'Investment Calculator'!$F$4,'SIP Schedule'!C2205,'SIP Schedule'!D2205,,1)),"")</f>
        <v/>
      </c>
    </row>
    <row r="2206" spans="3:6" x14ac:dyDescent="0.3">
      <c r="C2206" s="1" t="str">
        <f>IF(C2205&lt;'Investment Calculator'!$C$8*'Investment Calculator'!$F$4,'SIP Schedule'!C2205+1,"")</f>
        <v/>
      </c>
      <c r="D2206" s="27" t="str">
        <f>IF(C2206&lt;='Investment Calculator'!$C$8*'Investment Calculator'!$F$4,'Investment Calculator'!$C$6,"")</f>
        <v/>
      </c>
      <c r="E2206" s="27" t="str">
        <f>IFERROR((F2205+D2206)*'Investment Calculator'!$C$7/'Investment Calculator'!$F$4,"")</f>
        <v/>
      </c>
      <c r="F2206" s="27" t="str">
        <f>IFERROR(ABS(FV('Investment Calculator'!$C$7/'Investment Calculator'!$F$4,'SIP Schedule'!C2206,'SIP Schedule'!D2206,,1)),"")</f>
        <v/>
      </c>
    </row>
    <row r="2207" spans="3:6" x14ac:dyDescent="0.3">
      <c r="C2207" s="1" t="str">
        <f>IF(C2206&lt;'Investment Calculator'!$C$8*'Investment Calculator'!$F$4,'SIP Schedule'!C2206+1,"")</f>
        <v/>
      </c>
      <c r="D2207" s="27" t="str">
        <f>IF(C2207&lt;='Investment Calculator'!$C$8*'Investment Calculator'!$F$4,'Investment Calculator'!$C$6,"")</f>
        <v/>
      </c>
      <c r="E2207" s="27" t="str">
        <f>IFERROR((F2206+D2207)*'Investment Calculator'!$C$7/'Investment Calculator'!$F$4,"")</f>
        <v/>
      </c>
      <c r="F2207" s="27" t="str">
        <f>IFERROR(ABS(FV('Investment Calculator'!$C$7/'Investment Calculator'!$F$4,'SIP Schedule'!C2207,'SIP Schedule'!D2207,,1)),"")</f>
        <v/>
      </c>
    </row>
    <row r="2208" spans="3:6" x14ac:dyDescent="0.3">
      <c r="C2208" s="1" t="str">
        <f>IF(C2207&lt;'Investment Calculator'!$C$8*'Investment Calculator'!$F$4,'SIP Schedule'!C2207+1,"")</f>
        <v/>
      </c>
      <c r="D2208" s="27" t="str">
        <f>IF(C2208&lt;='Investment Calculator'!$C$8*'Investment Calculator'!$F$4,'Investment Calculator'!$C$6,"")</f>
        <v/>
      </c>
      <c r="E2208" s="27" t="str">
        <f>IFERROR((F2207+D2208)*'Investment Calculator'!$C$7/'Investment Calculator'!$F$4,"")</f>
        <v/>
      </c>
      <c r="F2208" s="27" t="str">
        <f>IFERROR(ABS(FV('Investment Calculator'!$C$7/'Investment Calculator'!$F$4,'SIP Schedule'!C2208,'SIP Schedule'!D2208,,1)),"")</f>
        <v/>
      </c>
    </row>
    <row r="2209" spans="3:6" x14ac:dyDescent="0.3">
      <c r="C2209" s="1" t="str">
        <f>IF(C2208&lt;'Investment Calculator'!$C$8*'Investment Calculator'!$F$4,'SIP Schedule'!C2208+1,"")</f>
        <v/>
      </c>
      <c r="D2209" s="27" t="str">
        <f>IF(C2209&lt;='Investment Calculator'!$C$8*'Investment Calculator'!$F$4,'Investment Calculator'!$C$6,"")</f>
        <v/>
      </c>
      <c r="E2209" s="27" t="str">
        <f>IFERROR((F2208+D2209)*'Investment Calculator'!$C$7/'Investment Calculator'!$F$4,"")</f>
        <v/>
      </c>
      <c r="F2209" s="27" t="str">
        <f>IFERROR(ABS(FV('Investment Calculator'!$C$7/'Investment Calculator'!$F$4,'SIP Schedule'!C2209,'SIP Schedule'!D2209,,1)),"")</f>
        <v/>
      </c>
    </row>
    <row r="2210" spans="3:6" x14ac:dyDescent="0.3">
      <c r="C2210" s="1" t="str">
        <f>IF(C2209&lt;'Investment Calculator'!$C$8*'Investment Calculator'!$F$4,'SIP Schedule'!C2209+1,"")</f>
        <v/>
      </c>
      <c r="D2210" s="27" t="str">
        <f>IF(C2210&lt;='Investment Calculator'!$C$8*'Investment Calculator'!$F$4,'Investment Calculator'!$C$6,"")</f>
        <v/>
      </c>
      <c r="E2210" s="27" t="str">
        <f>IFERROR((F2209+D2210)*'Investment Calculator'!$C$7/'Investment Calculator'!$F$4,"")</f>
        <v/>
      </c>
      <c r="F2210" s="27" t="str">
        <f>IFERROR(ABS(FV('Investment Calculator'!$C$7/'Investment Calculator'!$F$4,'SIP Schedule'!C2210,'SIP Schedule'!D2210,,1)),"")</f>
        <v/>
      </c>
    </row>
    <row r="2211" spans="3:6" x14ac:dyDescent="0.3">
      <c r="C2211" s="1" t="str">
        <f>IF(C2210&lt;'Investment Calculator'!$C$8*'Investment Calculator'!$F$4,'SIP Schedule'!C2210+1,"")</f>
        <v/>
      </c>
      <c r="D2211" s="27" t="str">
        <f>IF(C2211&lt;='Investment Calculator'!$C$8*'Investment Calculator'!$F$4,'Investment Calculator'!$C$6,"")</f>
        <v/>
      </c>
      <c r="E2211" s="27" t="str">
        <f>IFERROR((F2210+D2211)*'Investment Calculator'!$C$7/'Investment Calculator'!$F$4,"")</f>
        <v/>
      </c>
      <c r="F2211" s="27" t="str">
        <f>IFERROR(ABS(FV('Investment Calculator'!$C$7/'Investment Calculator'!$F$4,'SIP Schedule'!C2211,'SIP Schedule'!D2211,,1)),"")</f>
        <v/>
      </c>
    </row>
    <row r="2212" spans="3:6" x14ac:dyDescent="0.3">
      <c r="C2212" s="1" t="str">
        <f>IF(C2211&lt;'Investment Calculator'!$C$8*'Investment Calculator'!$F$4,'SIP Schedule'!C2211+1,"")</f>
        <v/>
      </c>
      <c r="D2212" s="27" t="str">
        <f>IF(C2212&lt;='Investment Calculator'!$C$8*'Investment Calculator'!$F$4,'Investment Calculator'!$C$6,"")</f>
        <v/>
      </c>
      <c r="E2212" s="27" t="str">
        <f>IFERROR((F2211+D2212)*'Investment Calculator'!$C$7/'Investment Calculator'!$F$4,"")</f>
        <v/>
      </c>
      <c r="F2212" s="27" t="str">
        <f>IFERROR(ABS(FV('Investment Calculator'!$C$7/'Investment Calculator'!$F$4,'SIP Schedule'!C2212,'SIP Schedule'!D2212,,1)),"")</f>
        <v/>
      </c>
    </row>
    <row r="2213" spans="3:6" x14ac:dyDescent="0.3">
      <c r="C2213" s="1" t="str">
        <f>IF(C2212&lt;'Investment Calculator'!$C$8*'Investment Calculator'!$F$4,'SIP Schedule'!C2212+1,"")</f>
        <v/>
      </c>
      <c r="D2213" s="27" t="str">
        <f>IF(C2213&lt;='Investment Calculator'!$C$8*'Investment Calculator'!$F$4,'Investment Calculator'!$C$6,"")</f>
        <v/>
      </c>
      <c r="E2213" s="27" t="str">
        <f>IFERROR((F2212+D2213)*'Investment Calculator'!$C$7/'Investment Calculator'!$F$4,"")</f>
        <v/>
      </c>
      <c r="F2213" s="27" t="str">
        <f>IFERROR(ABS(FV('Investment Calculator'!$C$7/'Investment Calculator'!$F$4,'SIP Schedule'!C2213,'SIP Schedule'!D2213,,1)),"")</f>
        <v/>
      </c>
    </row>
    <row r="2214" spans="3:6" x14ac:dyDescent="0.3">
      <c r="C2214" s="1" t="str">
        <f>IF(C2213&lt;'Investment Calculator'!$C$8*'Investment Calculator'!$F$4,'SIP Schedule'!C2213+1,"")</f>
        <v/>
      </c>
      <c r="D2214" s="27" t="str">
        <f>IF(C2214&lt;='Investment Calculator'!$C$8*'Investment Calculator'!$F$4,'Investment Calculator'!$C$6,"")</f>
        <v/>
      </c>
      <c r="E2214" s="27" t="str">
        <f>IFERROR((F2213+D2214)*'Investment Calculator'!$C$7/'Investment Calculator'!$F$4,"")</f>
        <v/>
      </c>
      <c r="F2214" s="27" t="str">
        <f>IFERROR(ABS(FV('Investment Calculator'!$C$7/'Investment Calculator'!$F$4,'SIP Schedule'!C2214,'SIP Schedule'!D2214,,1)),"")</f>
        <v/>
      </c>
    </row>
    <row r="2215" spans="3:6" x14ac:dyDescent="0.3">
      <c r="C2215" s="1" t="str">
        <f>IF(C2214&lt;'Investment Calculator'!$C$8*'Investment Calculator'!$F$4,'SIP Schedule'!C2214+1,"")</f>
        <v/>
      </c>
      <c r="D2215" s="27" t="str">
        <f>IF(C2215&lt;='Investment Calculator'!$C$8*'Investment Calculator'!$F$4,'Investment Calculator'!$C$6,"")</f>
        <v/>
      </c>
      <c r="E2215" s="27" t="str">
        <f>IFERROR((F2214+D2215)*'Investment Calculator'!$C$7/'Investment Calculator'!$F$4,"")</f>
        <v/>
      </c>
      <c r="F2215" s="27" t="str">
        <f>IFERROR(ABS(FV('Investment Calculator'!$C$7/'Investment Calculator'!$F$4,'SIP Schedule'!C2215,'SIP Schedule'!D2215,,1)),"")</f>
        <v/>
      </c>
    </row>
    <row r="2216" spans="3:6" x14ac:dyDescent="0.3">
      <c r="C2216" s="1" t="str">
        <f>IF(C2215&lt;'Investment Calculator'!$C$8*'Investment Calculator'!$F$4,'SIP Schedule'!C2215+1,"")</f>
        <v/>
      </c>
      <c r="D2216" s="27" t="str">
        <f>IF(C2216&lt;='Investment Calculator'!$C$8*'Investment Calculator'!$F$4,'Investment Calculator'!$C$6,"")</f>
        <v/>
      </c>
      <c r="E2216" s="27" t="str">
        <f>IFERROR((F2215+D2216)*'Investment Calculator'!$C$7/'Investment Calculator'!$F$4,"")</f>
        <v/>
      </c>
      <c r="F2216" s="27" t="str">
        <f>IFERROR(ABS(FV('Investment Calculator'!$C$7/'Investment Calculator'!$F$4,'SIP Schedule'!C2216,'SIP Schedule'!D2216,,1)),"")</f>
        <v/>
      </c>
    </row>
    <row r="2217" spans="3:6" x14ac:dyDescent="0.3">
      <c r="C2217" s="1" t="str">
        <f>IF(C2216&lt;'Investment Calculator'!$C$8*'Investment Calculator'!$F$4,'SIP Schedule'!C2216+1,"")</f>
        <v/>
      </c>
      <c r="D2217" s="27" t="str">
        <f>IF(C2217&lt;='Investment Calculator'!$C$8*'Investment Calculator'!$F$4,'Investment Calculator'!$C$6,"")</f>
        <v/>
      </c>
      <c r="E2217" s="27" t="str">
        <f>IFERROR((F2216+D2217)*'Investment Calculator'!$C$7/'Investment Calculator'!$F$4,"")</f>
        <v/>
      </c>
      <c r="F2217" s="27" t="str">
        <f>IFERROR(ABS(FV('Investment Calculator'!$C$7/'Investment Calculator'!$F$4,'SIP Schedule'!C2217,'SIP Schedule'!D2217,,1)),"")</f>
        <v/>
      </c>
    </row>
    <row r="2218" spans="3:6" x14ac:dyDescent="0.3">
      <c r="C2218" s="1" t="str">
        <f>IF(C2217&lt;'Investment Calculator'!$C$8*'Investment Calculator'!$F$4,'SIP Schedule'!C2217+1,"")</f>
        <v/>
      </c>
      <c r="D2218" s="27" t="str">
        <f>IF(C2218&lt;='Investment Calculator'!$C$8*'Investment Calculator'!$F$4,'Investment Calculator'!$C$6,"")</f>
        <v/>
      </c>
      <c r="E2218" s="27" t="str">
        <f>IFERROR((F2217+D2218)*'Investment Calculator'!$C$7/'Investment Calculator'!$F$4,"")</f>
        <v/>
      </c>
      <c r="F2218" s="27" t="str">
        <f>IFERROR(ABS(FV('Investment Calculator'!$C$7/'Investment Calculator'!$F$4,'SIP Schedule'!C2218,'SIP Schedule'!D2218,,1)),"")</f>
        <v/>
      </c>
    </row>
    <row r="2219" spans="3:6" x14ac:dyDescent="0.3">
      <c r="C2219" s="1" t="str">
        <f>IF(C2218&lt;'Investment Calculator'!$C$8*'Investment Calculator'!$F$4,'SIP Schedule'!C2218+1,"")</f>
        <v/>
      </c>
      <c r="D2219" s="27" t="str">
        <f>IF(C2219&lt;='Investment Calculator'!$C$8*'Investment Calculator'!$F$4,'Investment Calculator'!$C$6,"")</f>
        <v/>
      </c>
      <c r="E2219" s="27" t="str">
        <f>IFERROR((F2218+D2219)*'Investment Calculator'!$C$7/'Investment Calculator'!$F$4,"")</f>
        <v/>
      </c>
      <c r="F2219" s="27" t="str">
        <f>IFERROR(ABS(FV('Investment Calculator'!$C$7/'Investment Calculator'!$F$4,'SIP Schedule'!C2219,'SIP Schedule'!D2219,,1)),"")</f>
        <v/>
      </c>
    </row>
    <row r="2220" spans="3:6" x14ac:dyDescent="0.3">
      <c r="C2220" s="1" t="str">
        <f>IF(C2219&lt;'Investment Calculator'!$C$8*'Investment Calculator'!$F$4,'SIP Schedule'!C2219+1,"")</f>
        <v/>
      </c>
      <c r="D2220" s="27" t="str">
        <f>IF(C2220&lt;='Investment Calculator'!$C$8*'Investment Calculator'!$F$4,'Investment Calculator'!$C$6,"")</f>
        <v/>
      </c>
      <c r="E2220" s="27" t="str">
        <f>IFERROR((F2219+D2220)*'Investment Calculator'!$C$7/'Investment Calculator'!$F$4,"")</f>
        <v/>
      </c>
      <c r="F2220" s="27" t="str">
        <f>IFERROR(ABS(FV('Investment Calculator'!$C$7/'Investment Calculator'!$F$4,'SIP Schedule'!C2220,'SIP Schedule'!D2220,,1)),"")</f>
        <v/>
      </c>
    </row>
    <row r="2221" spans="3:6" x14ac:dyDescent="0.3">
      <c r="C2221" s="1" t="str">
        <f>IF(C2220&lt;'Investment Calculator'!$C$8*'Investment Calculator'!$F$4,'SIP Schedule'!C2220+1,"")</f>
        <v/>
      </c>
      <c r="D2221" s="27" t="str">
        <f>IF(C2221&lt;='Investment Calculator'!$C$8*'Investment Calculator'!$F$4,'Investment Calculator'!$C$6,"")</f>
        <v/>
      </c>
      <c r="E2221" s="27" t="str">
        <f>IFERROR((F2220+D2221)*'Investment Calculator'!$C$7/'Investment Calculator'!$F$4,"")</f>
        <v/>
      </c>
      <c r="F2221" s="27" t="str">
        <f>IFERROR(ABS(FV('Investment Calculator'!$C$7/'Investment Calculator'!$F$4,'SIP Schedule'!C2221,'SIP Schedule'!D2221,,1)),"")</f>
        <v/>
      </c>
    </row>
    <row r="2222" spans="3:6" x14ac:dyDescent="0.3">
      <c r="C2222" s="1" t="str">
        <f>IF(C2221&lt;'Investment Calculator'!$C$8*'Investment Calculator'!$F$4,'SIP Schedule'!C2221+1,"")</f>
        <v/>
      </c>
      <c r="D2222" s="27" t="str">
        <f>IF(C2222&lt;='Investment Calculator'!$C$8*'Investment Calculator'!$F$4,'Investment Calculator'!$C$6,"")</f>
        <v/>
      </c>
      <c r="E2222" s="27" t="str">
        <f>IFERROR((F2221+D2222)*'Investment Calculator'!$C$7/'Investment Calculator'!$F$4,"")</f>
        <v/>
      </c>
      <c r="F2222" s="27" t="str">
        <f>IFERROR(ABS(FV('Investment Calculator'!$C$7/'Investment Calculator'!$F$4,'SIP Schedule'!C2222,'SIP Schedule'!D2222,,1)),"")</f>
        <v/>
      </c>
    </row>
    <row r="2223" spans="3:6" x14ac:dyDescent="0.3">
      <c r="C2223" s="1" t="str">
        <f>IF(C2222&lt;'Investment Calculator'!$C$8*'Investment Calculator'!$F$4,'SIP Schedule'!C2222+1,"")</f>
        <v/>
      </c>
      <c r="D2223" s="27" t="str">
        <f>IF(C2223&lt;='Investment Calculator'!$C$8*'Investment Calculator'!$F$4,'Investment Calculator'!$C$6,"")</f>
        <v/>
      </c>
      <c r="E2223" s="27" t="str">
        <f>IFERROR((F2222+D2223)*'Investment Calculator'!$C$7/'Investment Calculator'!$F$4,"")</f>
        <v/>
      </c>
      <c r="F2223" s="27" t="str">
        <f>IFERROR(ABS(FV('Investment Calculator'!$C$7/'Investment Calculator'!$F$4,'SIP Schedule'!C2223,'SIP Schedule'!D2223,,1)),"")</f>
        <v/>
      </c>
    </row>
    <row r="2224" spans="3:6" x14ac:dyDescent="0.3">
      <c r="C2224" s="1" t="str">
        <f>IF(C2223&lt;'Investment Calculator'!$C$8*'Investment Calculator'!$F$4,'SIP Schedule'!C2223+1,"")</f>
        <v/>
      </c>
      <c r="D2224" s="27" t="str">
        <f>IF(C2224&lt;='Investment Calculator'!$C$8*'Investment Calculator'!$F$4,'Investment Calculator'!$C$6,"")</f>
        <v/>
      </c>
      <c r="E2224" s="27" t="str">
        <f>IFERROR((F2223+D2224)*'Investment Calculator'!$C$7/'Investment Calculator'!$F$4,"")</f>
        <v/>
      </c>
      <c r="F2224" s="27" t="str">
        <f>IFERROR(ABS(FV('Investment Calculator'!$C$7/'Investment Calculator'!$F$4,'SIP Schedule'!C2224,'SIP Schedule'!D2224,,1)),"")</f>
        <v/>
      </c>
    </row>
    <row r="2225" spans="3:6" x14ac:dyDescent="0.3">
      <c r="C2225" s="1" t="str">
        <f>IF(C2224&lt;'Investment Calculator'!$C$8*'Investment Calculator'!$F$4,'SIP Schedule'!C2224+1,"")</f>
        <v/>
      </c>
      <c r="D2225" s="27" t="str">
        <f>IF(C2225&lt;='Investment Calculator'!$C$8*'Investment Calculator'!$F$4,'Investment Calculator'!$C$6,"")</f>
        <v/>
      </c>
      <c r="E2225" s="27" t="str">
        <f>IFERROR((F2224+D2225)*'Investment Calculator'!$C$7/'Investment Calculator'!$F$4,"")</f>
        <v/>
      </c>
      <c r="F2225" s="27" t="str">
        <f>IFERROR(ABS(FV('Investment Calculator'!$C$7/'Investment Calculator'!$F$4,'SIP Schedule'!C2225,'SIP Schedule'!D2225,,1)),"")</f>
        <v/>
      </c>
    </row>
    <row r="2226" spans="3:6" x14ac:dyDescent="0.3">
      <c r="C2226" s="1" t="str">
        <f>IF(C2225&lt;'Investment Calculator'!$C$8*'Investment Calculator'!$F$4,'SIP Schedule'!C2225+1,"")</f>
        <v/>
      </c>
      <c r="D2226" s="27" t="str">
        <f>IF(C2226&lt;='Investment Calculator'!$C$8*'Investment Calculator'!$F$4,'Investment Calculator'!$C$6,"")</f>
        <v/>
      </c>
      <c r="E2226" s="27" t="str">
        <f>IFERROR((F2225+D2226)*'Investment Calculator'!$C$7/'Investment Calculator'!$F$4,"")</f>
        <v/>
      </c>
      <c r="F2226" s="27" t="str">
        <f>IFERROR(ABS(FV('Investment Calculator'!$C$7/'Investment Calculator'!$F$4,'SIP Schedule'!C2226,'SIP Schedule'!D2226,,1)),"")</f>
        <v/>
      </c>
    </row>
    <row r="2227" spans="3:6" x14ac:dyDescent="0.3">
      <c r="C2227" s="1" t="str">
        <f>IF(C2226&lt;'Investment Calculator'!$C$8*'Investment Calculator'!$F$4,'SIP Schedule'!C2226+1,"")</f>
        <v/>
      </c>
      <c r="D2227" s="27" t="str">
        <f>IF(C2227&lt;='Investment Calculator'!$C$8*'Investment Calculator'!$F$4,'Investment Calculator'!$C$6,"")</f>
        <v/>
      </c>
      <c r="E2227" s="27" t="str">
        <f>IFERROR((F2226+D2227)*'Investment Calculator'!$C$7/'Investment Calculator'!$F$4,"")</f>
        <v/>
      </c>
      <c r="F2227" s="27" t="str">
        <f>IFERROR(ABS(FV('Investment Calculator'!$C$7/'Investment Calculator'!$F$4,'SIP Schedule'!C2227,'SIP Schedule'!D2227,,1)),"")</f>
        <v/>
      </c>
    </row>
    <row r="2228" spans="3:6" x14ac:dyDescent="0.3">
      <c r="C2228" s="1" t="str">
        <f>IF(C2227&lt;'Investment Calculator'!$C$8*'Investment Calculator'!$F$4,'SIP Schedule'!C2227+1,"")</f>
        <v/>
      </c>
      <c r="D2228" s="27" t="str">
        <f>IF(C2228&lt;='Investment Calculator'!$C$8*'Investment Calculator'!$F$4,'Investment Calculator'!$C$6,"")</f>
        <v/>
      </c>
      <c r="E2228" s="27" t="str">
        <f>IFERROR((F2227+D2228)*'Investment Calculator'!$C$7/'Investment Calculator'!$F$4,"")</f>
        <v/>
      </c>
      <c r="F2228" s="27" t="str">
        <f>IFERROR(ABS(FV('Investment Calculator'!$C$7/'Investment Calculator'!$F$4,'SIP Schedule'!C2228,'SIP Schedule'!D2228,,1)),"")</f>
        <v/>
      </c>
    </row>
    <row r="2229" spans="3:6" x14ac:dyDescent="0.3">
      <c r="C2229" s="1" t="str">
        <f>IF(C2228&lt;'Investment Calculator'!$C$8*'Investment Calculator'!$F$4,'SIP Schedule'!C2228+1,"")</f>
        <v/>
      </c>
      <c r="D2229" s="27" t="str">
        <f>IF(C2229&lt;='Investment Calculator'!$C$8*'Investment Calculator'!$F$4,'Investment Calculator'!$C$6,"")</f>
        <v/>
      </c>
      <c r="E2229" s="27" t="str">
        <f>IFERROR((F2228+D2229)*'Investment Calculator'!$C$7/'Investment Calculator'!$F$4,"")</f>
        <v/>
      </c>
      <c r="F2229" s="27" t="str">
        <f>IFERROR(ABS(FV('Investment Calculator'!$C$7/'Investment Calculator'!$F$4,'SIP Schedule'!C2229,'SIP Schedule'!D2229,,1)),"")</f>
        <v/>
      </c>
    </row>
    <row r="2230" spans="3:6" x14ac:dyDescent="0.3">
      <c r="C2230" s="1" t="str">
        <f>IF(C2229&lt;'Investment Calculator'!$C$8*'Investment Calculator'!$F$4,'SIP Schedule'!C2229+1,"")</f>
        <v/>
      </c>
      <c r="D2230" s="27" t="str">
        <f>IF(C2230&lt;='Investment Calculator'!$C$8*'Investment Calculator'!$F$4,'Investment Calculator'!$C$6,"")</f>
        <v/>
      </c>
      <c r="E2230" s="27" t="str">
        <f>IFERROR((F2229+D2230)*'Investment Calculator'!$C$7/'Investment Calculator'!$F$4,"")</f>
        <v/>
      </c>
      <c r="F2230" s="27" t="str">
        <f>IFERROR(ABS(FV('Investment Calculator'!$C$7/'Investment Calculator'!$F$4,'SIP Schedule'!C2230,'SIP Schedule'!D2230,,1)),"")</f>
        <v/>
      </c>
    </row>
    <row r="2231" spans="3:6" x14ac:dyDescent="0.3">
      <c r="C2231" s="1" t="str">
        <f>IF(C2230&lt;'Investment Calculator'!$C$8*'Investment Calculator'!$F$4,'SIP Schedule'!C2230+1,"")</f>
        <v/>
      </c>
      <c r="D2231" s="27" t="str">
        <f>IF(C2231&lt;='Investment Calculator'!$C$8*'Investment Calculator'!$F$4,'Investment Calculator'!$C$6,"")</f>
        <v/>
      </c>
      <c r="E2231" s="27" t="str">
        <f>IFERROR((F2230+D2231)*'Investment Calculator'!$C$7/'Investment Calculator'!$F$4,"")</f>
        <v/>
      </c>
      <c r="F2231" s="27" t="str">
        <f>IFERROR(ABS(FV('Investment Calculator'!$C$7/'Investment Calculator'!$F$4,'SIP Schedule'!C2231,'SIP Schedule'!D2231,,1)),"")</f>
        <v/>
      </c>
    </row>
    <row r="2232" spans="3:6" x14ac:dyDescent="0.3">
      <c r="C2232" s="1" t="str">
        <f>IF(C2231&lt;'Investment Calculator'!$C$8*'Investment Calculator'!$F$4,'SIP Schedule'!C2231+1,"")</f>
        <v/>
      </c>
      <c r="D2232" s="27" t="str">
        <f>IF(C2232&lt;='Investment Calculator'!$C$8*'Investment Calculator'!$F$4,'Investment Calculator'!$C$6,"")</f>
        <v/>
      </c>
      <c r="E2232" s="27" t="str">
        <f>IFERROR((F2231+D2232)*'Investment Calculator'!$C$7/'Investment Calculator'!$F$4,"")</f>
        <v/>
      </c>
      <c r="F2232" s="27" t="str">
        <f>IFERROR(ABS(FV('Investment Calculator'!$C$7/'Investment Calculator'!$F$4,'SIP Schedule'!C2232,'SIP Schedule'!D2232,,1)),"")</f>
        <v/>
      </c>
    </row>
    <row r="2233" spans="3:6" x14ac:dyDescent="0.3">
      <c r="C2233" s="1" t="str">
        <f>IF(C2232&lt;'Investment Calculator'!$C$8*'Investment Calculator'!$F$4,'SIP Schedule'!C2232+1,"")</f>
        <v/>
      </c>
      <c r="D2233" s="27" t="str">
        <f>IF(C2233&lt;='Investment Calculator'!$C$8*'Investment Calculator'!$F$4,'Investment Calculator'!$C$6,"")</f>
        <v/>
      </c>
      <c r="E2233" s="27" t="str">
        <f>IFERROR((F2232+D2233)*'Investment Calculator'!$C$7/'Investment Calculator'!$F$4,"")</f>
        <v/>
      </c>
      <c r="F2233" s="27" t="str">
        <f>IFERROR(ABS(FV('Investment Calculator'!$C$7/'Investment Calculator'!$F$4,'SIP Schedule'!C2233,'SIP Schedule'!D2233,,1)),"")</f>
        <v/>
      </c>
    </row>
    <row r="2234" spans="3:6" x14ac:dyDescent="0.3">
      <c r="C2234" s="1" t="str">
        <f>IF(C2233&lt;'Investment Calculator'!$C$8*'Investment Calculator'!$F$4,'SIP Schedule'!C2233+1,"")</f>
        <v/>
      </c>
      <c r="D2234" s="27" t="str">
        <f>IF(C2234&lt;='Investment Calculator'!$C$8*'Investment Calculator'!$F$4,'Investment Calculator'!$C$6,"")</f>
        <v/>
      </c>
      <c r="E2234" s="27" t="str">
        <f>IFERROR((F2233+D2234)*'Investment Calculator'!$C$7/'Investment Calculator'!$F$4,"")</f>
        <v/>
      </c>
      <c r="F2234" s="27" t="str">
        <f>IFERROR(ABS(FV('Investment Calculator'!$C$7/'Investment Calculator'!$F$4,'SIP Schedule'!C2234,'SIP Schedule'!D2234,,1)),"")</f>
        <v/>
      </c>
    </row>
    <row r="2235" spans="3:6" x14ac:dyDescent="0.3">
      <c r="C2235" s="1" t="str">
        <f>IF(C2234&lt;'Investment Calculator'!$C$8*'Investment Calculator'!$F$4,'SIP Schedule'!C2234+1,"")</f>
        <v/>
      </c>
      <c r="D2235" s="27" t="str">
        <f>IF(C2235&lt;='Investment Calculator'!$C$8*'Investment Calculator'!$F$4,'Investment Calculator'!$C$6,"")</f>
        <v/>
      </c>
      <c r="E2235" s="27" t="str">
        <f>IFERROR((F2234+D2235)*'Investment Calculator'!$C$7/'Investment Calculator'!$F$4,"")</f>
        <v/>
      </c>
      <c r="F2235" s="27" t="str">
        <f>IFERROR(ABS(FV('Investment Calculator'!$C$7/'Investment Calculator'!$F$4,'SIP Schedule'!C2235,'SIP Schedule'!D2235,,1)),"")</f>
        <v/>
      </c>
    </row>
    <row r="2236" spans="3:6" x14ac:dyDescent="0.3">
      <c r="C2236" s="1" t="str">
        <f>IF(C2235&lt;'Investment Calculator'!$C$8*'Investment Calculator'!$F$4,'SIP Schedule'!C2235+1,"")</f>
        <v/>
      </c>
      <c r="D2236" s="27" t="str">
        <f>IF(C2236&lt;='Investment Calculator'!$C$8*'Investment Calculator'!$F$4,'Investment Calculator'!$C$6,"")</f>
        <v/>
      </c>
      <c r="E2236" s="27" t="str">
        <f>IFERROR((F2235+D2236)*'Investment Calculator'!$C$7/'Investment Calculator'!$F$4,"")</f>
        <v/>
      </c>
      <c r="F2236" s="27" t="str">
        <f>IFERROR(ABS(FV('Investment Calculator'!$C$7/'Investment Calculator'!$F$4,'SIP Schedule'!C2236,'SIP Schedule'!D2236,,1)),"")</f>
        <v/>
      </c>
    </row>
    <row r="2237" spans="3:6" x14ac:dyDescent="0.3">
      <c r="C2237" s="1" t="str">
        <f>IF(C2236&lt;'Investment Calculator'!$C$8*'Investment Calculator'!$F$4,'SIP Schedule'!C2236+1,"")</f>
        <v/>
      </c>
      <c r="D2237" s="27" t="str">
        <f>IF(C2237&lt;='Investment Calculator'!$C$8*'Investment Calculator'!$F$4,'Investment Calculator'!$C$6,"")</f>
        <v/>
      </c>
      <c r="E2237" s="27" t="str">
        <f>IFERROR((F2236+D2237)*'Investment Calculator'!$C$7/'Investment Calculator'!$F$4,"")</f>
        <v/>
      </c>
      <c r="F2237" s="27" t="str">
        <f>IFERROR(ABS(FV('Investment Calculator'!$C$7/'Investment Calculator'!$F$4,'SIP Schedule'!C2237,'SIP Schedule'!D2237,,1)),"")</f>
        <v/>
      </c>
    </row>
    <row r="2238" spans="3:6" x14ac:dyDescent="0.3">
      <c r="C2238" s="1" t="str">
        <f>IF(C2237&lt;'Investment Calculator'!$C$8*'Investment Calculator'!$F$4,'SIP Schedule'!C2237+1,"")</f>
        <v/>
      </c>
      <c r="D2238" s="27" t="str">
        <f>IF(C2238&lt;='Investment Calculator'!$C$8*'Investment Calculator'!$F$4,'Investment Calculator'!$C$6,"")</f>
        <v/>
      </c>
      <c r="E2238" s="27" t="str">
        <f>IFERROR((F2237+D2238)*'Investment Calculator'!$C$7/'Investment Calculator'!$F$4,"")</f>
        <v/>
      </c>
      <c r="F2238" s="27" t="str">
        <f>IFERROR(ABS(FV('Investment Calculator'!$C$7/'Investment Calculator'!$F$4,'SIP Schedule'!C2238,'SIP Schedule'!D2238,,1)),"")</f>
        <v/>
      </c>
    </row>
    <row r="2239" spans="3:6" x14ac:dyDescent="0.3">
      <c r="C2239" s="1" t="str">
        <f>IF(C2238&lt;'Investment Calculator'!$C$8*'Investment Calculator'!$F$4,'SIP Schedule'!C2238+1,"")</f>
        <v/>
      </c>
      <c r="D2239" s="27" t="str">
        <f>IF(C2239&lt;='Investment Calculator'!$C$8*'Investment Calculator'!$F$4,'Investment Calculator'!$C$6,"")</f>
        <v/>
      </c>
      <c r="E2239" s="27" t="str">
        <f>IFERROR((F2238+D2239)*'Investment Calculator'!$C$7/'Investment Calculator'!$F$4,"")</f>
        <v/>
      </c>
      <c r="F2239" s="27" t="str">
        <f>IFERROR(ABS(FV('Investment Calculator'!$C$7/'Investment Calculator'!$F$4,'SIP Schedule'!C2239,'SIP Schedule'!D2239,,1)),"")</f>
        <v/>
      </c>
    </row>
    <row r="2240" spans="3:6" x14ac:dyDescent="0.3">
      <c r="C2240" s="1" t="str">
        <f>IF(C2239&lt;'Investment Calculator'!$C$8*'Investment Calculator'!$F$4,'SIP Schedule'!C2239+1,"")</f>
        <v/>
      </c>
      <c r="D2240" s="27" t="str">
        <f>IF(C2240&lt;='Investment Calculator'!$C$8*'Investment Calculator'!$F$4,'Investment Calculator'!$C$6,"")</f>
        <v/>
      </c>
      <c r="E2240" s="27" t="str">
        <f>IFERROR((F2239+D2240)*'Investment Calculator'!$C$7/'Investment Calculator'!$F$4,"")</f>
        <v/>
      </c>
      <c r="F2240" s="27" t="str">
        <f>IFERROR(ABS(FV('Investment Calculator'!$C$7/'Investment Calculator'!$F$4,'SIP Schedule'!C2240,'SIP Schedule'!D2240,,1)),"")</f>
        <v/>
      </c>
    </row>
    <row r="2241" spans="3:6" x14ac:dyDescent="0.3">
      <c r="C2241" s="1" t="str">
        <f>IF(C2240&lt;'Investment Calculator'!$C$8*'Investment Calculator'!$F$4,'SIP Schedule'!C2240+1,"")</f>
        <v/>
      </c>
      <c r="D2241" s="27" t="str">
        <f>IF(C2241&lt;='Investment Calculator'!$C$8*'Investment Calculator'!$F$4,'Investment Calculator'!$C$6,"")</f>
        <v/>
      </c>
      <c r="E2241" s="27" t="str">
        <f>IFERROR((F2240+D2241)*'Investment Calculator'!$C$7/'Investment Calculator'!$F$4,"")</f>
        <v/>
      </c>
      <c r="F2241" s="27" t="str">
        <f>IFERROR(ABS(FV('Investment Calculator'!$C$7/'Investment Calculator'!$F$4,'SIP Schedule'!C2241,'SIP Schedule'!D2241,,1)),"")</f>
        <v/>
      </c>
    </row>
    <row r="2242" spans="3:6" x14ac:dyDescent="0.3">
      <c r="C2242" s="1" t="str">
        <f>IF(C2241&lt;'Investment Calculator'!$C$8*'Investment Calculator'!$F$4,'SIP Schedule'!C2241+1,"")</f>
        <v/>
      </c>
      <c r="D2242" s="27" t="str">
        <f>IF(C2242&lt;='Investment Calculator'!$C$8*'Investment Calculator'!$F$4,'Investment Calculator'!$C$6,"")</f>
        <v/>
      </c>
      <c r="E2242" s="27" t="str">
        <f>IFERROR((F2241+D2242)*'Investment Calculator'!$C$7/'Investment Calculator'!$F$4,"")</f>
        <v/>
      </c>
      <c r="F2242" s="27" t="str">
        <f>IFERROR(ABS(FV('Investment Calculator'!$C$7/'Investment Calculator'!$F$4,'SIP Schedule'!C2242,'SIP Schedule'!D2242,,1)),"")</f>
        <v/>
      </c>
    </row>
    <row r="2243" spans="3:6" x14ac:dyDescent="0.3">
      <c r="C2243" s="1" t="str">
        <f>IF(C2242&lt;'Investment Calculator'!$C$8*'Investment Calculator'!$F$4,'SIP Schedule'!C2242+1,"")</f>
        <v/>
      </c>
      <c r="D2243" s="27" t="str">
        <f>IF(C2243&lt;='Investment Calculator'!$C$8*'Investment Calculator'!$F$4,'Investment Calculator'!$C$6,"")</f>
        <v/>
      </c>
      <c r="E2243" s="27" t="str">
        <f>IFERROR((F2242+D2243)*'Investment Calculator'!$C$7/'Investment Calculator'!$F$4,"")</f>
        <v/>
      </c>
      <c r="F2243" s="27" t="str">
        <f>IFERROR(ABS(FV('Investment Calculator'!$C$7/'Investment Calculator'!$F$4,'SIP Schedule'!C2243,'SIP Schedule'!D2243,,1)),"")</f>
        <v/>
      </c>
    </row>
    <row r="2244" spans="3:6" x14ac:dyDescent="0.3">
      <c r="C2244" s="1" t="str">
        <f>IF(C2243&lt;'Investment Calculator'!$C$8*'Investment Calculator'!$F$4,'SIP Schedule'!C2243+1,"")</f>
        <v/>
      </c>
      <c r="D2244" s="27" t="str">
        <f>IF(C2244&lt;='Investment Calculator'!$C$8*'Investment Calculator'!$F$4,'Investment Calculator'!$C$6,"")</f>
        <v/>
      </c>
      <c r="E2244" s="27" t="str">
        <f>IFERROR((F2243+D2244)*'Investment Calculator'!$C$7/'Investment Calculator'!$F$4,"")</f>
        <v/>
      </c>
      <c r="F2244" s="27" t="str">
        <f>IFERROR(ABS(FV('Investment Calculator'!$C$7/'Investment Calculator'!$F$4,'SIP Schedule'!C2244,'SIP Schedule'!D2244,,1)),"")</f>
        <v/>
      </c>
    </row>
    <row r="2245" spans="3:6" x14ac:dyDescent="0.3">
      <c r="C2245" s="1" t="str">
        <f>IF(C2244&lt;'Investment Calculator'!$C$8*'Investment Calculator'!$F$4,'SIP Schedule'!C2244+1,"")</f>
        <v/>
      </c>
      <c r="D2245" s="27" t="str">
        <f>IF(C2245&lt;='Investment Calculator'!$C$8*'Investment Calculator'!$F$4,'Investment Calculator'!$C$6,"")</f>
        <v/>
      </c>
      <c r="E2245" s="27" t="str">
        <f>IFERROR((F2244+D2245)*'Investment Calculator'!$C$7/'Investment Calculator'!$F$4,"")</f>
        <v/>
      </c>
      <c r="F2245" s="27" t="str">
        <f>IFERROR(ABS(FV('Investment Calculator'!$C$7/'Investment Calculator'!$F$4,'SIP Schedule'!C2245,'SIP Schedule'!D2245,,1)),"")</f>
        <v/>
      </c>
    </row>
    <row r="2246" spans="3:6" x14ac:dyDescent="0.3">
      <c r="C2246" s="1" t="str">
        <f>IF(C2245&lt;'Investment Calculator'!$C$8*'Investment Calculator'!$F$4,'SIP Schedule'!C2245+1,"")</f>
        <v/>
      </c>
      <c r="D2246" s="27" t="str">
        <f>IF(C2246&lt;='Investment Calculator'!$C$8*'Investment Calculator'!$F$4,'Investment Calculator'!$C$6,"")</f>
        <v/>
      </c>
      <c r="E2246" s="27" t="str">
        <f>IFERROR((F2245+D2246)*'Investment Calculator'!$C$7/'Investment Calculator'!$F$4,"")</f>
        <v/>
      </c>
      <c r="F2246" s="27" t="str">
        <f>IFERROR(ABS(FV('Investment Calculator'!$C$7/'Investment Calculator'!$F$4,'SIP Schedule'!C2246,'SIP Schedule'!D2246,,1)),"")</f>
        <v/>
      </c>
    </row>
    <row r="2247" spans="3:6" x14ac:dyDescent="0.3">
      <c r="C2247" s="1" t="str">
        <f>IF(C2246&lt;'Investment Calculator'!$C$8*'Investment Calculator'!$F$4,'SIP Schedule'!C2246+1,"")</f>
        <v/>
      </c>
      <c r="D2247" s="27" t="str">
        <f>IF(C2247&lt;='Investment Calculator'!$C$8*'Investment Calculator'!$F$4,'Investment Calculator'!$C$6,"")</f>
        <v/>
      </c>
      <c r="E2247" s="27" t="str">
        <f>IFERROR((F2246+D2247)*'Investment Calculator'!$C$7/'Investment Calculator'!$F$4,"")</f>
        <v/>
      </c>
      <c r="F2247" s="27" t="str">
        <f>IFERROR(ABS(FV('Investment Calculator'!$C$7/'Investment Calculator'!$F$4,'SIP Schedule'!C2247,'SIP Schedule'!D2247,,1)),"")</f>
        <v/>
      </c>
    </row>
    <row r="2248" spans="3:6" x14ac:dyDescent="0.3">
      <c r="C2248" s="1" t="str">
        <f>IF(C2247&lt;'Investment Calculator'!$C$8*'Investment Calculator'!$F$4,'SIP Schedule'!C2247+1,"")</f>
        <v/>
      </c>
      <c r="D2248" s="27" t="str">
        <f>IF(C2248&lt;='Investment Calculator'!$C$8*'Investment Calculator'!$F$4,'Investment Calculator'!$C$6,"")</f>
        <v/>
      </c>
      <c r="E2248" s="27" t="str">
        <f>IFERROR((F2247+D2248)*'Investment Calculator'!$C$7/'Investment Calculator'!$F$4,"")</f>
        <v/>
      </c>
      <c r="F2248" s="27" t="str">
        <f>IFERROR(ABS(FV('Investment Calculator'!$C$7/'Investment Calculator'!$F$4,'SIP Schedule'!C2248,'SIP Schedule'!D2248,,1)),"")</f>
        <v/>
      </c>
    </row>
    <row r="2249" spans="3:6" x14ac:dyDescent="0.3">
      <c r="C2249" s="1" t="str">
        <f>IF(C2248&lt;'Investment Calculator'!$C$8*'Investment Calculator'!$F$4,'SIP Schedule'!C2248+1,"")</f>
        <v/>
      </c>
      <c r="D2249" s="27" t="str">
        <f>IF(C2249&lt;='Investment Calculator'!$C$8*'Investment Calculator'!$F$4,'Investment Calculator'!$C$6,"")</f>
        <v/>
      </c>
      <c r="E2249" s="27" t="str">
        <f>IFERROR((F2248+D2249)*'Investment Calculator'!$C$7/'Investment Calculator'!$F$4,"")</f>
        <v/>
      </c>
      <c r="F2249" s="27" t="str">
        <f>IFERROR(ABS(FV('Investment Calculator'!$C$7/'Investment Calculator'!$F$4,'SIP Schedule'!C2249,'SIP Schedule'!D2249,,1)),"")</f>
        <v/>
      </c>
    </row>
    <row r="2250" spans="3:6" x14ac:dyDescent="0.3">
      <c r="C2250" s="1" t="str">
        <f>IF(C2249&lt;'Investment Calculator'!$C$8*'Investment Calculator'!$F$4,'SIP Schedule'!C2249+1,"")</f>
        <v/>
      </c>
      <c r="D2250" s="27" t="str">
        <f>IF(C2250&lt;='Investment Calculator'!$C$8*'Investment Calculator'!$F$4,'Investment Calculator'!$C$6,"")</f>
        <v/>
      </c>
      <c r="E2250" s="27" t="str">
        <f>IFERROR((F2249+D2250)*'Investment Calculator'!$C$7/'Investment Calculator'!$F$4,"")</f>
        <v/>
      </c>
      <c r="F2250" s="27" t="str">
        <f>IFERROR(ABS(FV('Investment Calculator'!$C$7/'Investment Calculator'!$F$4,'SIP Schedule'!C2250,'SIP Schedule'!D2250,,1)),"")</f>
        <v/>
      </c>
    </row>
    <row r="2251" spans="3:6" x14ac:dyDescent="0.3">
      <c r="C2251" s="1" t="str">
        <f>IF(C2250&lt;'Investment Calculator'!$C$8*'Investment Calculator'!$F$4,'SIP Schedule'!C2250+1,"")</f>
        <v/>
      </c>
      <c r="D2251" s="27" t="str">
        <f>IF(C2251&lt;='Investment Calculator'!$C$8*'Investment Calculator'!$F$4,'Investment Calculator'!$C$6,"")</f>
        <v/>
      </c>
      <c r="E2251" s="27" t="str">
        <f>IFERROR((F2250+D2251)*'Investment Calculator'!$C$7/'Investment Calculator'!$F$4,"")</f>
        <v/>
      </c>
      <c r="F2251" s="27" t="str">
        <f>IFERROR(ABS(FV('Investment Calculator'!$C$7/'Investment Calculator'!$F$4,'SIP Schedule'!C2251,'SIP Schedule'!D2251,,1)),"")</f>
        <v/>
      </c>
    </row>
    <row r="2252" spans="3:6" x14ac:dyDescent="0.3">
      <c r="C2252" s="1" t="str">
        <f>IF(C2251&lt;'Investment Calculator'!$C$8*'Investment Calculator'!$F$4,'SIP Schedule'!C2251+1,"")</f>
        <v/>
      </c>
      <c r="D2252" s="27" t="str">
        <f>IF(C2252&lt;='Investment Calculator'!$C$8*'Investment Calculator'!$F$4,'Investment Calculator'!$C$6,"")</f>
        <v/>
      </c>
      <c r="E2252" s="27" t="str">
        <f>IFERROR((F2251+D2252)*'Investment Calculator'!$C$7/'Investment Calculator'!$F$4,"")</f>
        <v/>
      </c>
      <c r="F2252" s="27" t="str">
        <f>IFERROR(ABS(FV('Investment Calculator'!$C$7/'Investment Calculator'!$F$4,'SIP Schedule'!C2252,'SIP Schedule'!D2252,,1)),"")</f>
        <v/>
      </c>
    </row>
    <row r="2253" spans="3:6" x14ac:dyDescent="0.3">
      <c r="C2253" s="1" t="str">
        <f>IF(C2252&lt;'Investment Calculator'!$C$8*'Investment Calculator'!$F$4,'SIP Schedule'!C2252+1,"")</f>
        <v/>
      </c>
      <c r="D2253" s="27" t="str">
        <f>IF(C2253&lt;='Investment Calculator'!$C$8*'Investment Calculator'!$F$4,'Investment Calculator'!$C$6,"")</f>
        <v/>
      </c>
      <c r="E2253" s="27" t="str">
        <f>IFERROR((F2252+D2253)*'Investment Calculator'!$C$7/'Investment Calculator'!$F$4,"")</f>
        <v/>
      </c>
      <c r="F2253" s="27" t="str">
        <f>IFERROR(ABS(FV('Investment Calculator'!$C$7/'Investment Calculator'!$F$4,'SIP Schedule'!C2253,'SIP Schedule'!D2253,,1)),"")</f>
        <v/>
      </c>
    </row>
    <row r="2254" spans="3:6" x14ac:dyDescent="0.3">
      <c r="C2254" s="1" t="str">
        <f>IF(C2253&lt;'Investment Calculator'!$C$8*'Investment Calculator'!$F$4,'SIP Schedule'!C2253+1,"")</f>
        <v/>
      </c>
      <c r="D2254" s="27" t="str">
        <f>IF(C2254&lt;='Investment Calculator'!$C$8*'Investment Calculator'!$F$4,'Investment Calculator'!$C$6,"")</f>
        <v/>
      </c>
      <c r="E2254" s="27" t="str">
        <f>IFERROR((F2253+D2254)*'Investment Calculator'!$C$7/'Investment Calculator'!$F$4,"")</f>
        <v/>
      </c>
      <c r="F2254" s="27" t="str">
        <f>IFERROR(ABS(FV('Investment Calculator'!$C$7/'Investment Calculator'!$F$4,'SIP Schedule'!C2254,'SIP Schedule'!D2254,,1)),"")</f>
        <v/>
      </c>
    </row>
    <row r="2255" spans="3:6" x14ac:dyDescent="0.3">
      <c r="C2255" s="1" t="str">
        <f>IF(C2254&lt;'Investment Calculator'!$C$8*'Investment Calculator'!$F$4,'SIP Schedule'!C2254+1,"")</f>
        <v/>
      </c>
      <c r="D2255" s="27" t="str">
        <f>IF(C2255&lt;='Investment Calculator'!$C$8*'Investment Calculator'!$F$4,'Investment Calculator'!$C$6,"")</f>
        <v/>
      </c>
      <c r="E2255" s="27" t="str">
        <f>IFERROR((F2254+D2255)*'Investment Calculator'!$C$7/'Investment Calculator'!$F$4,"")</f>
        <v/>
      </c>
      <c r="F2255" s="27" t="str">
        <f>IFERROR(ABS(FV('Investment Calculator'!$C$7/'Investment Calculator'!$F$4,'SIP Schedule'!C2255,'SIP Schedule'!D2255,,1)),"")</f>
        <v/>
      </c>
    </row>
    <row r="2256" spans="3:6" x14ac:dyDescent="0.3">
      <c r="C2256" s="1" t="str">
        <f>IF(C2255&lt;'Investment Calculator'!$C$8*'Investment Calculator'!$F$4,'SIP Schedule'!C2255+1,"")</f>
        <v/>
      </c>
      <c r="D2256" s="27" t="str">
        <f>IF(C2256&lt;='Investment Calculator'!$C$8*'Investment Calculator'!$F$4,'Investment Calculator'!$C$6,"")</f>
        <v/>
      </c>
      <c r="E2256" s="27" t="str">
        <f>IFERROR((F2255+D2256)*'Investment Calculator'!$C$7/'Investment Calculator'!$F$4,"")</f>
        <v/>
      </c>
      <c r="F2256" s="27" t="str">
        <f>IFERROR(ABS(FV('Investment Calculator'!$C$7/'Investment Calculator'!$F$4,'SIP Schedule'!C2256,'SIP Schedule'!D2256,,1)),"")</f>
        <v/>
      </c>
    </row>
    <row r="2257" spans="3:6" x14ac:dyDescent="0.3">
      <c r="C2257" s="1" t="str">
        <f>IF(C2256&lt;'Investment Calculator'!$C$8*'Investment Calculator'!$F$4,'SIP Schedule'!C2256+1,"")</f>
        <v/>
      </c>
      <c r="D2257" s="27" t="str">
        <f>IF(C2257&lt;='Investment Calculator'!$C$8*'Investment Calculator'!$F$4,'Investment Calculator'!$C$6,"")</f>
        <v/>
      </c>
      <c r="E2257" s="27" t="str">
        <f>IFERROR((F2256+D2257)*'Investment Calculator'!$C$7/'Investment Calculator'!$F$4,"")</f>
        <v/>
      </c>
      <c r="F2257" s="27" t="str">
        <f>IFERROR(ABS(FV('Investment Calculator'!$C$7/'Investment Calculator'!$F$4,'SIP Schedule'!C2257,'SIP Schedule'!D2257,,1)),"")</f>
        <v/>
      </c>
    </row>
    <row r="2258" spans="3:6" x14ac:dyDescent="0.3">
      <c r="C2258" s="1" t="str">
        <f>IF(C2257&lt;'Investment Calculator'!$C$8*'Investment Calculator'!$F$4,'SIP Schedule'!C2257+1,"")</f>
        <v/>
      </c>
      <c r="D2258" s="27" t="str">
        <f>IF(C2258&lt;='Investment Calculator'!$C$8*'Investment Calculator'!$F$4,'Investment Calculator'!$C$6,"")</f>
        <v/>
      </c>
      <c r="E2258" s="27" t="str">
        <f>IFERROR((F2257+D2258)*'Investment Calculator'!$C$7/'Investment Calculator'!$F$4,"")</f>
        <v/>
      </c>
      <c r="F2258" s="27" t="str">
        <f>IFERROR(ABS(FV('Investment Calculator'!$C$7/'Investment Calculator'!$F$4,'SIP Schedule'!C2258,'SIP Schedule'!D2258,,1)),"")</f>
        <v/>
      </c>
    </row>
    <row r="2259" spans="3:6" x14ac:dyDescent="0.3">
      <c r="C2259" s="1" t="str">
        <f>IF(C2258&lt;'Investment Calculator'!$C$8*'Investment Calculator'!$F$4,'SIP Schedule'!C2258+1,"")</f>
        <v/>
      </c>
      <c r="D2259" s="27" t="str">
        <f>IF(C2259&lt;='Investment Calculator'!$C$8*'Investment Calculator'!$F$4,'Investment Calculator'!$C$6,"")</f>
        <v/>
      </c>
      <c r="E2259" s="27" t="str">
        <f>IFERROR((F2258+D2259)*'Investment Calculator'!$C$7/'Investment Calculator'!$F$4,"")</f>
        <v/>
      </c>
      <c r="F2259" s="27" t="str">
        <f>IFERROR(ABS(FV('Investment Calculator'!$C$7/'Investment Calculator'!$F$4,'SIP Schedule'!C2259,'SIP Schedule'!D2259,,1)),"")</f>
        <v/>
      </c>
    </row>
    <row r="2260" spans="3:6" x14ac:dyDescent="0.3">
      <c r="C2260" s="1" t="str">
        <f>IF(C2259&lt;'Investment Calculator'!$C$8*'Investment Calculator'!$F$4,'SIP Schedule'!C2259+1,"")</f>
        <v/>
      </c>
      <c r="D2260" s="27" t="str">
        <f>IF(C2260&lt;='Investment Calculator'!$C$8*'Investment Calculator'!$F$4,'Investment Calculator'!$C$6,"")</f>
        <v/>
      </c>
      <c r="E2260" s="27" t="str">
        <f>IFERROR((F2259+D2260)*'Investment Calculator'!$C$7/'Investment Calculator'!$F$4,"")</f>
        <v/>
      </c>
      <c r="F2260" s="27" t="str">
        <f>IFERROR(ABS(FV('Investment Calculator'!$C$7/'Investment Calculator'!$F$4,'SIP Schedule'!C2260,'SIP Schedule'!D2260,,1)),"")</f>
        <v/>
      </c>
    </row>
    <row r="2261" spans="3:6" x14ac:dyDescent="0.3">
      <c r="C2261" s="1" t="str">
        <f>IF(C2260&lt;'Investment Calculator'!$C$8*'Investment Calculator'!$F$4,'SIP Schedule'!C2260+1,"")</f>
        <v/>
      </c>
      <c r="D2261" s="27" t="str">
        <f>IF(C2261&lt;='Investment Calculator'!$C$8*'Investment Calculator'!$F$4,'Investment Calculator'!$C$6,"")</f>
        <v/>
      </c>
      <c r="E2261" s="27" t="str">
        <f>IFERROR((F2260+D2261)*'Investment Calculator'!$C$7/'Investment Calculator'!$F$4,"")</f>
        <v/>
      </c>
      <c r="F2261" s="27" t="str">
        <f>IFERROR(ABS(FV('Investment Calculator'!$C$7/'Investment Calculator'!$F$4,'SIP Schedule'!C2261,'SIP Schedule'!D2261,,1)),"")</f>
        <v/>
      </c>
    </row>
    <row r="2262" spans="3:6" x14ac:dyDescent="0.3">
      <c r="C2262" s="1" t="str">
        <f>IF(C2261&lt;'Investment Calculator'!$C$8*'Investment Calculator'!$F$4,'SIP Schedule'!C2261+1,"")</f>
        <v/>
      </c>
      <c r="D2262" s="27" t="str">
        <f>IF(C2262&lt;='Investment Calculator'!$C$8*'Investment Calculator'!$F$4,'Investment Calculator'!$C$6,"")</f>
        <v/>
      </c>
      <c r="E2262" s="27" t="str">
        <f>IFERROR((F2261+D2262)*'Investment Calculator'!$C$7/'Investment Calculator'!$F$4,"")</f>
        <v/>
      </c>
      <c r="F2262" s="27" t="str">
        <f>IFERROR(ABS(FV('Investment Calculator'!$C$7/'Investment Calculator'!$F$4,'SIP Schedule'!C2262,'SIP Schedule'!D2262,,1)),"")</f>
        <v/>
      </c>
    </row>
    <row r="2263" spans="3:6" x14ac:dyDescent="0.3">
      <c r="C2263" s="1" t="str">
        <f>IF(C2262&lt;'Investment Calculator'!$C$8*'Investment Calculator'!$F$4,'SIP Schedule'!C2262+1,"")</f>
        <v/>
      </c>
      <c r="D2263" s="27" t="str">
        <f>IF(C2263&lt;='Investment Calculator'!$C$8*'Investment Calculator'!$F$4,'Investment Calculator'!$C$6,"")</f>
        <v/>
      </c>
      <c r="E2263" s="27" t="str">
        <f>IFERROR((F2262+D2263)*'Investment Calculator'!$C$7/'Investment Calculator'!$F$4,"")</f>
        <v/>
      </c>
      <c r="F2263" s="27" t="str">
        <f>IFERROR(ABS(FV('Investment Calculator'!$C$7/'Investment Calculator'!$F$4,'SIP Schedule'!C2263,'SIP Schedule'!D2263,,1)),"")</f>
        <v/>
      </c>
    </row>
    <row r="2264" spans="3:6" x14ac:dyDescent="0.3">
      <c r="C2264" s="1" t="str">
        <f>IF(C2263&lt;'Investment Calculator'!$C$8*'Investment Calculator'!$F$4,'SIP Schedule'!C2263+1,"")</f>
        <v/>
      </c>
      <c r="D2264" s="27" t="str">
        <f>IF(C2264&lt;='Investment Calculator'!$C$8*'Investment Calculator'!$F$4,'Investment Calculator'!$C$6,"")</f>
        <v/>
      </c>
      <c r="E2264" s="27" t="str">
        <f>IFERROR((F2263+D2264)*'Investment Calculator'!$C$7/'Investment Calculator'!$F$4,"")</f>
        <v/>
      </c>
      <c r="F2264" s="27" t="str">
        <f>IFERROR(ABS(FV('Investment Calculator'!$C$7/'Investment Calculator'!$F$4,'SIP Schedule'!C2264,'SIP Schedule'!D2264,,1)),"")</f>
        <v/>
      </c>
    </row>
    <row r="2265" spans="3:6" x14ac:dyDescent="0.3">
      <c r="C2265" s="1" t="str">
        <f>IF(C2264&lt;'Investment Calculator'!$C$8*'Investment Calculator'!$F$4,'SIP Schedule'!C2264+1,"")</f>
        <v/>
      </c>
      <c r="D2265" s="27" t="str">
        <f>IF(C2265&lt;='Investment Calculator'!$C$8*'Investment Calculator'!$F$4,'Investment Calculator'!$C$6,"")</f>
        <v/>
      </c>
      <c r="E2265" s="27" t="str">
        <f>IFERROR((F2264+D2265)*'Investment Calculator'!$C$7/'Investment Calculator'!$F$4,"")</f>
        <v/>
      </c>
      <c r="F2265" s="27" t="str">
        <f>IFERROR(ABS(FV('Investment Calculator'!$C$7/'Investment Calculator'!$F$4,'SIP Schedule'!C2265,'SIP Schedule'!D2265,,1)),"")</f>
        <v/>
      </c>
    </row>
    <row r="2266" spans="3:6" x14ac:dyDescent="0.3">
      <c r="C2266" s="1" t="str">
        <f>IF(C2265&lt;'Investment Calculator'!$C$8*'Investment Calculator'!$F$4,'SIP Schedule'!C2265+1,"")</f>
        <v/>
      </c>
      <c r="D2266" s="27" t="str">
        <f>IF(C2266&lt;='Investment Calculator'!$C$8*'Investment Calculator'!$F$4,'Investment Calculator'!$C$6,"")</f>
        <v/>
      </c>
      <c r="E2266" s="27" t="str">
        <f>IFERROR((F2265+D2266)*'Investment Calculator'!$C$7/'Investment Calculator'!$F$4,"")</f>
        <v/>
      </c>
      <c r="F2266" s="27" t="str">
        <f>IFERROR(ABS(FV('Investment Calculator'!$C$7/'Investment Calculator'!$F$4,'SIP Schedule'!C2266,'SIP Schedule'!D2266,,1)),"")</f>
        <v/>
      </c>
    </row>
    <row r="2267" spans="3:6" x14ac:dyDescent="0.3">
      <c r="C2267" s="1" t="str">
        <f>IF(C2266&lt;'Investment Calculator'!$C$8*'Investment Calculator'!$F$4,'SIP Schedule'!C2266+1,"")</f>
        <v/>
      </c>
      <c r="D2267" s="27" t="str">
        <f>IF(C2267&lt;='Investment Calculator'!$C$8*'Investment Calculator'!$F$4,'Investment Calculator'!$C$6,"")</f>
        <v/>
      </c>
      <c r="E2267" s="27" t="str">
        <f>IFERROR((F2266+D2267)*'Investment Calculator'!$C$7/'Investment Calculator'!$F$4,"")</f>
        <v/>
      </c>
      <c r="F2267" s="27" t="str">
        <f>IFERROR(ABS(FV('Investment Calculator'!$C$7/'Investment Calculator'!$F$4,'SIP Schedule'!C2267,'SIP Schedule'!D2267,,1)),"")</f>
        <v/>
      </c>
    </row>
    <row r="2268" spans="3:6" x14ac:dyDescent="0.3">
      <c r="C2268" s="1" t="str">
        <f>IF(C2267&lt;'Investment Calculator'!$C$8*'Investment Calculator'!$F$4,'SIP Schedule'!C2267+1,"")</f>
        <v/>
      </c>
      <c r="D2268" s="27" t="str">
        <f>IF(C2268&lt;='Investment Calculator'!$C$8*'Investment Calculator'!$F$4,'Investment Calculator'!$C$6,"")</f>
        <v/>
      </c>
      <c r="E2268" s="27" t="str">
        <f>IFERROR((F2267+D2268)*'Investment Calculator'!$C$7/'Investment Calculator'!$F$4,"")</f>
        <v/>
      </c>
      <c r="F2268" s="27" t="str">
        <f>IFERROR(ABS(FV('Investment Calculator'!$C$7/'Investment Calculator'!$F$4,'SIP Schedule'!C2268,'SIP Schedule'!D2268,,1)),"")</f>
        <v/>
      </c>
    </row>
    <row r="2269" spans="3:6" x14ac:dyDescent="0.3">
      <c r="C2269" s="1" t="str">
        <f>IF(C2268&lt;'Investment Calculator'!$C$8*'Investment Calculator'!$F$4,'SIP Schedule'!C2268+1,"")</f>
        <v/>
      </c>
      <c r="D2269" s="27" t="str">
        <f>IF(C2269&lt;='Investment Calculator'!$C$8*'Investment Calculator'!$F$4,'Investment Calculator'!$C$6,"")</f>
        <v/>
      </c>
      <c r="E2269" s="27" t="str">
        <f>IFERROR((F2268+D2269)*'Investment Calculator'!$C$7/'Investment Calculator'!$F$4,"")</f>
        <v/>
      </c>
      <c r="F2269" s="27" t="str">
        <f>IFERROR(ABS(FV('Investment Calculator'!$C$7/'Investment Calculator'!$F$4,'SIP Schedule'!C2269,'SIP Schedule'!D2269,,1)),"")</f>
        <v/>
      </c>
    </row>
    <row r="2270" spans="3:6" x14ac:dyDescent="0.3">
      <c r="C2270" s="1" t="str">
        <f>IF(C2269&lt;'Investment Calculator'!$C$8*'Investment Calculator'!$F$4,'SIP Schedule'!C2269+1,"")</f>
        <v/>
      </c>
      <c r="D2270" s="27" t="str">
        <f>IF(C2270&lt;='Investment Calculator'!$C$8*'Investment Calculator'!$F$4,'Investment Calculator'!$C$6,"")</f>
        <v/>
      </c>
      <c r="E2270" s="27" t="str">
        <f>IFERROR((F2269+D2270)*'Investment Calculator'!$C$7/'Investment Calculator'!$F$4,"")</f>
        <v/>
      </c>
      <c r="F2270" s="27" t="str">
        <f>IFERROR(ABS(FV('Investment Calculator'!$C$7/'Investment Calculator'!$F$4,'SIP Schedule'!C2270,'SIP Schedule'!D2270,,1)),"")</f>
        <v/>
      </c>
    </row>
    <row r="2271" spans="3:6" x14ac:dyDescent="0.3">
      <c r="C2271" s="1" t="str">
        <f>IF(C2270&lt;'Investment Calculator'!$C$8*'Investment Calculator'!$F$4,'SIP Schedule'!C2270+1,"")</f>
        <v/>
      </c>
      <c r="D2271" s="27" t="str">
        <f>IF(C2271&lt;='Investment Calculator'!$C$8*'Investment Calculator'!$F$4,'Investment Calculator'!$C$6,"")</f>
        <v/>
      </c>
      <c r="E2271" s="27" t="str">
        <f>IFERROR((F2270+D2271)*'Investment Calculator'!$C$7/'Investment Calculator'!$F$4,"")</f>
        <v/>
      </c>
      <c r="F2271" s="27" t="str">
        <f>IFERROR(ABS(FV('Investment Calculator'!$C$7/'Investment Calculator'!$F$4,'SIP Schedule'!C2271,'SIP Schedule'!D2271,,1)),"")</f>
        <v/>
      </c>
    </row>
    <row r="2272" spans="3:6" x14ac:dyDescent="0.3">
      <c r="C2272" s="1" t="str">
        <f>IF(C2271&lt;'Investment Calculator'!$C$8*'Investment Calculator'!$F$4,'SIP Schedule'!C2271+1,"")</f>
        <v/>
      </c>
      <c r="D2272" s="27" t="str">
        <f>IF(C2272&lt;='Investment Calculator'!$C$8*'Investment Calculator'!$F$4,'Investment Calculator'!$C$6,"")</f>
        <v/>
      </c>
      <c r="E2272" s="27" t="str">
        <f>IFERROR((F2271+D2272)*'Investment Calculator'!$C$7/'Investment Calculator'!$F$4,"")</f>
        <v/>
      </c>
      <c r="F2272" s="27" t="str">
        <f>IFERROR(ABS(FV('Investment Calculator'!$C$7/'Investment Calculator'!$F$4,'SIP Schedule'!C2272,'SIP Schedule'!D2272,,1)),"")</f>
        <v/>
      </c>
    </row>
    <row r="2273" spans="3:6" x14ac:dyDescent="0.3">
      <c r="C2273" s="1" t="str">
        <f>IF(C2272&lt;'Investment Calculator'!$C$8*'Investment Calculator'!$F$4,'SIP Schedule'!C2272+1,"")</f>
        <v/>
      </c>
      <c r="D2273" s="27" t="str">
        <f>IF(C2273&lt;='Investment Calculator'!$C$8*'Investment Calculator'!$F$4,'Investment Calculator'!$C$6,"")</f>
        <v/>
      </c>
      <c r="E2273" s="27" t="str">
        <f>IFERROR((F2272+D2273)*'Investment Calculator'!$C$7/'Investment Calculator'!$F$4,"")</f>
        <v/>
      </c>
      <c r="F2273" s="27" t="str">
        <f>IFERROR(ABS(FV('Investment Calculator'!$C$7/'Investment Calculator'!$F$4,'SIP Schedule'!C2273,'SIP Schedule'!D2273,,1)),"")</f>
        <v/>
      </c>
    </row>
    <row r="2274" spans="3:6" x14ac:dyDescent="0.3">
      <c r="C2274" s="1" t="str">
        <f>IF(C2273&lt;'Investment Calculator'!$C$8*'Investment Calculator'!$F$4,'SIP Schedule'!C2273+1,"")</f>
        <v/>
      </c>
      <c r="D2274" s="27" t="str">
        <f>IF(C2274&lt;='Investment Calculator'!$C$8*'Investment Calculator'!$F$4,'Investment Calculator'!$C$6,"")</f>
        <v/>
      </c>
      <c r="E2274" s="27" t="str">
        <f>IFERROR((F2273+D2274)*'Investment Calculator'!$C$7/'Investment Calculator'!$F$4,"")</f>
        <v/>
      </c>
      <c r="F2274" s="27" t="str">
        <f>IFERROR(ABS(FV('Investment Calculator'!$C$7/'Investment Calculator'!$F$4,'SIP Schedule'!C2274,'SIP Schedule'!D2274,,1)),"")</f>
        <v/>
      </c>
    </row>
    <row r="2275" spans="3:6" x14ac:dyDescent="0.3">
      <c r="C2275" s="1" t="str">
        <f>IF(C2274&lt;'Investment Calculator'!$C$8*'Investment Calculator'!$F$4,'SIP Schedule'!C2274+1,"")</f>
        <v/>
      </c>
      <c r="D2275" s="27" t="str">
        <f>IF(C2275&lt;='Investment Calculator'!$C$8*'Investment Calculator'!$F$4,'Investment Calculator'!$C$6,"")</f>
        <v/>
      </c>
      <c r="E2275" s="27" t="str">
        <f>IFERROR((F2274+D2275)*'Investment Calculator'!$C$7/'Investment Calculator'!$F$4,"")</f>
        <v/>
      </c>
      <c r="F2275" s="27" t="str">
        <f>IFERROR(ABS(FV('Investment Calculator'!$C$7/'Investment Calculator'!$F$4,'SIP Schedule'!C2275,'SIP Schedule'!D2275,,1)),"")</f>
        <v/>
      </c>
    </row>
    <row r="2276" spans="3:6" x14ac:dyDescent="0.3">
      <c r="C2276" s="1" t="str">
        <f>IF(C2275&lt;'Investment Calculator'!$C$8*'Investment Calculator'!$F$4,'SIP Schedule'!C2275+1,"")</f>
        <v/>
      </c>
      <c r="D2276" s="27" t="str">
        <f>IF(C2276&lt;='Investment Calculator'!$C$8*'Investment Calculator'!$F$4,'Investment Calculator'!$C$6,"")</f>
        <v/>
      </c>
      <c r="E2276" s="27" t="str">
        <f>IFERROR((F2275+D2276)*'Investment Calculator'!$C$7/'Investment Calculator'!$F$4,"")</f>
        <v/>
      </c>
      <c r="F2276" s="27" t="str">
        <f>IFERROR(ABS(FV('Investment Calculator'!$C$7/'Investment Calculator'!$F$4,'SIP Schedule'!C2276,'SIP Schedule'!D2276,,1)),"")</f>
        <v/>
      </c>
    </row>
    <row r="2277" spans="3:6" x14ac:dyDescent="0.3">
      <c r="C2277" s="1" t="str">
        <f>IF(C2276&lt;'Investment Calculator'!$C$8*'Investment Calculator'!$F$4,'SIP Schedule'!C2276+1,"")</f>
        <v/>
      </c>
      <c r="D2277" s="27" t="str">
        <f>IF(C2277&lt;='Investment Calculator'!$C$8*'Investment Calculator'!$F$4,'Investment Calculator'!$C$6,"")</f>
        <v/>
      </c>
      <c r="E2277" s="27" t="str">
        <f>IFERROR((F2276+D2277)*'Investment Calculator'!$C$7/'Investment Calculator'!$F$4,"")</f>
        <v/>
      </c>
      <c r="F2277" s="27" t="str">
        <f>IFERROR(ABS(FV('Investment Calculator'!$C$7/'Investment Calculator'!$F$4,'SIP Schedule'!C2277,'SIP Schedule'!D2277,,1)),"")</f>
        <v/>
      </c>
    </row>
    <row r="2278" spans="3:6" x14ac:dyDescent="0.3">
      <c r="C2278" s="1" t="str">
        <f>IF(C2277&lt;'Investment Calculator'!$C$8*'Investment Calculator'!$F$4,'SIP Schedule'!C2277+1,"")</f>
        <v/>
      </c>
      <c r="D2278" s="27" t="str">
        <f>IF(C2278&lt;='Investment Calculator'!$C$8*'Investment Calculator'!$F$4,'Investment Calculator'!$C$6,"")</f>
        <v/>
      </c>
      <c r="E2278" s="27" t="str">
        <f>IFERROR((F2277+D2278)*'Investment Calculator'!$C$7/'Investment Calculator'!$F$4,"")</f>
        <v/>
      </c>
      <c r="F2278" s="27" t="str">
        <f>IFERROR(ABS(FV('Investment Calculator'!$C$7/'Investment Calculator'!$F$4,'SIP Schedule'!C2278,'SIP Schedule'!D2278,,1)),"")</f>
        <v/>
      </c>
    </row>
    <row r="2279" spans="3:6" x14ac:dyDescent="0.3">
      <c r="C2279" s="1" t="str">
        <f>IF(C2278&lt;'Investment Calculator'!$C$8*'Investment Calculator'!$F$4,'SIP Schedule'!C2278+1,"")</f>
        <v/>
      </c>
      <c r="D2279" s="27" t="str">
        <f>IF(C2279&lt;='Investment Calculator'!$C$8*'Investment Calculator'!$F$4,'Investment Calculator'!$C$6,"")</f>
        <v/>
      </c>
      <c r="E2279" s="27" t="str">
        <f>IFERROR((F2278+D2279)*'Investment Calculator'!$C$7/'Investment Calculator'!$F$4,"")</f>
        <v/>
      </c>
      <c r="F2279" s="27" t="str">
        <f>IFERROR(ABS(FV('Investment Calculator'!$C$7/'Investment Calculator'!$F$4,'SIP Schedule'!C2279,'SIP Schedule'!D2279,,1)),"")</f>
        <v/>
      </c>
    </row>
    <row r="2280" spans="3:6" x14ac:dyDescent="0.3">
      <c r="C2280" s="1" t="str">
        <f>IF(C2279&lt;'Investment Calculator'!$C$8*'Investment Calculator'!$F$4,'SIP Schedule'!C2279+1,"")</f>
        <v/>
      </c>
      <c r="D2280" s="27" t="str">
        <f>IF(C2280&lt;='Investment Calculator'!$C$8*'Investment Calculator'!$F$4,'Investment Calculator'!$C$6,"")</f>
        <v/>
      </c>
      <c r="E2280" s="27" t="str">
        <f>IFERROR((F2279+D2280)*'Investment Calculator'!$C$7/'Investment Calculator'!$F$4,"")</f>
        <v/>
      </c>
      <c r="F2280" s="27" t="str">
        <f>IFERROR(ABS(FV('Investment Calculator'!$C$7/'Investment Calculator'!$F$4,'SIP Schedule'!C2280,'SIP Schedule'!D2280,,1)),"")</f>
        <v/>
      </c>
    </row>
    <row r="2281" spans="3:6" x14ac:dyDescent="0.3">
      <c r="C2281" s="1" t="str">
        <f>IF(C2280&lt;'Investment Calculator'!$C$8*'Investment Calculator'!$F$4,'SIP Schedule'!C2280+1,"")</f>
        <v/>
      </c>
      <c r="D2281" s="27" t="str">
        <f>IF(C2281&lt;='Investment Calculator'!$C$8*'Investment Calculator'!$F$4,'Investment Calculator'!$C$6,"")</f>
        <v/>
      </c>
      <c r="E2281" s="27" t="str">
        <f>IFERROR((F2280+D2281)*'Investment Calculator'!$C$7/'Investment Calculator'!$F$4,"")</f>
        <v/>
      </c>
      <c r="F2281" s="27" t="str">
        <f>IFERROR(ABS(FV('Investment Calculator'!$C$7/'Investment Calculator'!$F$4,'SIP Schedule'!C2281,'SIP Schedule'!D2281,,1)),"")</f>
        <v/>
      </c>
    </row>
    <row r="2282" spans="3:6" x14ac:dyDescent="0.3">
      <c r="C2282" s="1" t="str">
        <f>IF(C2281&lt;'Investment Calculator'!$C$8*'Investment Calculator'!$F$4,'SIP Schedule'!C2281+1,"")</f>
        <v/>
      </c>
      <c r="D2282" s="27" t="str">
        <f>IF(C2282&lt;='Investment Calculator'!$C$8*'Investment Calculator'!$F$4,'Investment Calculator'!$C$6,"")</f>
        <v/>
      </c>
      <c r="E2282" s="27" t="str">
        <f>IFERROR((F2281+D2282)*'Investment Calculator'!$C$7/'Investment Calculator'!$F$4,"")</f>
        <v/>
      </c>
      <c r="F2282" s="27" t="str">
        <f>IFERROR(ABS(FV('Investment Calculator'!$C$7/'Investment Calculator'!$F$4,'SIP Schedule'!C2282,'SIP Schedule'!D2282,,1)),"")</f>
        <v/>
      </c>
    </row>
    <row r="2283" spans="3:6" x14ac:dyDescent="0.3">
      <c r="C2283" s="1" t="str">
        <f>IF(C2282&lt;'Investment Calculator'!$C$8*'Investment Calculator'!$F$4,'SIP Schedule'!C2282+1,"")</f>
        <v/>
      </c>
      <c r="D2283" s="27" t="str">
        <f>IF(C2283&lt;='Investment Calculator'!$C$8*'Investment Calculator'!$F$4,'Investment Calculator'!$C$6,"")</f>
        <v/>
      </c>
      <c r="E2283" s="27" t="str">
        <f>IFERROR((F2282+D2283)*'Investment Calculator'!$C$7/'Investment Calculator'!$F$4,"")</f>
        <v/>
      </c>
      <c r="F2283" s="27" t="str">
        <f>IFERROR(ABS(FV('Investment Calculator'!$C$7/'Investment Calculator'!$F$4,'SIP Schedule'!C2283,'SIP Schedule'!D2283,,1)),"")</f>
        <v/>
      </c>
    </row>
    <row r="2284" spans="3:6" x14ac:dyDescent="0.3">
      <c r="C2284" s="1" t="str">
        <f>IF(C2283&lt;'Investment Calculator'!$C$8*'Investment Calculator'!$F$4,'SIP Schedule'!C2283+1,"")</f>
        <v/>
      </c>
      <c r="D2284" s="27" t="str">
        <f>IF(C2284&lt;='Investment Calculator'!$C$8*'Investment Calculator'!$F$4,'Investment Calculator'!$C$6,"")</f>
        <v/>
      </c>
      <c r="E2284" s="27" t="str">
        <f>IFERROR((F2283+D2284)*'Investment Calculator'!$C$7/'Investment Calculator'!$F$4,"")</f>
        <v/>
      </c>
      <c r="F2284" s="27" t="str">
        <f>IFERROR(ABS(FV('Investment Calculator'!$C$7/'Investment Calculator'!$F$4,'SIP Schedule'!C2284,'SIP Schedule'!D2284,,1)),"")</f>
        <v/>
      </c>
    </row>
    <row r="2285" spans="3:6" x14ac:dyDescent="0.3">
      <c r="C2285" s="1" t="str">
        <f>IF(C2284&lt;'Investment Calculator'!$C$8*'Investment Calculator'!$F$4,'SIP Schedule'!C2284+1,"")</f>
        <v/>
      </c>
      <c r="D2285" s="27" t="str">
        <f>IF(C2285&lt;='Investment Calculator'!$C$8*'Investment Calculator'!$F$4,'Investment Calculator'!$C$6,"")</f>
        <v/>
      </c>
      <c r="E2285" s="27" t="str">
        <f>IFERROR((F2284+D2285)*'Investment Calculator'!$C$7/'Investment Calculator'!$F$4,"")</f>
        <v/>
      </c>
      <c r="F2285" s="27" t="str">
        <f>IFERROR(ABS(FV('Investment Calculator'!$C$7/'Investment Calculator'!$F$4,'SIP Schedule'!C2285,'SIP Schedule'!D2285,,1)),"")</f>
        <v/>
      </c>
    </row>
    <row r="2286" spans="3:6" x14ac:dyDescent="0.3">
      <c r="C2286" s="1" t="str">
        <f>IF(C2285&lt;'Investment Calculator'!$C$8*'Investment Calculator'!$F$4,'SIP Schedule'!C2285+1,"")</f>
        <v/>
      </c>
      <c r="D2286" s="27" t="str">
        <f>IF(C2286&lt;='Investment Calculator'!$C$8*'Investment Calculator'!$F$4,'Investment Calculator'!$C$6,"")</f>
        <v/>
      </c>
      <c r="E2286" s="27" t="str">
        <f>IFERROR((F2285+D2286)*'Investment Calculator'!$C$7/'Investment Calculator'!$F$4,"")</f>
        <v/>
      </c>
      <c r="F2286" s="27" t="str">
        <f>IFERROR(ABS(FV('Investment Calculator'!$C$7/'Investment Calculator'!$F$4,'SIP Schedule'!C2286,'SIP Schedule'!D2286,,1)),"")</f>
        <v/>
      </c>
    </row>
    <row r="2287" spans="3:6" x14ac:dyDescent="0.3">
      <c r="C2287" s="1" t="str">
        <f>IF(C2286&lt;'Investment Calculator'!$C$8*'Investment Calculator'!$F$4,'SIP Schedule'!C2286+1,"")</f>
        <v/>
      </c>
      <c r="D2287" s="27" t="str">
        <f>IF(C2287&lt;='Investment Calculator'!$C$8*'Investment Calculator'!$F$4,'Investment Calculator'!$C$6,"")</f>
        <v/>
      </c>
      <c r="E2287" s="27" t="str">
        <f>IFERROR((F2286+D2287)*'Investment Calculator'!$C$7/'Investment Calculator'!$F$4,"")</f>
        <v/>
      </c>
      <c r="F2287" s="27" t="str">
        <f>IFERROR(ABS(FV('Investment Calculator'!$C$7/'Investment Calculator'!$F$4,'SIP Schedule'!C2287,'SIP Schedule'!D2287,,1)),"")</f>
        <v/>
      </c>
    </row>
    <row r="2288" spans="3:6" x14ac:dyDescent="0.3">
      <c r="C2288" s="1" t="str">
        <f>IF(C2287&lt;'Investment Calculator'!$C$8*'Investment Calculator'!$F$4,'SIP Schedule'!C2287+1,"")</f>
        <v/>
      </c>
      <c r="D2288" s="27" t="str">
        <f>IF(C2288&lt;='Investment Calculator'!$C$8*'Investment Calculator'!$F$4,'Investment Calculator'!$C$6,"")</f>
        <v/>
      </c>
      <c r="E2288" s="27" t="str">
        <f>IFERROR((F2287+D2288)*'Investment Calculator'!$C$7/'Investment Calculator'!$F$4,"")</f>
        <v/>
      </c>
      <c r="F2288" s="27" t="str">
        <f>IFERROR(ABS(FV('Investment Calculator'!$C$7/'Investment Calculator'!$F$4,'SIP Schedule'!C2288,'SIP Schedule'!D2288,,1)),"")</f>
        <v/>
      </c>
    </row>
    <row r="2289" spans="3:6" x14ac:dyDescent="0.3">
      <c r="C2289" s="1" t="str">
        <f>IF(C2288&lt;'Investment Calculator'!$C$8*'Investment Calculator'!$F$4,'SIP Schedule'!C2288+1,"")</f>
        <v/>
      </c>
      <c r="D2289" s="27" t="str">
        <f>IF(C2289&lt;='Investment Calculator'!$C$8*'Investment Calculator'!$F$4,'Investment Calculator'!$C$6,"")</f>
        <v/>
      </c>
      <c r="E2289" s="27" t="str">
        <f>IFERROR((F2288+D2289)*'Investment Calculator'!$C$7/'Investment Calculator'!$F$4,"")</f>
        <v/>
      </c>
      <c r="F2289" s="27" t="str">
        <f>IFERROR(ABS(FV('Investment Calculator'!$C$7/'Investment Calculator'!$F$4,'SIP Schedule'!C2289,'SIP Schedule'!D2289,,1)),"")</f>
        <v/>
      </c>
    </row>
    <row r="2290" spans="3:6" x14ac:dyDescent="0.3">
      <c r="C2290" s="1" t="str">
        <f>IF(C2289&lt;'Investment Calculator'!$C$8*'Investment Calculator'!$F$4,'SIP Schedule'!C2289+1,"")</f>
        <v/>
      </c>
      <c r="D2290" s="27" t="str">
        <f>IF(C2290&lt;='Investment Calculator'!$C$8*'Investment Calculator'!$F$4,'Investment Calculator'!$C$6,"")</f>
        <v/>
      </c>
      <c r="E2290" s="27" t="str">
        <f>IFERROR((F2289+D2290)*'Investment Calculator'!$C$7/'Investment Calculator'!$F$4,"")</f>
        <v/>
      </c>
      <c r="F2290" s="27" t="str">
        <f>IFERROR(ABS(FV('Investment Calculator'!$C$7/'Investment Calculator'!$F$4,'SIP Schedule'!C2290,'SIP Schedule'!D2290,,1)),"")</f>
        <v/>
      </c>
    </row>
    <row r="2291" spans="3:6" x14ac:dyDescent="0.3">
      <c r="C2291" s="1" t="str">
        <f>IF(C2290&lt;'Investment Calculator'!$C$8*'Investment Calculator'!$F$4,'SIP Schedule'!C2290+1,"")</f>
        <v/>
      </c>
      <c r="D2291" s="27" t="str">
        <f>IF(C2291&lt;='Investment Calculator'!$C$8*'Investment Calculator'!$F$4,'Investment Calculator'!$C$6,"")</f>
        <v/>
      </c>
      <c r="E2291" s="27" t="str">
        <f>IFERROR((F2290+D2291)*'Investment Calculator'!$C$7/'Investment Calculator'!$F$4,"")</f>
        <v/>
      </c>
      <c r="F2291" s="27" t="str">
        <f>IFERROR(ABS(FV('Investment Calculator'!$C$7/'Investment Calculator'!$F$4,'SIP Schedule'!C2291,'SIP Schedule'!D2291,,1)),"")</f>
        <v/>
      </c>
    </row>
    <row r="2292" spans="3:6" x14ac:dyDescent="0.3">
      <c r="C2292" s="1" t="str">
        <f>IF(C2291&lt;'Investment Calculator'!$C$8*'Investment Calculator'!$F$4,'SIP Schedule'!C2291+1,"")</f>
        <v/>
      </c>
      <c r="D2292" s="27" t="str">
        <f>IF(C2292&lt;='Investment Calculator'!$C$8*'Investment Calculator'!$F$4,'Investment Calculator'!$C$6,"")</f>
        <v/>
      </c>
      <c r="E2292" s="27" t="str">
        <f>IFERROR((F2291+D2292)*'Investment Calculator'!$C$7/'Investment Calculator'!$F$4,"")</f>
        <v/>
      </c>
      <c r="F2292" s="27" t="str">
        <f>IFERROR(ABS(FV('Investment Calculator'!$C$7/'Investment Calculator'!$F$4,'SIP Schedule'!C2292,'SIP Schedule'!D2292,,1)),"")</f>
        <v/>
      </c>
    </row>
    <row r="2293" spans="3:6" x14ac:dyDescent="0.3">
      <c r="C2293" s="1" t="str">
        <f>IF(C2292&lt;'Investment Calculator'!$C$8*'Investment Calculator'!$F$4,'SIP Schedule'!C2292+1,"")</f>
        <v/>
      </c>
      <c r="D2293" s="27" t="str">
        <f>IF(C2293&lt;='Investment Calculator'!$C$8*'Investment Calculator'!$F$4,'Investment Calculator'!$C$6,"")</f>
        <v/>
      </c>
      <c r="E2293" s="27" t="str">
        <f>IFERROR((F2292+D2293)*'Investment Calculator'!$C$7/'Investment Calculator'!$F$4,"")</f>
        <v/>
      </c>
      <c r="F2293" s="27" t="str">
        <f>IFERROR(ABS(FV('Investment Calculator'!$C$7/'Investment Calculator'!$F$4,'SIP Schedule'!C2293,'SIP Schedule'!D2293,,1)),"")</f>
        <v/>
      </c>
    </row>
    <row r="2294" spans="3:6" x14ac:dyDescent="0.3">
      <c r="C2294" s="1" t="str">
        <f>IF(C2293&lt;'Investment Calculator'!$C$8*'Investment Calculator'!$F$4,'SIP Schedule'!C2293+1,"")</f>
        <v/>
      </c>
      <c r="D2294" s="27" t="str">
        <f>IF(C2294&lt;='Investment Calculator'!$C$8*'Investment Calculator'!$F$4,'Investment Calculator'!$C$6,"")</f>
        <v/>
      </c>
      <c r="E2294" s="27" t="str">
        <f>IFERROR((F2293+D2294)*'Investment Calculator'!$C$7/'Investment Calculator'!$F$4,"")</f>
        <v/>
      </c>
      <c r="F2294" s="27" t="str">
        <f>IFERROR(ABS(FV('Investment Calculator'!$C$7/'Investment Calculator'!$F$4,'SIP Schedule'!C2294,'SIP Schedule'!D2294,,1)),"")</f>
        <v/>
      </c>
    </row>
    <row r="2295" spans="3:6" x14ac:dyDescent="0.3">
      <c r="C2295" s="1" t="str">
        <f>IF(C2294&lt;'Investment Calculator'!$C$8*'Investment Calculator'!$F$4,'SIP Schedule'!C2294+1,"")</f>
        <v/>
      </c>
      <c r="D2295" s="27" t="str">
        <f>IF(C2295&lt;='Investment Calculator'!$C$8*'Investment Calculator'!$F$4,'Investment Calculator'!$C$6,"")</f>
        <v/>
      </c>
      <c r="E2295" s="27" t="str">
        <f>IFERROR((F2294+D2295)*'Investment Calculator'!$C$7/'Investment Calculator'!$F$4,"")</f>
        <v/>
      </c>
      <c r="F2295" s="27" t="str">
        <f>IFERROR(ABS(FV('Investment Calculator'!$C$7/'Investment Calculator'!$F$4,'SIP Schedule'!C2295,'SIP Schedule'!D2295,,1)),"")</f>
        <v/>
      </c>
    </row>
    <row r="2296" spans="3:6" x14ac:dyDescent="0.3">
      <c r="C2296" s="1" t="str">
        <f>IF(C2295&lt;'Investment Calculator'!$C$8*'Investment Calculator'!$F$4,'SIP Schedule'!C2295+1,"")</f>
        <v/>
      </c>
      <c r="D2296" s="27" t="str">
        <f>IF(C2296&lt;='Investment Calculator'!$C$8*'Investment Calculator'!$F$4,'Investment Calculator'!$C$6,"")</f>
        <v/>
      </c>
      <c r="E2296" s="27" t="str">
        <f>IFERROR((F2295+D2296)*'Investment Calculator'!$C$7/'Investment Calculator'!$F$4,"")</f>
        <v/>
      </c>
      <c r="F2296" s="27" t="str">
        <f>IFERROR(ABS(FV('Investment Calculator'!$C$7/'Investment Calculator'!$F$4,'SIP Schedule'!C2296,'SIP Schedule'!D2296,,1)),"")</f>
        <v/>
      </c>
    </row>
    <row r="2297" spans="3:6" x14ac:dyDescent="0.3">
      <c r="C2297" s="1" t="str">
        <f>IF(C2296&lt;'Investment Calculator'!$C$8*'Investment Calculator'!$F$4,'SIP Schedule'!C2296+1,"")</f>
        <v/>
      </c>
      <c r="D2297" s="27" t="str">
        <f>IF(C2297&lt;='Investment Calculator'!$C$8*'Investment Calculator'!$F$4,'Investment Calculator'!$C$6,"")</f>
        <v/>
      </c>
      <c r="E2297" s="27" t="str">
        <f>IFERROR((F2296+D2297)*'Investment Calculator'!$C$7/'Investment Calculator'!$F$4,"")</f>
        <v/>
      </c>
      <c r="F2297" s="27" t="str">
        <f>IFERROR(ABS(FV('Investment Calculator'!$C$7/'Investment Calculator'!$F$4,'SIP Schedule'!C2297,'SIP Schedule'!D2297,,1)),"")</f>
        <v/>
      </c>
    </row>
    <row r="2298" spans="3:6" x14ac:dyDescent="0.3">
      <c r="C2298" s="1" t="str">
        <f>IF(C2297&lt;'Investment Calculator'!$C$8*'Investment Calculator'!$F$4,'SIP Schedule'!C2297+1,"")</f>
        <v/>
      </c>
      <c r="D2298" s="27" t="str">
        <f>IF(C2298&lt;='Investment Calculator'!$C$8*'Investment Calculator'!$F$4,'Investment Calculator'!$C$6,"")</f>
        <v/>
      </c>
      <c r="E2298" s="27" t="str">
        <f>IFERROR((F2297+D2298)*'Investment Calculator'!$C$7/'Investment Calculator'!$F$4,"")</f>
        <v/>
      </c>
      <c r="F2298" s="27" t="str">
        <f>IFERROR(ABS(FV('Investment Calculator'!$C$7/'Investment Calculator'!$F$4,'SIP Schedule'!C2298,'SIP Schedule'!D2298,,1)),"")</f>
        <v/>
      </c>
    </row>
    <row r="2299" spans="3:6" x14ac:dyDescent="0.3">
      <c r="C2299" s="1" t="str">
        <f>IF(C2298&lt;'Investment Calculator'!$C$8*'Investment Calculator'!$F$4,'SIP Schedule'!C2298+1,"")</f>
        <v/>
      </c>
      <c r="D2299" s="27" t="str">
        <f>IF(C2299&lt;='Investment Calculator'!$C$8*'Investment Calculator'!$F$4,'Investment Calculator'!$C$6,"")</f>
        <v/>
      </c>
      <c r="E2299" s="27" t="str">
        <f>IFERROR((F2298+D2299)*'Investment Calculator'!$C$7/'Investment Calculator'!$F$4,"")</f>
        <v/>
      </c>
      <c r="F2299" s="27" t="str">
        <f>IFERROR(ABS(FV('Investment Calculator'!$C$7/'Investment Calculator'!$F$4,'SIP Schedule'!C2299,'SIP Schedule'!D2299,,1)),"")</f>
        <v/>
      </c>
    </row>
    <row r="2300" spans="3:6" x14ac:dyDescent="0.3">
      <c r="C2300" s="1" t="str">
        <f>IF(C2299&lt;'Investment Calculator'!$C$8*'Investment Calculator'!$F$4,'SIP Schedule'!C2299+1,"")</f>
        <v/>
      </c>
      <c r="D2300" s="27" t="str">
        <f>IF(C2300&lt;='Investment Calculator'!$C$8*'Investment Calculator'!$F$4,'Investment Calculator'!$C$6,"")</f>
        <v/>
      </c>
      <c r="E2300" s="27" t="str">
        <f>IFERROR((F2299+D2300)*'Investment Calculator'!$C$7/'Investment Calculator'!$F$4,"")</f>
        <v/>
      </c>
      <c r="F2300" s="27" t="str">
        <f>IFERROR(ABS(FV('Investment Calculator'!$C$7/'Investment Calculator'!$F$4,'SIP Schedule'!C2300,'SIP Schedule'!D2300,,1)),"")</f>
        <v/>
      </c>
    </row>
    <row r="2301" spans="3:6" x14ac:dyDescent="0.3">
      <c r="C2301" s="1" t="str">
        <f>IF(C2300&lt;'Investment Calculator'!$C$8*'Investment Calculator'!$F$4,'SIP Schedule'!C2300+1,"")</f>
        <v/>
      </c>
      <c r="D2301" s="27" t="str">
        <f>IF(C2301&lt;='Investment Calculator'!$C$8*'Investment Calculator'!$F$4,'Investment Calculator'!$C$6,"")</f>
        <v/>
      </c>
      <c r="E2301" s="27" t="str">
        <f>IFERROR((F2300+D2301)*'Investment Calculator'!$C$7/'Investment Calculator'!$F$4,"")</f>
        <v/>
      </c>
      <c r="F2301" s="27" t="str">
        <f>IFERROR(ABS(FV('Investment Calculator'!$C$7/'Investment Calculator'!$F$4,'SIP Schedule'!C2301,'SIP Schedule'!D2301,,1)),"")</f>
        <v/>
      </c>
    </row>
    <row r="2302" spans="3:6" x14ac:dyDescent="0.3">
      <c r="C2302" s="1" t="str">
        <f>IF(C2301&lt;'Investment Calculator'!$C$8*'Investment Calculator'!$F$4,'SIP Schedule'!C2301+1,"")</f>
        <v/>
      </c>
      <c r="D2302" s="27" t="str">
        <f>IF(C2302&lt;='Investment Calculator'!$C$8*'Investment Calculator'!$F$4,'Investment Calculator'!$C$6,"")</f>
        <v/>
      </c>
      <c r="E2302" s="27" t="str">
        <f>IFERROR((F2301+D2302)*'Investment Calculator'!$C$7/'Investment Calculator'!$F$4,"")</f>
        <v/>
      </c>
      <c r="F2302" s="27" t="str">
        <f>IFERROR(ABS(FV('Investment Calculator'!$C$7/'Investment Calculator'!$F$4,'SIP Schedule'!C2302,'SIP Schedule'!D2302,,1)),"")</f>
        <v/>
      </c>
    </row>
    <row r="2303" spans="3:6" x14ac:dyDescent="0.3">
      <c r="C2303" s="1" t="str">
        <f>IF(C2302&lt;'Investment Calculator'!$C$8*'Investment Calculator'!$F$4,'SIP Schedule'!C2302+1,"")</f>
        <v/>
      </c>
      <c r="D2303" s="27" t="str">
        <f>IF(C2303&lt;='Investment Calculator'!$C$8*'Investment Calculator'!$F$4,'Investment Calculator'!$C$6,"")</f>
        <v/>
      </c>
      <c r="E2303" s="27" t="str">
        <f>IFERROR((F2302+D2303)*'Investment Calculator'!$C$7/'Investment Calculator'!$F$4,"")</f>
        <v/>
      </c>
      <c r="F2303" s="27" t="str">
        <f>IFERROR(ABS(FV('Investment Calculator'!$C$7/'Investment Calculator'!$F$4,'SIP Schedule'!C2303,'SIP Schedule'!D2303,,1)),"")</f>
        <v/>
      </c>
    </row>
    <row r="2304" spans="3:6" x14ac:dyDescent="0.3">
      <c r="C2304" s="1" t="str">
        <f>IF(C2303&lt;'Investment Calculator'!$C$8*'Investment Calculator'!$F$4,'SIP Schedule'!C2303+1,"")</f>
        <v/>
      </c>
      <c r="D2304" s="27" t="str">
        <f>IF(C2304&lt;='Investment Calculator'!$C$8*'Investment Calculator'!$F$4,'Investment Calculator'!$C$6,"")</f>
        <v/>
      </c>
      <c r="E2304" s="27" t="str">
        <f>IFERROR((F2303+D2304)*'Investment Calculator'!$C$7/'Investment Calculator'!$F$4,"")</f>
        <v/>
      </c>
      <c r="F2304" s="27" t="str">
        <f>IFERROR(ABS(FV('Investment Calculator'!$C$7/'Investment Calculator'!$F$4,'SIP Schedule'!C2304,'SIP Schedule'!D2304,,1)),"")</f>
        <v/>
      </c>
    </row>
    <row r="2305" spans="3:6" x14ac:dyDescent="0.3">
      <c r="C2305" s="1" t="str">
        <f>IF(C2304&lt;'Investment Calculator'!$C$8*'Investment Calculator'!$F$4,'SIP Schedule'!C2304+1,"")</f>
        <v/>
      </c>
      <c r="D2305" s="27" t="str">
        <f>IF(C2305&lt;='Investment Calculator'!$C$8*'Investment Calculator'!$F$4,'Investment Calculator'!$C$6,"")</f>
        <v/>
      </c>
      <c r="E2305" s="27" t="str">
        <f>IFERROR((F2304+D2305)*'Investment Calculator'!$C$7/'Investment Calculator'!$F$4,"")</f>
        <v/>
      </c>
      <c r="F2305" s="27" t="str">
        <f>IFERROR(ABS(FV('Investment Calculator'!$C$7/'Investment Calculator'!$F$4,'SIP Schedule'!C2305,'SIP Schedule'!D2305,,1)),"")</f>
        <v/>
      </c>
    </row>
    <row r="2306" spans="3:6" x14ac:dyDescent="0.3">
      <c r="C2306" s="1" t="str">
        <f>IF(C2305&lt;'Investment Calculator'!$C$8*'Investment Calculator'!$F$4,'SIP Schedule'!C2305+1,"")</f>
        <v/>
      </c>
      <c r="D2306" s="27" t="str">
        <f>IF(C2306&lt;='Investment Calculator'!$C$8*'Investment Calculator'!$F$4,'Investment Calculator'!$C$6,"")</f>
        <v/>
      </c>
      <c r="E2306" s="27" t="str">
        <f>IFERROR((F2305+D2306)*'Investment Calculator'!$C$7/'Investment Calculator'!$F$4,"")</f>
        <v/>
      </c>
      <c r="F2306" s="27" t="str">
        <f>IFERROR(ABS(FV('Investment Calculator'!$C$7/'Investment Calculator'!$F$4,'SIP Schedule'!C2306,'SIP Schedule'!D2306,,1)),"")</f>
        <v/>
      </c>
    </row>
    <row r="2307" spans="3:6" x14ac:dyDescent="0.3">
      <c r="C2307" s="1" t="str">
        <f>IF(C2306&lt;'Investment Calculator'!$C$8*'Investment Calculator'!$F$4,'SIP Schedule'!C2306+1,"")</f>
        <v/>
      </c>
      <c r="D2307" s="27" t="str">
        <f>IF(C2307&lt;='Investment Calculator'!$C$8*'Investment Calculator'!$F$4,'Investment Calculator'!$C$6,"")</f>
        <v/>
      </c>
      <c r="E2307" s="27" t="str">
        <f>IFERROR((F2306+D2307)*'Investment Calculator'!$C$7/'Investment Calculator'!$F$4,"")</f>
        <v/>
      </c>
      <c r="F2307" s="27" t="str">
        <f>IFERROR(ABS(FV('Investment Calculator'!$C$7/'Investment Calculator'!$F$4,'SIP Schedule'!C2307,'SIP Schedule'!D2307,,1)),"")</f>
        <v/>
      </c>
    </row>
    <row r="2308" spans="3:6" x14ac:dyDescent="0.3">
      <c r="C2308" s="1" t="str">
        <f>IF(C2307&lt;'Investment Calculator'!$C$8*'Investment Calculator'!$F$4,'SIP Schedule'!C2307+1,"")</f>
        <v/>
      </c>
      <c r="D2308" s="27" t="str">
        <f>IF(C2308&lt;='Investment Calculator'!$C$8*'Investment Calculator'!$F$4,'Investment Calculator'!$C$6,"")</f>
        <v/>
      </c>
      <c r="E2308" s="27" t="str">
        <f>IFERROR((F2307+D2308)*'Investment Calculator'!$C$7/'Investment Calculator'!$F$4,"")</f>
        <v/>
      </c>
      <c r="F2308" s="27" t="str">
        <f>IFERROR(ABS(FV('Investment Calculator'!$C$7/'Investment Calculator'!$F$4,'SIP Schedule'!C2308,'SIP Schedule'!D2308,,1)),"")</f>
        <v/>
      </c>
    </row>
    <row r="2309" spans="3:6" x14ac:dyDescent="0.3">
      <c r="C2309" s="1" t="str">
        <f>IF(C2308&lt;'Investment Calculator'!$C$8*'Investment Calculator'!$F$4,'SIP Schedule'!C2308+1,"")</f>
        <v/>
      </c>
      <c r="D2309" s="27" t="str">
        <f>IF(C2309&lt;='Investment Calculator'!$C$8*'Investment Calculator'!$F$4,'Investment Calculator'!$C$6,"")</f>
        <v/>
      </c>
      <c r="E2309" s="27" t="str">
        <f>IFERROR((F2308+D2309)*'Investment Calculator'!$C$7/'Investment Calculator'!$F$4,"")</f>
        <v/>
      </c>
      <c r="F2309" s="27" t="str">
        <f>IFERROR(ABS(FV('Investment Calculator'!$C$7/'Investment Calculator'!$F$4,'SIP Schedule'!C2309,'SIP Schedule'!D2309,,1)),"")</f>
        <v/>
      </c>
    </row>
    <row r="2310" spans="3:6" x14ac:dyDescent="0.3">
      <c r="C2310" s="1" t="str">
        <f>IF(C2309&lt;'Investment Calculator'!$C$8*'Investment Calculator'!$F$4,'SIP Schedule'!C2309+1,"")</f>
        <v/>
      </c>
      <c r="D2310" s="27" t="str">
        <f>IF(C2310&lt;='Investment Calculator'!$C$8*'Investment Calculator'!$F$4,'Investment Calculator'!$C$6,"")</f>
        <v/>
      </c>
      <c r="E2310" s="27" t="str">
        <f>IFERROR((F2309+D2310)*'Investment Calculator'!$C$7/'Investment Calculator'!$F$4,"")</f>
        <v/>
      </c>
      <c r="F2310" s="27" t="str">
        <f>IFERROR(ABS(FV('Investment Calculator'!$C$7/'Investment Calculator'!$F$4,'SIP Schedule'!C2310,'SIP Schedule'!D2310,,1)),"")</f>
        <v/>
      </c>
    </row>
    <row r="2311" spans="3:6" x14ac:dyDescent="0.3">
      <c r="C2311" s="1" t="str">
        <f>IF(C2310&lt;'Investment Calculator'!$C$8*'Investment Calculator'!$F$4,'SIP Schedule'!C2310+1,"")</f>
        <v/>
      </c>
      <c r="D2311" s="27" t="str">
        <f>IF(C2311&lt;='Investment Calculator'!$C$8*'Investment Calculator'!$F$4,'Investment Calculator'!$C$6,"")</f>
        <v/>
      </c>
      <c r="E2311" s="27" t="str">
        <f>IFERROR((F2310+D2311)*'Investment Calculator'!$C$7/'Investment Calculator'!$F$4,"")</f>
        <v/>
      </c>
      <c r="F2311" s="27" t="str">
        <f>IFERROR(ABS(FV('Investment Calculator'!$C$7/'Investment Calculator'!$F$4,'SIP Schedule'!C2311,'SIP Schedule'!D2311,,1)),"")</f>
        <v/>
      </c>
    </row>
    <row r="2312" spans="3:6" x14ac:dyDescent="0.3">
      <c r="C2312" s="1" t="str">
        <f>IF(C2311&lt;'Investment Calculator'!$C$8*'Investment Calculator'!$F$4,'SIP Schedule'!C2311+1,"")</f>
        <v/>
      </c>
      <c r="D2312" s="27" t="str">
        <f>IF(C2312&lt;='Investment Calculator'!$C$8*'Investment Calculator'!$F$4,'Investment Calculator'!$C$6,"")</f>
        <v/>
      </c>
      <c r="E2312" s="27" t="str">
        <f>IFERROR((F2311+D2312)*'Investment Calculator'!$C$7/'Investment Calculator'!$F$4,"")</f>
        <v/>
      </c>
      <c r="F2312" s="27" t="str">
        <f>IFERROR(ABS(FV('Investment Calculator'!$C$7/'Investment Calculator'!$F$4,'SIP Schedule'!C2312,'SIP Schedule'!D2312,,1)),"")</f>
        <v/>
      </c>
    </row>
    <row r="2313" spans="3:6" x14ac:dyDescent="0.3">
      <c r="C2313" s="1" t="str">
        <f>IF(C2312&lt;'Investment Calculator'!$C$8*'Investment Calculator'!$F$4,'SIP Schedule'!C2312+1,"")</f>
        <v/>
      </c>
      <c r="D2313" s="27" t="str">
        <f>IF(C2313&lt;='Investment Calculator'!$C$8*'Investment Calculator'!$F$4,'Investment Calculator'!$C$6,"")</f>
        <v/>
      </c>
      <c r="E2313" s="27" t="str">
        <f>IFERROR((F2312+D2313)*'Investment Calculator'!$C$7/'Investment Calculator'!$F$4,"")</f>
        <v/>
      </c>
      <c r="F2313" s="27" t="str">
        <f>IFERROR(ABS(FV('Investment Calculator'!$C$7/'Investment Calculator'!$F$4,'SIP Schedule'!C2313,'SIP Schedule'!D2313,,1)),"")</f>
        <v/>
      </c>
    </row>
    <row r="2314" spans="3:6" x14ac:dyDescent="0.3">
      <c r="C2314" s="1" t="str">
        <f>IF(C2313&lt;'Investment Calculator'!$C$8*'Investment Calculator'!$F$4,'SIP Schedule'!C2313+1,"")</f>
        <v/>
      </c>
      <c r="D2314" s="27" t="str">
        <f>IF(C2314&lt;='Investment Calculator'!$C$8*'Investment Calculator'!$F$4,'Investment Calculator'!$C$6,"")</f>
        <v/>
      </c>
      <c r="E2314" s="27" t="str">
        <f>IFERROR((F2313+D2314)*'Investment Calculator'!$C$7/'Investment Calculator'!$F$4,"")</f>
        <v/>
      </c>
      <c r="F2314" s="27" t="str">
        <f>IFERROR(ABS(FV('Investment Calculator'!$C$7/'Investment Calculator'!$F$4,'SIP Schedule'!C2314,'SIP Schedule'!D2314,,1)),"")</f>
        <v/>
      </c>
    </row>
    <row r="2315" spans="3:6" x14ac:dyDescent="0.3">
      <c r="C2315" s="1" t="str">
        <f>IF(C2314&lt;'Investment Calculator'!$C$8*'Investment Calculator'!$F$4,'SIP Schedule'!C2314+1,"")</f>
        <v/>
      </c>
      <c r="D2315" s="27" t="str">
        <f>IF(C2315&lt;='Investment Calculator'!$C$8*'Investment Calculator'!$F$4,'Investment Calculator'!$C$6,"")</f>
        <v/>
      </c>
      <c r="E2315" s="27" t="str">
        <f>IFERROR((F2314+D2315)*'Investment Calculator'!$C$7/'Investment Calculator'!$F$4,"")</f>
        <v/>
      </c>
      <c r="F2315" s="27" t="str">
        <f>IFERROR(ABS(FV('Investment Calculator'!$C$7/'Investment Calculator'!$F$4,'SIP Schedule'!C2315,'SIP Schedule'!D2315,,1)),"")</f>
        <v/>
      </c>
    </row>
    <row r="2316" spans="3:6" x14ac:dyDescent="0.3">
      <c r="C2316" s="1" t="str">
        <f>IF(C2315&lt;'Investment Calculator'!$C$8*'Investment Calculator'!$F$4,'SIP Schedule'!C2315+1,"")</f>
        <v/>
      </c>
      <c r="D2316" s="27" t="str">
        <f>IF(C2316&lt;='Investment Calculator'!$C$8*'Investment Calculator'!$F$4,'Investment Calculator'!$C$6,"")</f>
        <v/>
      </c>
      <c r="E2316" s="27" t="str">
        <f>IFERROR((F2315+D2316)*'Investment Calculator'!$C$7/'Investment Calculator'!$F$4,"")</f>
        <v/>
      </c>
      <c r="F2316" s="27" t="str">
        <f>IFERROR(ABS(FV('Investment Calculator'!$C$7/'Investment Calculator'!$F$4,'SIP Schedule'!C2316,'SIP Schedule'!D2316,,1)),"")</f>
        <v/>
      </c>
    </row>
    <row r="2317" spans="3:6" x14ac:dyDescent="0.3">
      <c r="C2317" s="1" t="str">
        <f>IF(C2316&lt;'Investment Calculator'!$C$8*'Investment Calculator'!$F$4,'SIP Schedule'!C2316+1,"")</f>
        <v/>
      </c>
      <c r="D2317" s="27" t="str">
        <f>IF(C2317&lt;='Investment Calculator'!$C$8*'Investment Calculator'!$F$4,'Investment Calculator'!$C$6,"")</f>
        <v/>
      </c>
      <c r="E2317" s="27" t="str">
        <f>IFERROR((F2316+D2317)*'Investment Calculator'!$C$7/'Investment Calculator'!$F$4,"")</f>
        <v/>
      </c>
      <c r="F2317" s="27" t="str">
        <f>IFERROR(ABS(FV('Investment Calculator'!$C$7/'Investment Calculator'!$F$4,'SIP Schedule'!C2317,'SIP Schedule'!D2317,,1)),"")</f>
        <v/>
      </c>
    </row>
    <row r="2318" spans="3:6" x14ac:dyDescent="0.3">
      <c r="C2318" s="1" t="str">
        <f>IF(C2317&lt;'Investment Calculator'!$C$8*'Investment Calculator'!$F$4,'SIP Schedule'!C2317+1,"")</f>
        <v/>
      </c>
      <c r="D2318" s="27" t="str">
        <f>IF(C2318&lt;='Investment Calculator'!$C$8*'Investment Calculator'!$F$4,'Investment Calculator'!$C$6,"")</f>
        <v/>
      </c>
      <c r="E2318" s="27" t="str">
        <f>IFERROR((F2317+D2318)*'Investment Calculator'!$C$7/'Investment Calculator'!$F$4,"")</f>
        <v/>
      </c>
      <c r="F2318" s="27" t="str">
        <f>IFERROR(ABS(FV('Investment Calculator'!$C$7/'Investment Calculator'!$F$4,'SIP Schedule'!C2318,'SIP Schedule'!D2318,,1)),"")</f>
        <v/>
      </c>
    </row>
    <row r="2319" spans="3:6" x14ac:dyDescent="0.3">
      <c r="C2319" s="1" t="str">
        <f>IF(C2318&lt;'Investment Calculator'!$C$8*'Investment Calculator'!$F$4,'SIP Schedule'!C2318+1,"")</f>
        <v/>
      </c>
      <c r="D2319" s="27" t="str">
        <f>IF(C2319&lt;='Investment Calculator'!$C$8*'Investment Calculator'!$F$4,'Investment Calculator'!$C$6,"")</f>
        <v/>
      </c>
      <c r="E2319" s="27" t="str">
        <f>IFERROR((F2318+D2319)*'Investment Calculator'!$C$7/'Investment Calculator'!$F$4,"")</f>
        <v/>
      </c>
      <c r="F2319" s="27" t="str">
        <f>IFERROR(ABS(FV('Investment Calculator'!$C$7/'Investment Calculator'!$F$4,'SIP Schedule'!C2319,'SIP Schedule'!D2319,,1)),"")</f>
        <v/>
      </c>
    </row>
    <row r="2320" spans="3:6" x14ac:dyDescent="0.3">
      <c r="C2320" s="1" t="str">
        <f>IF(C2319&lt;'Investment Calculator'!$C$8*'Investment Calculator'!$F$4,'SIP Schedule'!C2319+1,"")</f>
        <v/>
      </c>
      <c r="D2320" s="27" t="str">
        <f>IF(C2320&lt;='Investment Calculator'!$C$8*'Investment Calculator'!$F$4,'Investment Calculator'!$C$6,"")</f>
        <v/>
      </c>
      <c r="E2320" s="27" t="str">
        <f>IFERROR((F2319+D2320)*'Investment Calculator'!$C$7/'Investment Calculator'!$F$4,"")</f>
        <v/>
      </c>
      <c r="F2320" s="27" t="str">
        <f>IFERROR(ABS(FV('Investment Calculator'!$C$7/'Investment Calculator'!$F$4,'SIP Schedule'!C2320,'SIP Schedule'!D2320,,1)),"")</f>
        <v/>
      </c>
    </row>
    <row r="2321" spans="3:6" x14ac:dyDescent="0.3">
      <c r="C2321" s="1" t="str">
        <f>IF(C2320&lt;'Investment Calculator'!$C$8*'Investment Calculator'!$F$4,'SIP Schedule'!C2320+1,"")</f>
        <v/>
      </c>
      <c r="D2321" s="27" t="str">
        <f>IF(C2321&lt;='Investment Calculator'!$C$8*'Investment Calculator'!$F$4,'Investment Calculator'!$C$6,"")</f>
        <v/>
      </c>
      <c r="E2321" s="27" t="str">
        <f>IFERROR((F2320+D2321)*'Investment Calculator'!$C$7/'Investment Calculator'!$F$4,"")</f>
        <v/>
      </c>
      <c r="F2321" s="27" t="str">
        <f>IFERROR(ABS(FV('Investment Calculator'!$C$7/'Investment Calculator'!$F$4,'SIP Schedule'!C2321,'SIP Schedule'!D2321,,1)),"")</f>
        <v/>
      </c>
    </row>
    <row r="2322" spans="3:6" x14ac:dyDescent="0.3">
      <c r="C2322" s="1" t="str">
        <f>IF(C2321&lt;'Investment Calculator'!$C$8*'Investment Calculator'!$F$4,'SIP Schedule'!C2321+1,"")</f>
        <v/>
      </c>
      <c r="D2322" s="27" t="str">
        <f>IF(C2322&lt;='Investment Calculator'!$C$8*'Investment Calculator'!$F$4,'Investment Calculator'!$C$6,"")</f>
        <v/>
      </c>
      <c r="E2322" s="27" t="str">
        <f>IFERROR((F2321+D2322)*'Investment Calculator'!$C$7/'Investment Calculator'!$F$4,"")</f>
        <v/>
      </c>
      <c r="F2322" s="27" t="str">
        <f>IFERROR(ABS(FV('Investment Calculator'!$C$7/'Investment Calculator'!$F$4,'SIP Schedule'!C2322,'SIP Schedule'!D2322,,1)),"")</f>
        <v/>
      </c>
    </row>
    <row r="2323" spans="3:6" x14ac:dyDescent="0.3">
      <c r="C2323" s="1" t="str">
        <f>IF(C2322&lt;'Investment Calculator'!$C$8*'Investment Calculator'!$F$4,'SIP Schedule'!C2322+1,"")</f>
        <v/>
      </c>
      <c r="D2323" s="27" t="str">
        <f>IF(C2323&lt;='Investment Calculator'!$C$8*'Investment Calculator'!$F$4,'Investment Calculator'!$C$6,"")</f>
        <v/>
      </c>
      <c r="E2323" s="27" t="str">
        <f>IFERROR((F2322+D2323)*'Investment Calculator'!$C$7/'Investment Calculator'!$F$4,"")</f>
        <v/>
      </c>
      <c r="F2323" s="27" t="str">
        <f>IFERROR(ABS(FV('Investment Calculator'!$C$7/'Investment Calculator'!$F$4,'SIP Schedule'!C2323,'SIP Schedule'!D2323,,1)),"")</f>
        <v/>
      </c>
    </row>
    <row r="2324" spans="3:6" x14ac:dyDescent="0.3">
      <c r="C2324" s="1" t="str">
        <f>IF(C2323&lt;'Investment Calculator'!$C$8*'Investment Calculator'!$F$4,'SIP Schedule'!C2323+1,"")</f>
        <v/>
      </c>
      <c r="D2324" s="27" t="str">
        <f>IF(C2324&lt;='Investment Calculator'!$C$8*'Investment Calculator'!$F$4,'Investment Calculator'!$C$6,"")</f>
        <v/>
      </c>
      <c r="E2324" s="27" t="str">
        <f>IFERROR((F2323+D2324)*'Investment Calculator'!$C$7/'Investment Calculator'!$F$4,"")</f>
        <v/>
      </c>
      <c r="F2324" s="27" t="str">
        <f>IFERROR(ABS(FV('Investment Calculator'!$C$7/'Investment Calculator'!$F$4,'SIP Schedule'!C2324,'SIP Schedule'!D2324,,1)),"")</f>
        <v/>
      </c>
    </row>
    <row r="2325" spans="3:6" x14ac:dyDescent="0.3">
      <c r="C2325" s="1" t="str">
        <f>IF(C2324&lt;'Investment Calculator'!$C$8*'Investment Calculator'!$F$4,'SIP Schedule'!C2324+1,"")</f>
        <v/>
      </c>
      <c r="D2325" s="27" t="str">
        <f>IF(C2325&lt;='Investment Calculator'!$C$8*'Investment Calculator'!$F$4,'Investment Calculator'!$C$6,"")</f>
        <v/>
      </c>
      <c r="E2325" s="27" t="str">
        <f>IFERROR((F2324+D2325)*'Investment Calculator'!$C$7/'Investment Calculator'!$F$4,"")</f>
        <v/>
      </c>
      <c r="F2325" s="27" t="str">
        <f>IFERROR(ABS(FV('Investment Calculator'!$C$7/'Investment Calculator'!$F$4,'SIP Schedule'!C2325,'SIP Schedule'!D2325,,1)),"")</f>
        <v/>
      </c>
    </row>
    <row r="2326" spans="3:6" x14ac:dyDescent="0.3">
      <c r="C2326" s="1" t="str">
        <f>IF(C2325&lt;'Investment Calculator'!$C$8*'Investment Calculator'!$F$4,'SIP Schedule'!C2325+1,"")</f>
        <v/>
      </c>
      <c r="D2326" s="27" t="str">
        <f>IF(C2326&lt;='Investment Calculator'!$C$8*'Investment Calculator'!$F$4,'Investment Calculator'!$C$6,"")</f>
        <v/>
      </c>
      <c r="E2326" s="27" t="str">
        <f>IFERROR((F2325+D2326)*'Investment Calculator'!$C$7/'Investment Calculator'!$F$4,"")</f>
        <v/>
      </c>
      <c r="F2326" s="27" t="str">
        <f>IFERROR(ABS(FV('Investment Calculator'!$C$7/'Investment Calculator'!$F$4,'SIP Schedule'!C2326,'SIP Schedule'!D2326,,1)),"")</f>
        <v/>
      </c>
    </row>
    <row r="2327" spans="3:6" x14ac:dyDescent="0.3">
      <c r="C2327" s="1" t="str">
        <f>IF(C2326&lt;'Investment Calculator'!$C$8*'Investment Calculator'!$F$4,'SIP Schedule'!C2326+1,"")</f>
        <v/>
      </c>
      <c r="D2327" s="27" t="str">
        <f>IF(C2327&lt;='Investment Calculator'!$C$8*'Investment Calculator'!$F$4,'Investment Calculator'!$C$6,"")</f>
        <v/>
      </c>
      <c r="E2327" s="27" t="str">
        <f>IFERROR((F2326+D2327)*'Investment Calculator'!$C$7/'Investment Calculator'!$F$4,"")</f>
        <v/>
      </c>
      <c r="F2327" s="27" t="str">
        <f>IFERROR(ABS(FV('Investment Calculator'!$C$7/'Investment Calculator'!$F$4,'SIP Schedule'!C2327,'SIP Schedule'!D2327,,1)),"")</f>
        <v/>
      </c>
    </row>
    <row r="2328" spans="3:6" x14ac:dyDescent="0.3">
      <c r="C2328" s="1" t="str">
        <f>IF(C2327&lt;'Investment Calculator'!$C$8*'Investment Calculator'!$F$4,'SIP Schedule'!C2327+1,"")</f>
        <v/>
      </c>
      <c r="D2328" s="27" t="str">
        <f>IF(C2328&lt;='Investment Calculator'!$C$8*'Investment Calculator'!$F$4,'Investment Calculator'!$C$6,"")</f>
        <v/>
      </c>
      <c r="E2328" s="27" t="str">
        <f>IFERROR((F2327+D2328)*'Investment Calculator'!$C$7/'Investment Calculator'!$F$4,"")</f>
        <v/>
      </c>
      <c r="F2328" s="27" t="str">
        <f>IFERROR(ABS(FV('Investment Calculator'!$C$7/'Investment Calculator'!$F$4,'SIP Schedule'!C2328,'SIP Schedule'!D2328,,1)),"")</f>
        <v/>
      </c>
    </row>
    <row r="2329" spans="3:6" x14ac:dyDescent="0.3">
      <c r="C2329" s="1" t="str">
        <f>IF(C2328&lt;'Investment Calculator'!$C$8*'Investment Calculator'!$F$4,'SIP Schedule'!C2328+1,"")</f>
        <v/>
      </c>
      <c r="D2329" s="27" t="str">
        <f>IF(C2329&lt;='Investment Calculator'!$C$8*'Investment Calculator'!$F$4,'Investment Calculator'!$C$6,"")</f>
        <v/>
      </c>
      <c r="E2329" s="27" t="str">
        <f>IFERROR((F2328+D2329)*'Investment Calculator'!$C$7/'Investment Calculator'!$F$4,"")</f>
        <v/>
      </c>
      <c r="F2329" s="27" t="str">
        <f>IFERROR(ABS(FV('Investment Calculator'!$C$7/'Investment Calculator'!$F$4,'SIP Schedule'!C2329,'SIP Schedule'!D2329,,1)),"")</f>
        <v/>
      </c>
    </row>
    <row r="2330" spans="3:6" x14ac:dyDescent="0.3">
      <c r="C2330" s="1" t="str">
        <f>IF(C2329&lt;'Investment Calculator'!$C$8*'Investment Calculator'!$F$4,'SIP Schedule'!C2329+1,"")</f>
        <v/>
      </c>
      <c r="D2330" s="27" t="str">
        <f>IF(C2330&lt;='Investment Calculator'!$C$8*'Investment Calculator'!$F$4,'Investment Calculator'!$C$6,"")</f>
        <v/>
      </c>
      <c r="E2330" s="27" t="str">
        <f>IFERROR((F2329+D2330)*'Investment Calculator'!$C$7/'Investment Calculator'!$F$4,"")</f>
        <v/>
      </c>
      <c r="F2330" s="27" t="str">
        <f>IFERROR(ABS(FV('Investment Calculator'!$C$7/'Investment Calculator'!$F$4,'SIP Schedule'!C2330,'SIP Schedule'!D2330,,1)),"")</f>
        <v/>
      </c>
    </row>
    <row r="2331" spans="3:6" x14ac:dyDescent="0.3">
      <c r="C2331" s="1" t="str">
        <f>IF(C2330&lt;'Investment Calculator'!$C$8*'Investment Calculator'!$F$4,'SIP Schedule'!C2330+1,"")</f>
        <v/>
      </c>
      <c r="D2331" s="27" t="str">
        <f>IF(C2331&lt;='Investment Calculator'!$C$8*'Investment Calculator'!$F$4,'Investment Calculator'!$C$6,"")</f>
        <v/>
      </c>
      <c r="E2331" s="27" t="str">
        <f>IFERROR((F2330+D2331)*'Investment Calculator'!$C$7/'Investment Calculator'!$F$4,"")</f>
        <v/>
      </c>
      <c r="F2331" s="27" t="str">
        <f>IFERROR(ABS(FV('Investment Calculator'!$C$7/'Investment Calculator'!$F$4,'SIP Schedule'!C2331,'SIP Schedule'!D2331,,1)),"")</f>
        <v/>
      </c>
    </row>
    <row r="2332" spans="3:6" x14ac:dyDescent="0.3">
      <c r="C2332" s="1" t="str">
        <f>IF(C2331&lt;'Investment Calculator'!$C$8*'Investment Calculator'!$F$4,'SIP Schedule'!C2331+1,"")</f>
        <v/>
      </c>
      <c r="D2332" s="27" t="str">
        <f>IF(C2332&lt;='Investment Calculator'!$C$8*'Investment Calculator'!$F$4,'Investment Calculator'!$C$6,"")</f>
        <v/>
      </c>
      <c r="E2332" s="27" t="str">
        <f>IFERROR((F2331+D2332)*'Investment Calculator'!$C$7/'Investment Calculator'!$F$4,"")</f>
        <v/>
      </c>
      <c r="F2332" s="27" t="str">
        <f>IFERROR(ABS(FV('Investment Calculator'!$C$7/'Investment Calculator'!$F$4,'SIP Schedule'!C2332,'SIP Schedule'!D2332,,1)),"")</f>
        <v/>
      </c>
    </row>
    <row r="2333" spans="3:6" x14ac:dyDescent="0.3">
      <c r="C2333" s="1" t="str">
        <f>IF(C2332&lt;'Investment Calculator'!$C$8*'Investment Calculator'!$F$4,'SIP Schedule'!C2332+1,"")</f>
        <v/>
      </c>
      <c r="D2333" s="27" t="str">
        <f>IF(C2333&lt;='Investment Calculator'!$C$8*'Investment Calculator'!$F$4,'Investment Calculator'!$C$6,"")</f>
        <v/>
      </c>
      <c r="E2333" s="27" t="str">
        <f>IFERROR((F2332+D2333)*'Investment Calculator'!$C$7/'Investment Calculator'!$F$4,"")</f>
        <v/>
      </c>
      <c r="F2333" s="27" t="str">
        <f>IFERROR(ABS(FV('Investment Calculator'!$C$7/'Investment Calculator'!$F$4,'SIP Schedule'!C2333,'SIP Schedule'!D2333,,1)),"")</f>
        <v/>
      </c>
    </row>
    <row r="2334" spans="3:6" x14ac:dyDescent="0.3">
      <c r="C2334" s="1" t="str">
        <f>IF(C2333&lt;'Investment Calculator'!$C$8*'Investment Calculator'!$F$4,'SIP Schedule'!C2333+1,"")</f>
        <v/>
      </c>
      <c r="D2334" s="27" t="str">
        <f>IF(C2334&lt;='Investment Calculator'!$C$8*'Investment Calculator'!$F$4,'Investment Calculator'!$C$6,"")</f>
        <v/>
      </c>
      <c r="E2334" s="27" t="str">
        <f>IFERROR((F2333+D2334)*'Investment Calculator'!$C$7/'Investment Calculator'!$F$4,"")</f>
        <v/>
      </c>
      <c r="F2334" s="27" t="str">
        <f>IFERROR(ABS(FV('Investment Calculator'!$C$7/'Investment Calculator'!$F$4,'SIP Schedule'!C2334,'SIP Schedule'!D2334,,1)),"")</f>
        <v/>
      </c>
    </row>
    <row r="2335" spans="3:6" x14ac:dyDescent="0.3">
      <c r="C2335" s="1" t="str">
        <f>IF(C2334&lt;'Investment Calculator'!$C$8*'Investment Calculator'!$F$4,'SIP Schedule'!C2334+1,"")</f>
        <v/>
      </c>
      <c r="D2335" s="27" t="str">
        <f>IF(C2335&lt;='Investment Calculator'!$C$8*'Investment Calculator'!$F$4,'Investment Calculator'!$C$6,"")</f>
        <v/>
      </c>
      <c r="E2335" s="27" t="str">
        <f>IFERROR((F2334+D2335)*'Investment Calculator'!$C$7/'Investment Calculator'!$F$4,"")</f>
        <v/>
      </c>
      <c r="F2335" s="27" t="str">
        <f>IFERROR(ABS(FV('Investment Calculator'!$C$7/'Investment Calculator'!$F$4,'SIP Schedule'!C2335,'SIP Schedule'!D2335,,1)),"")</f>
        <v/>
      </c>
    </row>
    <row r="2336" spans="3:6" x14ac:dyDescent="0.3">
      <c r="C2336" s="1" t="str">
        <f>IF(C2335&lt;'Investment Calculator'!$C$8*'Investment Calculator'!$F$4,'SIP Schedule'!C2335+1,"")</f>
        <v/>
      </c>
      <c r="D2336" s="27" t="str">
        <f>IF(C2336&lt;='Investment Calculator'!$C$8*'Investment Calculator'!$F$4,'Investment Calculator'!$C$6,"")</f>
        <v/>
      </c>
      <c r="E2336" s="27" t="str">
        <f>IFERROR((F2335+D2336)*'Investment Calculator'!$C$7/'Investment Calculator'!$F$4,"")</f>
        <v/>
      </c>
      <c r="F2336" s="27" t="str">
        <f>IFERROR(ABS(FV('Investment Calculator'!$C$7/'Investment Calculator'!$F$4,'SIP Schedule'!C2336,'SIP Schedule'!D2336,,1)),"")</f>
        <v/>
      </c>
    </row>
    <row r="2337" spans="3:6" x14ac:dyDescent="0.3">
      <c r="C2337" s="1" t="str">
        <f>IF(C2336&lt;'Investment Calculator'!$C$8*'Investment Calculator'!$F$4,'SIP Schedule'!C2336+1,"")</f>
        <v/>
      </c>
      <c r="D2337" s="27" t="str">
        <f>IF(C2337&lt;='Investment Calculator'!$C$8*'Investment Calculator'!$F$4,'Investment Calculator'!$C$6,"")</f>
        <v/>
      </c>
      <c r="E2337" s="27" t="str">
        <f>IFERROR((F2336+D2337)*'Investment Calculator'!$C$7/'Investment Calculator'!$F$4,"")</f>
        <v/>
      </c>
      <c r="F2337" s="27" t="str">
        <f>IFERROR(ABS(FV('Investment Calculator'!$C$7/'Investment Calculator'!$F$4,'SIP Schedule'!C2337,'SIP Schedule'!D2337,,1)),"")</f>
        <v/>
      </c>
    </row>
    <row r="2338" spans="3:6" x14ac:dyDescent="0.3">
      <c r="C2338" s="1" t="str">
        <f>IF(C2337&lt;'Investment Calculator'!$C$8*'Investment Calculator'!$F$4,'SIP Schedule'!C2337+1,"")</f>
        <v/>
      </c>
      <c r="D2338" s="27" t="str">
        <f>IF(C2338&lt;='Investment Calculator'!$C$8*'Investment Calculator'!$F$4,'Investment Calculator'!$C$6,"")</f>
        <v/>
      </c>
      <c r="E2338" s="27" t="str">
        <f>IFERROR((F2337+D2338)*'Investment Calculator'!$C$7/'Investment Calculator'!$F$4,"")</f>
        <v/>
      </c>
      <c r="F2338" s="27" t="str">
        <f>IFERROR(ABS(FV('Investment Calculator'!$C$7/'Investment Calculator'!$F$4,'SIP Schedule'!C2338,'SIP Schedule'!D2338,,1)),"")</f>
        <v/>
      </c>
    </row>
    <row r="2339" spans="3:6" x14ac:dyDescent="0.3">
      <c r="C2339" s="1" t="str">
        <f>IF(C2338&lt;'Investment Calculator'!$C$8*'Investment Calculator'!$F$4,'SIP Schedule'!C2338+1,"")</f>
        <v/>
      </c>
      <c r="D2339" s="27" t="str">
        <f>IF(C2339&lt;='Investment Calculator'!$C$8*'Investment Calculator'!$F$4,'Investment Calculator'!$C$6,"")</f>
        <v/>
      </c>
      <c r="E2339" s="27" t="str">
        <f>IFERROR((F2338+D2339)*'Investment Calculator'!$C$7/'Investment Calculator'!$F$4,"")</f>
        <v/>
      </c>
      <c r="F2339" s="27" t="str">
        <f>IFERROR(ABS(FV('Investment Calculator'!$C$7/'Investment Calculator'!$F$4,'SIP Schedule'!C2339,'SIP Schedule'!D2339,,1)),"")</f>
        <v/>
      </c>
    </row>
    <row r="2340" spans="3:6" x14ac:dyDescent="0.3">
      <c r="C2340" s="1" t="str">
        <f>IF(C2339&lt;'Investment Calculator'!$C$8*'Investment Calculator'!$F$4,'SIP Schedule'!C2339+1,"")</f>
        <v/>
      </c>
      <c r="D2340" s="27" t="str">
        <f>IF(C2340&lt;='Investment Calculator'!$C$8*'Investment Calculator'!$F$4,'Investment Calculator'!$C$6,"")</f>
        <v/>
      </c>
      <c r="E2340" s="27" t="str">
        <f>IFERROR((F2339+D2340)*'Investment Calculator'!$C$7/'Investment Calculator'!$F$4,"")</f>
        <v/>
      </c>
      <c r="F2340" s="27" t="str">
        <f>IFERROR(ABS(FV('Investment Calculator'!$C$7/'Investment Calculator'!$F$4,'SIP Schedule'!C2340,'SIP Schedule'!D2340,,1)),"")</f>
        <v/>
      </c>
    </row>
    <row r="2341" spans="3:6" x14ac:dyDescent="0.3">
      <c r="C2341" s="1" t="str">
        <f>IF(C2340&lt;'Investment Calculator'!$C$8*'Investment Calculator'!$F$4,'SIP Schedule'!C2340+1,"")</f>
        <v/>
      </c>
      <c r="D2341" s="27" t="str">
        <f>IF(C2341&lt;='Investment Calculator'!$C$8*'Investment Calculator'!$F$4,'Investment Calculator'!$C$6,"")</f>
        <v/>
      </c>
      <c r="E2341" s="27" t="str">
        <f>IFERROR((F2340+D2341)*'Investment Calculator'!$C$7/'Investment Calculator'!$F$4,"")</f>
        <v/>
      </c>
      <c r="F2341" s="27" t="str">
        <f>IFERROR(ABS(FV('Investment Calculator'!$C$7/'Investment Calculator'!$F$4,'SIP Schedule'!C2341,'SIP Schedule'!D2341,,1)),"")</f>
        <v/>
      </c>
    </row>
    <row r="2342" spans="3:6" x14ac:dyDescent="0.3">
      <c r="C2342" s="1" t="str">
        <f>IF(C2341&lt;'Investment Calculator'!$C$8*'Investment Calculator'!$F$4,'SIP Schedule'!C2341+1,"")</f>
        <v/>
      </c>
      <c r="D2342" s="27" t="str">
        <f>IF(C2342&lt;='Investment Calculator'!$C$8*'Investment Calculator'!$F$4,'Investment Calculator'!$C$6,"")</f>
        <v/>
      </c>
      <c r="E2342" s="27" t="str">
        <f>IFERROR((F2341+D2342)*'Investment Calculator'!$C$7/'Investment Calculator'!$F$4,"")</f>
        <v/>
      </c>
      <c r="F2342" s="27" t="str">
        <f>IFERROR(ABS(FV('Investment Calculator'!$C$7/'Investment Calculator'!$F$4,'SIP Schedule'!C2342,'SIP Schedule'!D2342,,1)),"")</f>
        <v/>
      </c>
    </row>
    <row r="2343" spans="3:6" x14ac:dyDescent="0.3">
      <c r="C2343" s="1" t="str">
        <f>IF(C2342&lt;'Investment Calculator'!$C$8*'Investment Calculator'!$F$4,'SIP Schedule'!C2342+1,"")</f>
        <v/>
      </c>
      <c r="D2343" s="27" t="str">
        <f>IF(C2343&lt;='Investment Calculator'!$C$8*'Investment Calculator'!$F$4,'Investment Calculator'!$C$6,"")</f>
        <v/>
      </c>
      <c r="E2343" s="27" t="str">
        <f>IFERROR((F2342+D2343)*'Investment Calculator'!$C$7/'Investment Calculator'!$F$4,"")</f>
        <v/>
      </c>
      <c r="F2343" s="27" t="str">
        <f>IFERROR(ABS(FV('Investment Calculator'!$C$7/'Investment Calculator'!$F$4,'SIP Schedule'!C2343,'SIP Schedule'!D2343,,1)),"")</f>
        <v/>
      </c>
    </row>
    <row r="2344" spans="3:6" x14ac:dyDescent="0.3">
      <c r="C2344" s="1" t="str">
        <f>IF(C2343&lt;'Investment Calculator'!$C$8*'Investment Calculator'!$F$4,'SIP Schedule'!C2343+1,"")</f>
        <v/>
      </c>
      <c r="D2344" s="27" t="str">
        <f>IF(C2344&lt;='Investment Calculator'!$C$8*'Investment Calculator'!$F$4,'Investment Calculator'!$C$6,"")</f>
        <v/>
      </c>
      <c r="E2344" s="27" t="str">
        <f>IFERROR((F2343+D2344)*'Investment Calculator'!$C$7/'Investment Calculator'!$F$4,"")</f>
        <v/>
      </c>
      <c r="F2344" s="27" t="str">
        <f>IFERROR(ABS(FV('Investment Calculator'!$C$7/'Investment Calculator'!$F$4,'SIP Schedule'!C2344,'SIP Schedule'!D2344,,1)),"")</f>
        <v/>
      </c>
    </row>
    <row r="2345" spans="3:6" x14ac:dyDescent="0.3">
      <c r="C2345" s="1" t="str">
        <f>IF(C2344&lt;'Investment Calculator'!$C$8*'Investment Calculator'!$F$4,'SIP Schedule'!C2344+1,"")</f>
        <v/>
      </c>
      <c r="D2345" s="27" t="str">
        <f>IF(C2345&lt;='Investment Calculator'!$C$8*'Investment Calculator'!$F$4,'Investment Calculator'!$C$6,"")</f>
        <v/>
      </c>
      <c r="E2345" s="27" t="str">
        <f>IFERROR((F2344+D2345)*'Investment Calculator'!$C$7/'Investment Calculator'!$F$4,"")</f>
        <v/>
      </c>
      <c r="F2345" s="27" t="str">
        <f>IFERROR(ABS(FV('Investment Calculator'!$C$7/'Investment Calculator'!$F$4,'SIP Schedule'!C2345,'SIP Schedule'!D2345,,1)),"")</f>
        <v/>
      </c>
    </row>
    <row r="2346" spans="3:6" x14ac:dyDescent="0.3">
      <c r="C2346" s="1" t="str">
        <f>IF(C2345&lt;'Investment Calculator'!$C$8*'Investment Calculator'!$F$4,'SIP Schedule'!C2345+1,"")</f>
        <v/>
      </c>
      <c r="D2346" s="27" t="str">
        <f>IF(C2346&lt;='Investment Calculator'!$C$8*'Investment Calculator'!$F$4,'Investment Calculator'!$C$6,"")</f>
        <v/>
      </c>
      <c r="E2346" s="27" t="str">
        <f>IFERROR((F2345+D2346)*'Investment Calculator'!$C$7/'Investment Calculator'!$F$4,"")</f>
        <v/>
      </c>
      <c r="F2346" s="27" t="str">
        <f>IFERROR(ABS(FV('Investment Calculator'!$C$7/'Investment Calculator'!$F$4,'SIP Schedule'!C2346,'SIP Schedule'!D2346,,1)),"")</f>
        <v/>
      </c>
    </row>
    <row r="2347" spans="3:6" x14ac:dyDescent="0.3">
      <c r="C2347" s="1" t="str">
        <f>IF(C2346&lt;'Investment Calculator'!$C$8*'Investment Calculator'!$F$4,'SIP Schedule'!C2346+1,"")</f>
        <v/>
      </c>
      <c r="D2347" s="27" t="str">
        <f>IF(C2347&lt;='Investment Calculator'!$C$8*'Investment Calculator'!$F$4,'Investment Calculator'!$C$6,"")</f>
        <v/>
      </c>
      <c r="E2347" s="27" t="str">
        <f>IFERROR((F2346+D2347)*'Investment Calculator'!$C$7/'Investment Calculator'!$F$4,"")</f>
        <v/>
      </c>
      <c r="F2347" s="27" t="str">
        <f>IFERROR(ABS(FV('Investment Calculator'!$C$7/'Investment Calculator'!$F$4,'SIP Schedule'!C2347,'SIP Schedule'!D2347,,1)),"")</f>
        <v/>
      </c>
    </row>
    <row r="2348" spans="3:6" x14ac:dyDescent="0.3">
      <c r="C2348" s="1" t="str">
        <f>IF(C2347&lt;'Investment Calculator'!$C$8*'Investment Calculator'!$F$4,'SIP Schedule'!C2347+1,"")</f>
        <v/>
      </c>
      <c r="D2348" s="27" t="str">
        <f>IF(C2348&lt;='Investment Calculator'!$C$8*'Investment Calculator'!$F$4,'Investment Calculator'!$C$6,"")</f>
        <v/>
      </c>
      <c r="E2348" s="27" t="str">
        <f>IFERROR((F2347+D2348)*'Investment Calculator'!$C$7/'Investment Calculator'!$F$4,"")</f>
        <v/>
      </c>
      <c r="F2348" s="27" t="str">
        <f>IFERROR(ABS(FV('Investment Calculator'!$C$7/'Investment Calculator'!$F$4,'SIP Schedule'!C2348,'SIP Schedule'!D2348,,1)),"")</f>
        <v/>
      </c>
    </row>
    <row r="2349" spans="3:6" x14ac:dyDescent="0.3">
      <c r="C2349" s="1" t="str">
        <f>IF(C2348&lt;'Investment Calculator'!$C$8*'Investment Calculator'!$F$4,'SIP Schedule'!C2348+1,"")</f>
        <v/>
      </c>
      <c r="D2349" s="27" t="str">
        <f>IF(C2349&lt;='Investment Calculator'!$C$8*'Investment Calculator'!$F$4,'Investment Calculator'!$C$6,"")</f>
        <v/>
      </c>
      <c r="E2349" s="27" t="str">
        <f>IFERROR((F2348+D2349)*'Investment Calculator'!$C$7/'Investment Calculator'!$F$4,"")</f>
        <v/>
      </c>
      <c r="F2349" s="27" t="str">
        <f>IFERROR(ABS(FV('Investment Calculator'!$C$7/'Investment Calculator'!$F$4,'SIP Schedule'!C2349,'SIP Schedule'!D2349,,1)),"")</f>
        <v/>
      </c>
    </row>
    <row r="2350" spans="3:6" x14ac:dyDescent="0.3">
      <c r="C2350" s="1" t="str">
        <f>IF(C2349&lt;'Investment Calculator'!$C$8*'Investment Calculator'!$F$4,'SIP Schedule'!C2349+1,"")</f>
        <v/>
      </c>
      <c r="D2350" s="27" t="str">
        <f>IF(C2350&lt;='Investment Calculator'!$C$8*'Investment Calculator'!$F$4,'Investment Calculator'!$C$6,"")</f>
        <v/>
      </c>
      <c r="E2350" s="27" t="str">
        <f>IFERROR((F2349+D2350)*'Investment Calculator'!$C$7/'Investment Calculator'!$F$4,"")</f>
        <v/>
      </c>
      <c r="F2350" s="27" t="str">
        <f>IFERROR(ABS(FV('Investment Calculator'!$C$7/'Investment Calculator'!$F$4,'SIP Schedule'!C2350,'SIP Schedule'!D2350,,1)),"")</f>
        <v/>
      </c>
    </row>
    <row r="2351" spans="3:6" x14ac:dyDescent="0.3">
      <c r="C2351" s="1" t="str">
        <f>IF(C2350&lt;'Investment Calculator'!$C$8*'Investment Calculator'!$F$4,'SIP Schedule'!C2350+1,"")</f>
        <v/>
      </c>
      <c r="D2351" s="27" t="str">
        <f>IF(C2351&lt;='Investment Calculator'!$C$8*'Investment Calculator'!$F$4,'Investment Calculator'!$C$6,"")</f>
        <v/>
      </c>
      <c r="E2351" s="27" t="str">
        <f>IFERROR((F2350+D2351)*'Investment Calculator'!$C$7/'Investment Calculator'!$F$4,"")</f>
        <v/>
      </c>
      <c r="F2351" s="27" t="str">
        <f>IFERROR(ABS(FV('Investment Calculator'!$C$7/'Investment Calculator'!$F$4,'SIP Schedule'!C2351,'SIP Schedule'!D2351,,1)),"")</f>
        <v/>
      </c>
    </row>
    <row r="2352" spans="3:6" x14ac:dyDescent="0.3">
      <c r="C2352" s="1" t="str">
        <f>IF(C2351&lt;'Investment Calculator'!$C$8*'Investment Calculator'!$F$4,'SIP Schedule'!C2351+1,"")</f>
        <v/>
      </c>
      <c r="D2352" s="27" t="str">
        <f>IF(C2352&lt;='Investment Calculator'!$C$8*'Investment Calculator'!$F$4,'Investment Calculator'!$C$6,"")</f>
        <v/>
      </c>
      <c r="E2352" s="27" t="str">
        <f>IFERROR((F2351+D2352)*'Investment Calculator'!$C$7/'Investment Calculator'!$F$4,"")</f>
        <v/>
      </c>
      <c r="F2352" s="27" t="str">
        <f>IFERROR(ABS(FV('Investment Calculator'!$C$7/'Investment Calculator'!$F$4,'SIP Schedule'!C2352,'SIP Schedule'!D2352,,1)),"")</f>
        <v/>
      </c>
    </row>
    <row r="2353" spans="3:6" x14ac:dyDescent="0.3">
      <c r="C2353" s="1" t="str">
        <f>IF(C2352&lt;'Investment Calculator'!$C$8*'Investment Calculator'!$F$4,'SIP Schedule'!C2352+1,"")</f>
        <v/>
      </c>
      <c r="D2353" s="27" t="str">
        <f>IF(C2353&lt;='Investment Calculator'!$C$8*'Investment Calculator'!$F$4,'Investment Calculator'!$C$6,"")</f>
        <v/>
      </c>
      <c r="E2353" s="27" t="str">
        <f>IFERROR((F2352+D2353)*'Investment Calculator'!$C$7/'Investment Calculator'!$F$4,"")</f>
        <v/>
      </c>
      <c r="F2353" s="27" t="str">
        <f>IFERROR(ABS(FV('Investment Calculator'!$C$7/'Investment Calculator'!$F$4,'SIP Schedule'!C2353,'SIP Schedule'!D2353,,1)),"")</f>
        <v/>
      </c>
    </row>
    <row r="2354" spans="3:6" x14ac:dyDescent="0.3">
      <c r="C2354" s="1" t="str">
        <f>IF(C2353&lt;'Investment Calculator'!$C$8*'Investment Calculator'!$F$4,'SIP Schedule'!C2353+1,"")</f>
        <v/>
      </c>
      <c r="D2354" s="27" t="str">
        <f>IF(C2354&lt;='Investment Calculator'!$C$8*'Investment Calculator'!$F$4,'Investment Calculator'!$C$6,"")</f>
        <v/>
      </c>
      <c r="E2354" s="27" t="str">
        <f>IFERROR((F2353+D2354)*'Investment Calculator'!$C$7/'Investment Calculator'!$F$4,"")</f>
        <v/>
      </c>
      <c r="F2354" s="27" t="str">
        <f>IFERROR(ABS(FV('Investment Calculator'!$C$7/'Investment Calculator'!$F$4,'SIP Schedule'!C2354,'SIP Schedule'!D2354,,1)),"")</f>
        <v/>
      </c>
    </row>
    <row r="2355" spans="3:6" x14ac:dyDescent="0.3">
      <c r="C2355" s="1" t="str">
        <f>IF(C2354&lt;'Investment Calculator'!$C$8*'Investment Calculator'!$F$4,'SIP Schedule'!C2354+1,"")</f>
        <v/>
      </c>
      <c r="D2355" s="27" t="str">
        <f>IF(C2355&lt;='Investment Calculator'!$C$8*'Investment Calculator'!$F$4,'Investment Calculator'!$C$6,"")</f>
        <v/>
      </c>
      <c r="E2355" s="27" t="str">
        <f>IFERROR((F2354+D2355)*'Investment Calculator'!$C$7/'Investment Calculator'!$F$4,"")</f>
        <v/>
      </c>
      <c r="F2355" s="27" t="str">
        <f>IFERROR(ABS(FV('Investment Calculator'!$C$7/'Investment Calculator'!$F$4,'SIP Schedule'!C2355,'SIP Schedule'!D2355,,1)),"")</f>
        <v/>
      </c>
    </row>
    <row r="2356" spans="3:6" x14ac:dyDescent="0.3">
      <c r="C2356" s="1" t="str">
        <f>IF(C2355&lt;'Investment Calculator'!$C$8*'Investment Calculator'!$F$4,'SIP Schedule'!C2355+1,"")</f>
        <v/>
      </c>
      <c r="D2356" s="27" t="str">
        <f>IF(C2356&lt;='Investment Calculator'!$C$8*'Investment Calculator'!$F$4,'Investment Calculator'!$C$6,"")</f>
        <v/>
      </c>
      <c r="E2356" s="27" t="str">
        <f>IFERROR((F2355+D2356)*'Investment Calculator'!$C$7/'Investment Calculator'!$F$4,"")</f>
        <v/>
      </c>
      <c r="F2356" s="27" t="str">
        <f>IFERROR(ABS(FV('Investment Calculator'!$C$7/'Investment Calculator'!$F$4,'SIP Schedule'!C2356,'SIP Schedule'!D2356,,1)),"")</f>
        <v/>
      </c>
    </row>
    <row r="2357" spans="3:6" x14ac:dyDescent="0.3">
      <c r="C2357" s="1" t="str">
        <f>IF(C2356&lt;'Investment Calculator'!$C$8*'Investment Calculator'!$F$4,'SIP Schedule'!C2356+1,"")</f>
        <v/>
      </c>
      <c r="D2357" s="27" t="str">
        <f>IF(C2357&lt;='Investment Calculator'!$C$8*'Investment Calculator'!$F$4,'Investment Calculator'!$C$6,"")</f>
        <v/>
      </c>
      <c r="E2357" s="27" t="str">
        <f>IFERROR((F2356+D2357)*'Investment Calculator'!$C$7/'Investment Calculator'!$F$4,"")</f>
        <v/>
      </c>
      <c r="F2357" s="27" t="str">
        <f>IFERROR(ABS(FV('Investment Calculator'!$C$7/'Investment Calculator'!$F$4,'SIP Schedule'!C2357,'SIP Schedule'!D2357,,1)),"")</f>
        <v/>
      </c>
    </row>
    <row r="2358" spans="3:6" x14ac:dyDescent="0.3">
      <c r="C2358" s="1" t="str">
        <f>IF(C2357&lt;'Investment Calculator'!$C$8*'Investment Calculator'!$F$4,'SIP Schedule'!C2357+1,"")</f>
        <v/>
      </c>
      <c r="D2358" s="27" t="str">
        <f>IF(C2358&lt;='Investment Calculator'!$C$8*'Investment Calculator'!$F$4,'Investment Calculator'!$C$6,"")</f>
        <v/>
      </c>
      <c r="E2358" s="27" t="str">
        <f>IFERROR((F2357+D2358)*'Investment Calculator'!$C$7/'Investment Calculator'!$F$4,"")</f>
        <v/>
      </c>
      <c r="F2358" s="27" t="str">
        <f>IFERROR(ABS(FV('Investment Calculator'!$C$7/'Investment Calculator'!$F$4,'SIP Schedule'!C2358,'SIP Schedule'!D2358,,1)),"")</f>
        <v/>
      </c>
    </row>
    <row r="2359" spans="3:6" x14ac:dyDescent="0.3">
      <c r="C2359" s="1" t="str">
        <f>IF(C2358&lt;'Investment Calculator'!$C$8*'Investment Calculator'!$F$4,'SIP Schedule'!C2358+1,"")</f>
        <v/>
      </c>
      <c r="D2359" s="27" t="str">
        <f>IF(C2359&lt;='Investment Calculator'!$C$8*'Investment Calculator'!$F$4,'Investment Calculator'!$C$6,"")</f>
        <v/>
      </c>
      <c r="E2359" s="27" t="str">
        <f>IFERROR((F2358+D2359)*'Investment Calculator'!$C$7/'Investment Calculator'!$F$4,"")</f>
        <v/>
      </c>
      <c r="F2359" s="27" t="str">
        <f>IFERROR(ABS(FV('Investment Calculator'!$C$7/'Investment Calculator'!$F$4,'SIP Schedule'!C2359,'SIP Schedule'!D2359,,1)),"")</f>
        <v/>
      </c>
    </row>
    <row r="2360" spans="3:6" x14ac:dyDescent="0.3">
      <c r="C2360" s="1" t="str">
        <f>IF(C2359&lt;'Investment Calculator'!$C$8*'Investment Calculator'!$F$4,'SIP Schedule'!C2359+1,"")</f>
        <v/>
      </c>
      <c r="D2360" s="27" t="str">
        <f>IF(C2360&lt;='Investment Calculator'!$C$8*'Investment Calculator'!$F$4,'Investment Calculator'!$C$6,"")</f>
        <v/>
      </c>
      <c r="E2360" s="27" t="str">
        <f>IFERROR((F2359+D2360)*'Investment Calculator'!$C$7/'Investment Calculator'!$F$4,"")</f>
        <v/>
      </c>
      <c r="F2360" s="27" t="str">
        <f>IFERROR(ABS(FV('Investment Calculator'!$C$7/'Investment Calculator'!$F$4,'SIP Schedule'!C2360,'SIP Schedule'!D2360,,1)),"")</f>
        <v/>
      </c>
    </row>
    <row r="2361" spans="3:6" x14ac:dyDescent="0.3">
      <c r="C2361" s="1" t="str">
        <f>IF(C2360&lt;'Investment Calculator'!$C$8*'Investment Calculator'!$F$4,'SIP Schedule'!C2360+1,"")</f>
        <v/>
      </c>
      <c r="D2361" s="27" t="str">
        <f>IF(C2361&lt;='Investment Calculator'!$C$8*'Investment Calculator'!$F$4,'Investment Calculator'!$C$6,"")</f>
        <v/>
      </c>
      <c r="E2361" s="27" t="str">
        <f>IFERROR((F2360+D2361)*'Investment Calculator'!$C$7/'Investment Calculator'!$F$4,"")</f>
        <v/>
      </c>
      <c r="F2361" s="27" t="str">
        <f>IFERROR(ABS(FV('Investment Calculator'!$C$7/'Investment Calculator'!$F$4,'SIP Schedule'!C2361,'SIP Schedule'!D2361,,1)),"")</f>
        <v/>
      </c>
    </row>
    <row r="2362" spans="3:6" x14ac:dyDescent="0.3">
      <c r="C2362" s="1" t="str">
        <f>IF(C2361&lt;'Investment Calculator'!$C$8*'Investment Calculator'!$F$4,'SIP Schedule'!C2361+1,"")</f>
        <v/>
      </c>
      <c r="D2362" s="27" t="str">
        <f>IF(C2362&lt;='Investment Calculator'!$C$8*'Investment Calculator'!$F$4,'Investment Calculator'!$C$6,"")</f>
        <v/>
      </c>
      <c r="E2362" s="27" t="str">
        <f>IFERROR((F2361+D2362)*'Investment Calculator'!$C$7/'Investment Calculator'!$F$4,"")</f>
        <v/>
      </c>
      <c r="F2362" s="27" t="str">
        <f>IFERROR(ABS(FV('Investment Calculator'!$C$7/'Investment Calculator'!$F$4,'SIP Schedule'!C2362,'SIP Schedule'!D2362,,1)),"")</f>
        <v/>
      </c>
    </row>
    <row r="2363" spans="3:6" x14ac:dyDescent="0.3">
      <c r="C2363" s="1" t="str">
        <f>IF(C2362&lt;'Investment Calculator'!$C$8*'Investment Calculator'!$F$4,'SIP Schedule'!C2362+1,"")</f>
        <v/>
      </c>
      <c r="D2363" s="27" t="str">
        <f>IF(C2363&lt;='Investment Calculator'!$C$8*'Investment Calculator'!$F$4,'Investment Calculator'!$C$6,"")</f>
        <v/>
      </c>
      <c r="E2363" s="27" t="str">
        <f>IFERROR((F2362+D2363)*'Investment Calculator'!$C$7/'Investment Calculator'!$F$4,"")</f>
        <v/>
      </c>
      <c r="F2363" s="27" t="str">
        <f>IFERROR(ABS(FV('Investment Calculator'!$C$7/'Investment Calculator'!$F$4,'SIP Schedule'!C2363,'SIP Schedule'!D2363,,1)),"")</f>
        <v/>
      </c>
    </row>
    <row r="2364" spans="3:6" x14ac:dyDescent="0.3">
      <c r="C2364" s="1" t="str">
        <f>IF(C2363&lt;'Investment Calculator'!$C$8*'Investment Calculator'!$F$4,'SIP Schedule'!C2363+1,"")</f>
        <v/>
      </c>
      <c r="D2364" s="27" t="str">
        <f>IF(C2364&lt;='Investment Calculator'!$C$8*'Investment Calculator'!$F$4,'Investment Calculator'!$C$6,"")</f>
        <v/>
      </c>
      <c r="E2364" s="27" t="str">
        <f>IFERROR((F2363+D2364)*'Investment Calculator'!$C$7/'Investment Calculator'!$F$4,"")</f>
        <v/>
      </c>
      <c r="F2364" s="27" t="str">
        <f>IFERROR(ABS(FV('Investment Calculator'!$C$7/'Investment Calculator'!$F$4,'SIP Schedule'!C2364,'SIP Schedule'!D2364,,1)),"")</f>
        <v/>
      </c>
    </row>
    <row r="2365" spans="3:6" x14ac:dyDescent="0.3">
      <c r="C2365" s="1" t="str">
        <f>IF(C2364&lt;'Investment Calculator'!$C$8*'Investment Calculator'!$F$4,'SIP Schedule'!C2364+1,"")</f>
        <v/>
      </c>
      <c r="D2365" s="27" t="str">
        <f>IF(C2365&lt;='Investment Calculator'!$C$8*'Investment Calculator'!$F$4,'Investment Calculator'!$C$6,"")</f>
        <v/>
      </c>
      <c r="E2365" s="27" t="str">
        <f>IFERROR((F2364+D2365)*'Investment Calculator'!$C$7/'Investment Calculator'!$F$4,"")</f>
        <v/>
      </c>
      <c r="F2365" s="27" t="str">
        <f>IFERROR(ABS(FV('Investment Calculator'!$C$7/'Investment Calculator'!$F$4,'SIP Schedule'!C2365,'SIP Schedule'!D2365,,1)),"")</f>
        <v/>
      </c>
    </row>
    <row r="2366" spans="3:6" x14ac:dyDescent="0.3">
      <c r="C2366" s="1" t="str">
        <f>IF(C2365&lt;'Investment Calculator'!$C$8*'Investment Calculator'!$F$4,'SIP Schedule'!C2365+1,"")</f>
        <v/>
      </c>
      <c r="D2366" s="27" t="str">
        <f>IF(C2366&lt;='Investment Calculator'!$C$8*'Investment Calculator'!$F$4,'Investment Calculator'!$C$6,"")</f>
        <v/>
      </c>
      <c r="E2366" s="27" t="str">
        <f>IFERROR((F2365+D2366)*'Investment Calculator'!$C$7/'Investment Calculator'!$F$4,"")</f>
        <v/>
      </c>
      <c r="F2366" s="27" t="str">
        <f>IFERROR(ABS(FV('Investment Calculator'!$C$7/'Investment Calculator'!$F$4,'SIP Schedule'!C2366,'SIP Schedule'!D2366,,1)),"")</f>
        <v/>
      </c>
    </row>
    <row r="2367" spans="3:6" x14ac:dyDescent="0.3">
      <c r="C2367" s="1" t="str">
        <f>IF(C2366&lt;'Investment Calculator'!$C$8*'Investment Calculator'!$F$4,'SIP Schedule'!C2366+1,"")</f>
        <v/>
      </c>
      <c r="D2367" s="27" t="str">
        <f>IF(C2367&lt;='Investment Calculator'!$C$8*'Investment Calculator'!$F$4,'Investment Calculator'!$C$6,"")</f>
        <v/>
      </c>
      <c r="E2367" s="27" t="str">
        <f>IFERROR((F2366+D2367)*'Investment Calculator'!$C$7/'Investment Calculator'!$F$4,"")</f>
        <v/>
      </c>
      <c r="F2367" s="27" t="str">
        <f>IFERROR(ABS(FV('Investment Calculator'!$C$7/'Investment Calculator'!$F$4,'SIP Schedule'!C2367,'SIP Schedule'!D2367,,1)),"")</f>
        <v/>
      </c>
    </row>
    <row r="2368" spans="3:6" x14ac:dyDescent="0.3">
      <c r="C2368" s="1" t="str">
        <f>IF(C2367&lt;'Investment Calculator'!$C$8*'Investment Calculator'!$F$4,'SIP Schedule'!C2367+1,"")</f>
        <v/>
      </c>
      <c r="D2368" s="27" t="str">
        <f>IF(C2368&lt;='Investment Calculator'!$C$8*'Investment Calculator'!$F$4,'Investment Calculator'!$C$6,"")</f>
        <v/>
      </c>
      <c r="E2368" s="27" t="str">
        <f>IFERROR((F2367+D2368)*'Investment Calculator'!$C$7/'Investment Calculator'!$F$4,"")</f>
        <v/>
      </c>
      <c r="F2368" s="27" t="str">
        <f>IFERROR(ABS(FV('Investment Calculator'!$C$7/'Investment Calculator'!$F$4,'SIP Schedule'!C2368,'SIP Schedule'!D2368,,1)),"")</f>
        <v/>
      </c>
    </row>
    <row r="2369" spans="3:6" x14ac:dyDescent="0.3">
      <c r="C2369" s="1" t="str">
        <f>IF(C2368&lt;'Investment Calculator'!$C$8*'Investment Calculator'!$F$4,'SIP Schedule'!C2368+1,"")</f>
        <v/>
      </c>
      <c r="D2369" s="27" t="str">
        <f>IF(C2369&lt;='Investment Calculator'!$C$8*'Investment Calculator'!$F$4,'Investment Calculator'!$C$6,"")</f>
        <v/>
      </c>
      <c r="E2369" s="27" t="str">
        <f>IFERROR((F2368+D2369)*'Investment Calculator'!$C$7/'Investment Calculator'!$F$4,"")</f>
        <v/>
      </c>
      <c r="F2369" s="27" t="str">
        <f>IFERROR(ABS(FV('Investment Calculator'!$C$7/'Investment Calculator'!$F$4,'SIP Schedule'!C2369,'SIP Schedule'!D2369,,1)),"")</f>
        <v/>
      </c>
    </row>
    <row r="2370" spans="3:6" x14ac:dyDescent="0.3">
      <c r="C2370" s="1" t="str">
        <f>IF(C2369&lt;'Investment Calculator'!$C$8*'Investment Calculator'!$F$4,'SIP Schedule'!C2369+1,"")</f>
        <v/>
      </c>
      <c r="D2370" s="27" t="str">
        <f>IF(C2370&lt;='Investment Calculator'!$C$8*'Investment Calculator'!$F$4,'Investment Calculator'!$C$6,"")</f>
        <v/>
      </c>
      <c r="E2370" s="27" t="str">
        <f>IFERROR((F2369+D2370)*'Investment Calculator'!$C$7/'Investment Calculator'!$F$4,"")</f>
        <v/>
      </c>
      <c r="F2370" s="27" t="str">
        <f>IFERROR(ABS(FV('Investment Calculator'!$C$7/'Investment Calculator'!$F$4,'SIP Schedule'!C2370,'SIP Schedule'!D2370,,1)),"")</f>
        <v/>
      </c>
    </row>
    <row r="2371" spans="3:6" x14ac:dyDescent="0.3">
      <c r="C2371" s="1" t="str">
        <f>IF(C2370&lt;'Investment Calculator'!$C$8*'Investment Calculator'!$F$4,'SIP Schedule'!C2370+1,"")</f>
        <v/>
      </c>
      <c r="D2371" s="27" t="str">
        <f>IF(C2371&lt;='Investment Calculator'!$C$8*'Investment Calculator'!$F$4,'Investment Calculator'!$C$6,"")</f>
        <v/>
      </c>
      <c r="E2371" s="27" t="str">
        <f>IFERROR((F2370+D2371)*'Investment Calculator'!$C$7/'Investment Calculator'!$F$4,"")</f>
        <v/>
      </c>
      <c r="F2371" s="27" t="str">
        <f>IFERROR(ABS(FV('Investment Calculator'!$C$7/'Investment Calculator'!$F$4,'SIP Schedule'!C2371,'SIP Schedule'!D2371,,1)),"")</f>
        <v/>
      </c>
    </row>
    <row r="2372" spans="3:6" x14ac:dyDescent="0.3">
      <c r="C2372" s="1" t="str">
        <f>IF(C2371&lt;'Investment Calculator'!$C$8*'Investment Calculator'!$F$4,'SIP Schedule'!C2371+1,"")</f>
        <v/>
      </c>
      <c r="D2372" s="27" t="str">
        <f>IF(C2372&lt;='Investment Calculator'!$C$8*'Investment Calculator'!$F$4,'Investment Calculator'!$C$6,"")</f>
        <v/>
      </c>
      <c r="E2372" s="27" t="str">
        <f>IFERROR((F2371+D2372)*'Investment Calculator'!$C$7/'Investment Calculator'!$F$4,"")</f>
        <v/>
      </c>
      <c r="F2372" s="27" t="str">
        <f>IFERROR(ABS(FV('Investment Calculator'!$C$7/'Investment Calculator'!$F$4,'SIP Schedule'!C2372,'SIP Schedule'!D2372,,1)),"")</f>
        <v/>
      </c>
    </row>
    <row r="2373" spans="3:6" x14ac:dyDescent="0.3">
      <c r="C2373" s="1" t="str">
        <f>IF(C2372&lt;'Investment Calculator'!$C$8*'Investment Calculator'!$F$4,'SIP Schedule'!C2372+1,"")</f>
        <v/>
      </c>
      <c r="D2373" s="27" t="str">
        <f>IF(C2373&lt;='Investment Calculator'!$C$8*'Investment Calculator'!$F$4,'Investment Calculator'!$C$6,"")</f>
        <v/>
      </c>
      <c r="E2373" s="27" t="str">
        <f>IFERROR((F2372+D2373)*'Investment Calculator'!$C$7/'Investment Calculator'!$F$4,"")</f>
        <v/>
      </c>
      <c r="F2373" s="27" t="str">
        <f>IFERROR(ABS(FV('Investment Calculator'!$C$7/'Investment Calculator'!$F$4,'SIP Schedule'!C2373,'SIP Schedule'!D2373,,1)),"")</f>
        <v/>
      </c>
    </row>
    <row r="2374" spans="3:6" x14ac:dyDescent="0.3">
      <c r="C2374" s="1" t="str">
        <f>IF(C2373&lt;'Investment Calculator'!$C$8*'Investment Calculator'!$F$4,'SIP Schedule'!C2373+1,"")</f>
        <v/>
      </c>
      <c r="D2374" s="27" t="str">
        <f>IF(C2374&lt;='Investment Calculator'!$C$8*'Investment Calculator'!$F$4,'Investment Calculator'!$C$6,"")</f>
        <v/>
      </c>
      <c r="E2374" s="27" t="str">
        <f>IFERROR((F2373+D2374)*'Investment Calculator'!$C$7/'Investment Calculator'!$F$4,"")</f>
        <v/>
      </c>
      <c r="F2374" s="27" t="str">
        <f>IFERROR(ABS(FV('Investment Calculator'!$C$7/'Investment Calculator'!$F$4,'SIP Schedule'!C2374,'SIP Schedule'!D2374,,1)),"")</f>
        <v/>
      </c>
    </row>
    <row r="2375" spans="3:6" x14ac:dyDescent="0.3">
      <c r="C2375" s="1" t="str">
        <f>IF(C2374&lt;'Investment Calculator'!$C$8*'Investment Calculator'!$F$4,'SIP Schedule'!C2374+1,"")</f>
        <v/>
      </c>
      <c r="D2375" s="27" t="str">
        <f>IF(C2375&lt;='Investment Calculator'!$C$8*'Investment Calculator'!$F$4,'Investment Calculator'!$C$6,"")</f>
        <v/>
      </c>
      <c r="E2375" s="27" t="str">
        <f>IFERROR((F2374+D2375)*'Investment Calculator'!$C$7/'Investment Calculator'!$F$4,"")</f>
        <v/>
      </c>
      <c r="F2375" s="27" t="str">
        <f>IFERROR(ABS(FV('Investment Calculator'!$C$7/'Investment Calculator'!$F$4,'SIP Schedule'!C2375,'SIP Schedule'!D2375,,1)),"")</f>
        <v/>
      </c>
    </row>
    <row r="2376" spans="3:6" x14ac:dyDescent="0.3">
      <c r="C2376" s="1" t="str">
        <f>IF(C2375&lt;'Investment Calculator'!$C$8*'Investment Calculator'!$F$4,'SIP Schedule'!C2375+1,"")</f>
        <v/>
      </c>
      <c r="D2376" s="27" t="str">
        <f>IF(C2376&lt;='Investment Calculator'!$C$8*'Investment Calculator'!$F$4,'Investment Calculator'!$C$6,"")</f>
        <v/>
      </c>
      <c r="E2376" s="27" t="str">
        <f>IFERROR((F2375+D2376)*'Investment Calculator'!$C$7/'Investment Calculator'!$F$4,"")</f>
        <v/>
      </c>
      <c r="F2376" s="27" t="str">
        <f>IFERROR(ABS(FV('Investment Calculator'!$C$7/'Investment Calculator'!$F$4,'SIP Schedule'!C2376,'SIP Schedule'!D2376,,1)),"")</f>
        <v/>
      </c>
    </row>
    <row r="2377" spans="3:6" x14ac:dyDescent="0.3">
      <c r="C2377" s="1" t="str">
        <f>IF(C2376&lt;'Investment Calculator'!$C$8*'Investment Calculator'!$F$4,'SIP Schedule'!C2376+1,"")</f>
        <v/>
      </c>
      <c r="D2377" s="27" t="str">
        <f>IF(C2377&lt;='Investment Calculator'!$C$8*'Investment Calculator'!$F$4,'Investment Calculator'!$C$6,"")</f>
        <v/>
      </c>
      <c r="E2377" s="27" t="str">
        <f>IFERROR((F2376+D2377)*'Investment Calculator'!$C$7/'Investment Calculator'!$F$4,"")</f>
        <v/>
      </c>
      <c r="F2377" s="27" t="str">
        <f>IFERROR(ABS(FV('Investment Calculator'!$C$7/'Investment Calculator'!$F$4,'SIP Schedule'!C2377,'SIP Schedule'!D2377,,1)),"")</f>
        <v/>
      </c>
    </row>
    <row r="2378" spans="3:6" x14ac:dyDescent="0.3">
      <c r="C2378" s="1" t="str">
        <f>IF(C2377&lt;'Investment Calculator'!$C$8*'Investment Calculator'!$F$4,'SIP Schedule'!C2377+1,"")</f>
        <v/>
      </c>
      <c r="D2378" s="27" t="str">
        <f>IF(C2378&lt;='Investment Calculator'!$C$8*'Investment Calculator'!$F$4,'Investment Calculator'!$C$6,"")</f>
        <v/>
      </c>
      <c r="E2378" s="27" t="str">
        <f>IFERROR((F2377+D2378)*'Investment Calculator'!$C$7/'Investment Calculator'!$F$4,"")</f>
        <v/>
      </c>
      <c r="F2378" s="27" t="str">
        <f>IFERROR(ABS(FV('Investment Calculator'!$C$7/'Investment Calculator'!$F$4,'SIP Schedule'!C2378,'SIP Schedule'!D2378,,1)),"")</f>
        <v/>
      </c>
    </row>
    <row r="2379" spans="3:6" x14ac:dyDescent="0.3">
      <c r="C2379" s="1" t="str">
        <f>IF(C2378&lt;'Investment Calculator'!$C$8*'Investment Calculator'!$F$4,'SIP Schedule'!C2378+1,"")</f>
        <v/>
      </c>
      <c r="D2379" s="27" t="str">
        <f>IF(C2379&lt;='Investment Calculator'!$C$8*'Investment Calculator'!$F$4,'Investment Calculator'!$C$6,"")</f>
        <v/>
      </c>
      <c r="E2379" s="27" t="str">
        <f>IFERROR((F2378+D2379)*'Investment Calculator'!$C$7/'Investment Calculator'!$F$4,"")</f>
        <v/>
      </c>
      <c r="F2379" s="27" t="str">
        <f>IFERROR(ABS(FV('Investment Calculator'!$C$7/'Investment Calculator'!$F$4,'SIP Schedule'!C2379,'SIP Schedule'!D2379,,1)),"")</f>
        <v/>
      </c>
    </row>
    <row r="2380" spans="3:6" x14ac:dyDescent="0.3">
      <c r="C2380" s="1" t="str">
        <f>IF(C2379&lt;'Investment Calculator'!$C$8*'Investment Calculator'!$F$4,'SIP Schedule'!C2379+1,"")</f>
        <v/>
      </c>
      <c r="D2380" s="27" t="str">
        <f>IF(C2380&lt;='Investment Calculator'!$C$8*'Investment Calculator'!$F$4,'Investment Calculator'!$C$6,"")</f>
        <v/>
      </c>
      <c r="E2380" s="27" t="str">
        <f>IFERROR((F2379+D2380)*'Investment Calculator'!$C$7/'Investment Calculator'!$F$4,"")</f>
        <v/>
      </c>
      <c r="F2380" s="27" t="str">
        <f>IFERROR(ABS(FV('Investment Calculator'!$C$7/'Investment Calculator'!$F$4,'SIP Schedule'!C2380,'SIP Schedule'!D2380,,1)),"")</f>
        <v/>
      </c>
    </row>
    <row r="2381" spans="3:6" x14ac:dyDescent="0.3">
      <c r="C2381" s="1" t="str">
        <f>IF(C2380&lt;'Investment Calculator'!$C$8*'Investment Calculator'!$F$4,'SIP Schedule'!C2380+1,"")</f>
        <v/>
      </c>
      <c r="D2381" s="27" t="str">
        <f>IF(C2381&lt;='Investment Calculator'!$C$8*'Investment Calculator'!$F$4,'Investment Calculator'!$C$6,"")</f>
        <v/>
      </c>
      <c r="E2381" s="27" t="str">
        <f>IFERROR((F2380+D2381)*'Investment Calculator'!$C$7/'Investment Calculator'!$F$4,"")</f>
        <v/>
      </c>
      <c r="F2381" s="27" t="str">
        <f>IFERROR(ABS(FV('Investment Calculator'!$C$7/'Investment Calculator'!$F$4,'SIP Schedule'!C2381,'SIP Schedule'!D2381,,1)),"")</f>
        <v/>
      </c>
    </row>
    <row r="2382" spans="3:6" x14ac:dyDescent="0.3">
      <c r="C2382" s="1" t="str">
        <f>IF(C2381&lt;'Investment Calculator'!$C$8*'Investment Calculator'!$F$4,'SIP Schedule'!C2381+1,"")</f>
        <v/>
      </c>
      <c r="D2382" s="27" t="str">
        <f>IF(C2382&lt;='Investment Calculator'!$C$8*'Investment Calculator'!$F$4,'Investment Calculator'!$C$6,"")</f>
        <v/>
      </c>
      <c r="E2382" s="27" t="str">
        <f>IFERROR((F2381+D2382)*'Investment Calculator'!$C$7/'Investment Calculator'!$F$4,"")</f>
        <v/>
      </c>
      <c r="F2382" s="27" t="str">
        <f>IFERROR(ABS(FV('Investment Calculator'!$C$7/'Investment Calculator'!$F$4,'SIP Schedule'!C2382,'SIP Schedule'!D2382,,1)),"")</f>
        <v/>
      </c>
    </row>
    <row r="2383" spans="3:6" x14ac:dyDescent="0.3">
      <c r="C2383" s="1" t="str">
        <f>IF(C2382&lt;'Investment Calculator'!$C$8*'Investment Calculator'!$F$4,'SIP Schedule'!C2382+1,"")</f>
        <v/>
      </c>
      <c r="D2383" s="27" t="str">
        <f>IF(C2383&lt;='Investment Calculator'!$C$8*'Investment Calculator'!$F$4,'Investment Calculator'!$C$6,"")</f>
        <v/>
      </c>
      <c r="E2383" s="27" t="str">
        <f>IFERROR((F2382+D2383)*'Investment Calculator'!$C$7/'Investment Calculator'!$F$4,"")</f>
        <v/>
      </c>
      <c r="F2383" s="27" t="str">
        <f>IFERROR(ABS(FV('Investment Calculator'!$C$7/'Investment Calculator'!$F$4,'SIP Schedule'!C2383,'SIP Schedule'!D2383,,1)),"")</f>
        <v/>
      </c>
    </row>
    <row r="2384" spans="3:6" x14ac:dyDescent="0.3">
      <c r="C2384" s="1" t="str">
        <f>IF(C2383&lt;'Investment Calculator'!$C$8*'Investment Calculator'!$F$4,'SIP Schedule'!C2383+1,"")</f>
        <v/>
      </c>
      <c r="D2384" s="27" t="str">
        <f>IF(C2384&lt;='Investment Calculator'!$C$8*'Investment Calculator'!$F$4,'Investment Calculator'!$C$6,"")</f>
        <v/>
      </c>
      <c r="E2384" s="27" t="str">
        <f>IFERROR((F2383+D2384)*'Investment Calculator'!$C$7/'Investment Calculator'!$F$4,"")</f>
        <v/>
      </c>
      <c r="F2384" s="27" t="str">
        <f>IFERROR(ABS(FV('Investment Calculator'!$C$7/'Investment Calculator'!$F$4,'SIP Schedule'!C2384,'SIP Schedule'!D2384,,1)),"")</f>
        <v/>
      </c>
    </row>
    <row r="2385" spans="3:6" x14ac:dyDescent="0.3">
      <c r="C2385" s="1" t="str">
        <f>IF(C2384&lt;'Investment Calculator'!$C$8*'Investment Calculator'!$F$4,'SIP Schedule'!C2384+1,"")</f>
        <v/>
      </c>
      <c r="D2385" s="27" t="str">
        <f>IF(C2385&lt;='Investment Calculator'!$C$8*'Investment Calculator'!$F$4,'Investment Calculator'!$C$6,"")</f>
        <v/>
      </c>
      <c r="E2385" s="27" t="str">
        <f>IFERROR((F2384+D2385)*'Investment Calculator'!$C$7/'Investment Calculator'!$F$4,"")</f>
        <v/>
      </c>
      <c r="F2385" s="27" t="str">
        <f>IFERROR(ABS(FV('Investment Calculator'!$C$7/'Investment Calculator'!$F$4,'SIP Schedule'!C2385,'SIP Schedule'!D2385,,1)),"")</f>
        <v/>
      </c>
    </row>
    <row r="2386" spans="3:6" x14ac:dyDescent="0.3">
      <c r="C2386" s="1" t="str">
        <f>IF(C2385&lt;'Investment Calculator'!$C$8*'Investment Calculator'!$F$4,'SIP Schedule'!C2385+1,"")</f>
        <v/>
      </c>
      <c r="D2386" s="27" t="str">
        <f>IF(C2386&lt;='Investment Calculator'!$C$8*'Investment Calculator'!$F$4,'Investment Calculator'!$C$6,"")</f>
        <v/>
      </c>
      <c r="E2386" s="27" t="str">
        <f>IFERROR((F2385+D2386)*'Investment Calculator'!$C$7/'Investment Calculator'!$F$4,"")</f>
        <v/>
      </c>
      <c r="F2386" s="27" t="str">
        <f>IFERROR(ABS(FV('Investment Calculator'!$C$7/'Investment Calculator'!$F$4,'SIP Schedule'!C2386,'SIP Schedule'!D2386,,1)),"")</f>
        <v/>
      </c>
    </row>
    <row r="2387" spans="3:6" x14ac:dyDescent="0.3">
      <c r="C2387" s="1" t="str">
        <f>IF(C2386&lt;'Investment Calculator'!$C$8*'Investment Calculator'!$F$4,'SIP Schedule'!C2386+1,"")</f>
        <v/>
      </c>
      <c r="D2387" s="27" t="str">
        <f>IF(C2387&lt;='Investment Calculator'!$C$8*'Investment Calculator'!$F$4,'Investment Calculator'!$C$6,"")</f>
        <v/>
      </c>
      <c r="E2387" s="27" t="str">
        <f>IFERROR((F2386+D2387)*'Investment Calculator'!$C$7/'Investment Calculator'!$F$4,"")</f>
        <v/>
      </c>
      <c r="F2387" s="27" t="str">
        <f>IFERROR(ABS(FV('Investment Calculator'!$C$7/'Investment Calculator'!$F$4,'SIP Schedule'!C2387,'SIP Schedule'!D2387,,1)),"")</f>
        <v/>
      </c>
    </row>
    <row r="2388" spans="3:6" x14ac:dyDescent="0.3">
      <c r="C2388" s="1" t="str">
        <f>IF(C2387&lt;'Investment Calculator'!$C$8*'Investment Calculator'!$F$4,'SIP Schedule'!C2387+1,"")</f>
        <v/>
      </c>
      <c r="D2388" s="27" t="str">
        <f>IF(C2388&lt;='Investment Calculator'!$C$8*'Investment Calculator'!$F$4,'Investment Calculator'!$C$6,"")</f>
        <v/>
      </c>
      <c r="E2388" s="27" t="str">
        <f>IFERROR((F2387+D2388)*'Investment Calculator'!$C$7/'Investment Calculator'!$F$4,"")</f>
        <v/>
      </c>
      <c r="F2388" s="27" t="str">
        <f>IFERROR(ABS(FV('Investment Calculator'!$C$7/'Investment Calculator'!$F$4,'SIP Schedule'!C2388,'SIP Schedule'!D2388,,1)),"")</f>
        <v/>
      </c>
    </row>
    <row r="2389" spans="3:6" x14ac:dyDescent="0.3">
      <c r="C2389" s="1" t="str">
        <f>IF(C2388&lt;'Investment Calculator'!$C$8*'Investment Calculator'!$F$4,'SIP Schedule'!C2388+1,"")</f>
        <v/>
      </c>
      <c r="D2389" s="27" t="str">
        <f>IF(C2389&lt;='Investment Calculator'!$C$8*'Investment Calculator'!$F$4,'Investment Calculator'!$C$6,"")</f>
        <v/>
      </c>
      <c r="E2389" s="27" t="str">
        <f>IFERROR((F2388+D2389)*'Investment Calculator'!$C$7/'Investment Calculator'!$F$4,"")</f>
        <v/>
      </c>
      <c r="F2389" s="27" t="str">
        <f>IFERROR(ABS(FV('Investment Calculator'!$C$7/'Investment Calculator'!$F$4,'SIP Schedule'!C2389,'SIP Schedule'!D2389,,1)),"")</f>
        <v/>
      </c>
    </row>
    <row r="2390" spans="3:6" x14ac:dyDescent="0.3">
      <c r="C2390" s="1" t="str">
        <f>IF(C2389&lt;'Investment Calculator'!$C$8*'Investment Calculator'!$F$4,'SIP Schedule'!C2389+1,"")</f>
        <v/>
      </c>
      <c r="D2390" s="27" t="str">
        <f>IF(C2390&lt;='Investment Calculator'!$C$8*'Investment Calculator'!$F$4,'Investment Calculator'!$C$6,"")</f>
        <v/>
      </c>
      <c r="E2390" s="27" t="str">
        <f>IFERROR((F2389+D2390)*'Investment Calculator'!$C$7/'Investment Calculator'!$F$4,"")</f>
        <v/>
      </c>
      <c r="F2390" s="27" t="str">
        <f>IFERROR(ABS(FV('Investment Calculator'!$C$7/'Investment Calculator'!$F$4,'SIP Schedule'!C2390,'SIP Schedule'!D2390,,1)),"")</f>
        <v/>
      </c>
    </row>
    <row r="2391" spans="3:6" x14ac:dyDescent="0.3">
      <c r="C2391" s="1" t="str">
        <f>IF(C2390&lt;'Investment Calculator'!$C$8*'Investment Calculator'!$F$4,'SIP Schedule'!C2390+1,"")</f>
        <v/>
      </c>
      <c r="D2391" s="27" t="str">
        <f>IF(C2391&lt;='Investment Calculator'!$C$8*'Investment Calculator'!$F$4,'Investment Calculator'!$C$6,"")</f>
        <v/>
      </c>
      <c r="E2391" s="27" t="str">
        <f>IFERROR((F2390+D2391)*'Investment Calculator'!$C$7/'Investment Calculator'!$F$4,"")</f>
        <v/>
      </c>
      <c r="F2391" s="27" t="str">
        <f>IFERROR(ABS(FV('Investment Calculator'!$C$7/'Investment Calculator'!$F$4,'SIP Schedule'!C2391,'SIP Schedule'!D2391,,1)),"")</f>
        <v/>
      </c>
    </row>
    <row r="2392" spans="3:6" x14ac:dyDescent="0.3">
      <c r="C2392" s="1" t="str">
        <f>IF(C2391&lt;'Investment Calculator'!$C$8*'Investment Calculator'!$F$4,'SIP Schedule'!C2391+1,"")</f>
        <v/>
      </c>
      <c r="D2392" s="27" t="str">
        <f>IF(C2392&lt;='Investment Calculator'!$C$8*'Investment Calculator'!$F$4,'Investment Calculator'!$C$6,"")</f>
        <v/>
      </c>
      <c r="E2392" s="27" t="str">
        <f>IFERROR((F2391+D2392)*'Investment Calculator'!$C$7/'Investment Calculator'!$F$4,"")</f>
        <v/>
      </c>
      <c r="F2392" s="27" t="str">
        <f>IFERROR(ABS(FV('Investment Calculator'!$C$7/'Investment Calculator'!$F$4,'SIP Schedule'!C2392,'SIP Schedule'!D2392,,1)),"")</f>
        <v/>
      </c>
    </row>
    <row r="2393" spans="3:6" x14ac:dyDescent="0.3">
      <c r="C2393" s="1" t="str">
        <f>IF(C2392&lt;'Investment Calculator'!$C$8*'Investment Calculator'!$F$4,'SIP Schedule'!C2392+1,"")</f>
        <v/>
      </c>
      <c r="D2393" s="27" t="str">
        <f>IF(C2393&lt;='Investment Calculator'!$C$8*'Investment Calculator'!$F$4,'Investment Calculator'!$C$6,"")</f>
        <v/>
      </c>
      <c r="E2393" s="27" t="str">
        <f>IFERROR((F2392+D2393)*'Investment Calculator'!$C$7/'Investment Calculator'!$F$4,"")</f>
        <v/>
      </c>
      <c r="F2393" s="27" t="str">
        <f>IFERROR(ABS(FV('Investment Calculator'!$C$7/'Investment Calculator'!$F$4,'SIP Schedule'!C2393,'SIP Schedule'!D2393,,1)),"")</f>
        <v/>
      </c>
    </row>
    <row r="2394" spans="3:6" x14ac:dyDescent="0.3">
      <c r="C2394" s="1" t="str">
        <f>IF(C2393&lt;'Investment Calculator'!$C$8*'Investment Calculator'!$F$4,'SIP Schedule'!C2393+1,"")</f>
        <v/>
      </c>
      <c r="D2394" s="27" t="str">
        <f>IF(C2394&lt;='Investment Calculator'!$C$8*'Investment Calculator'!$F$4,'Investment Calculator'!$C$6,"")</f>
        <v/>
      </c>
      <c r="E2394" s="27" t="str">
        <f>IFERROR((F2393+D2394)*'Investment Calculator'!$C$7/'Investment Calculator'!$F$4,"")</f>
        <v/>
      </c>
      <c r="F2394" s="27" t="str">
        <f>IFERROR(ABS(FV('Investment Calculator'!$C$7/'Investment Calculator'!$F$4,'SIP Schedule'!C2394,'SIP Schedule'!D2394,,1)),"")</f>
        <v/>
      </c>
    </row>
    <row r="2395" spans="3:6" x14ac:dyDescent="0.3">
      <c r="C2395" s="1" t="str">
        <f>IF(C2394&lt;'Investment Calculator'!$C$8*'Investment Calculator'!$F$4,'SIP Schedule'!C2394+1,"")</f>
        <v/>
      </c>
      <c r="D2395" s="27" t="str">
        <f>IF(C2395&lt;='Investment Calculator'!$C$8*'Investment Calculator'!$F$4,'Investment Calculator'!$C$6,"")</f>
        <v/>
      </c>
      <c r="E2395" s="27" t="str">
        <f>IFERROR((F2394+D2395)*'Investment Calculator'!$C$7/'Investment Calculator'!$F$4,"")</f>
        <v/>
      </c>
      <c r="F2395" s="27" t="str">
        <f>IFERROR(ABS(FV('Investment Calculator'!$C$7/'Investment Calculator'!$F$4,'SIP Schedule'!C2395,'SIP Schedule'!D2395,,1)),"")</f>
        <v/>
      </c>
    </row>
    <row r="2396" spans="3:6" x14ac:dyDescent="0.3">
      <c r="C2396" s="1" t="str">
        <f>IF(C2395&lt;'Investment Calculator'!$C$8*'Investment Calculator'!$F$4,'SIP Schedule'!C2395+1,"")</f>
        <v/>
      </c>
      <c r="D2396" s="27" t="str">
        <f>IF(C2396&lt;='Investment Calculator'!$C$8*'Investment Calculator'!$F$4,'Investment Calculator'!$C$6,"")</f>
        <v/>
      </c>
      <c r="E2396" s="27" t="str">
        <f>IFERROR((F2395+D2396)*'Investment Calculator'!$C$7/'Investment Calculator'!$F$4,"")</f>
        <v/>
      </c>
      <c r="F2396" s="27" t="str">
        <f>IFERROR(ABS(FV('Investment Calculator'!$C$7/'Investment Calculator'!$F$4,'SIP Schedule'!C2396,'SIP Schedule'!D2396,,1)),"")</f>
        <v/>
      </c>
    </row>
    <row r="2397" spans="3:6" x14ac:dyDescent="0.3">
      <c r="C2397" s="1" t="str">
        <f>IF(C2396&lt;'Investment Calculator'!$C$8*'Investment Calculator'!$F$4,'SIP Schedule'!C2396+1,"")</f>
        <v/>
      </c>
      <c r="D2397" s="27" t="str">
        <f>IF(C2397&lt;='Investment Calculator'!$C$8*'Investment Calculator'!$F$4,'Investment Calculator'!$C$6,"")</f>
        <v/>
      </c>
      <c r="E2397" s="27" t="str">
        <f>IFERROR((F2396+D2397)*'Investment Calculator'!$C$7/'Investment Calculator'!$F$4,"")</f>
        <v/>
      </c>
      <c r="F2397" s="27" t="str">
        <f>IFERROR(ABS(FV('Investment Calculator'!$C$7/'Investment Calculator'!$F$4,'SIP Schedule'!C2397,'SIP Schedule'!D2397,,1)),"")</f>
        <v/>
      </c>
    </row>
    <row r="2398" spans="3:6" x14ac:dyDescent="0.3">
      <c r="C2398" s="1" t="str">
        <f>IF(C2397&lt;'Investment Calculator'!$C$8*'Investment Calculator'!$F$4,'SIP Schedule'!C2397+1,"")</f>
        <v/>
      </c>
      <c r="D2398" s="27" t="str">
        <f>IF(C2398&lt;='Investment Calculator'!$C$8*'Investment Calculator'!$F$4,'Investment Calculator'!$C$6,"")</f>
        <v/>
      </c>
      <c r="E2398" s="27" t="str">
        <f>IFERROR((F2397+D2398)*'Investment Calculator'!$C$7/'Investment Calculator'!$F$4,"")</f>
        <v/>
      </c>
      <c r="F2398" s="27" t="str">
        <f>IFERROR(ABS(FV('Investment Calculator'!$C$7/'Investment Calculator'!$F$4,'SIP Schedule'!C2398,'SIP Schedule'!D2398,,1)),"")</f>
        <v/>
      </c>
    </row>
    <row r="2399" spans="3:6" x14ac:dyDescent="0.3">
      <c r="C2399" s="1" t="str">
        <f>IF(C2398&lt;'Investment Calculator'!$C$8*'Investment Calculator'!$F$4,'SIP Schedule'!C2398+1,"")</f>
        <v/>
      </c>
      <c r="D2399" s="27" t="str">
        <f>IF(C2399&lt;='Investment Calculator'!$C$8*'Investment Calculator'!$F$4,'Investment Calculator'!$C$6,"")</f>
        <v/>
      </c>
      <c r="E2399" s="27" t="str">
        <f>IFERROR((F2398+D2399)*'Investment Calculator'!$C$7/'Investment Calculator'!$F$4,"")</f>
        <v/>
      </c>
      <c r="F2399" s="27" t="str">
        <f>IFERROR(ABS(FV('Investment Calculator'!$C$7/'Investment Calculator'!$F$4,'SIP Schedule'!C2399,'SIP Schedule'!D2399,,1)),"")</f>
        <v/>
      </c>
    </row>
    <row r="2400" spans="3:6" x14ac:dyDescent="0.3">
      <c r="C2400" s="1" t="str">
        <f>IF(C2399&lt;'Investment Calculator'!$C$8*'Investment Calculator'!$F$4,'SIP Schedule'!C2399+1,"")</f>
        <v/>
      </c>
      <c r="D2400" s="27" t="str">
        <f>IF(C2400&lt;='Investment Calculator'!$C$8*'Investment Calculator'!$F$4,'Investment Calculator'!$C$6,"")</f>
        <v/>
      </c>
      <c r="E2400" s="27" t="str">
        <f>IFERROR((F2399+D2400)*'Investment Calculator'!$C$7/'Investment Calculator'!$F$4,"")</f>
        <v/>
      </c>
      <c r="F2400" s="27" t="str">
        <f>IFERROR(ABS(FV('Investment Calculator'!$C$7/'Investment Calculator'!$F$4,'SIP Schedule'!C2400,'SIP Schedule'!D2400,,1)),"")</f>
        <v/>
      </c>
    </row>
    <row r="2401" spans="3:6" x14ac:dyDescent="0.3">
      <c r="C2401" s="1" t="str">
        <f>IF(C2400&lt;'Investment Calculator'!$C$8*'Investment Calculator'!$F$4,'SIP Schedule'!C2400+1,"")</f>
        <v/>
      </c>
      <c r="D2401" s="27" t="str">
        <f>IF(C2401&lt;='Investment Calculator'!$C$8*'Investment Calculator'!$F$4,'Investment Calculator'!$C$6,"")</f>
        <v/>
      </c>
      <c r="E2401" s="27" t="str">
        <f>IFERROR((F2400+D2401)*'Investment Calculator'!$C$7/'Investment Calculator'!$F$4,"")</f>
        <v/>
      </c>
      <c r="F2401" s="27" t="str">
        <f>IFERROR(ABS(FV('Investment Calculator'!$C$7/'Investment Calculator'!$F$4,'SIP Schedule'!C2401,'SIP Schedule'!D2401,,1)),"")</f>
        <v/>
      </c>
    </row>
    <row r="2402" spans="3:6" x14ac:dyDescent="0.3">
      <c r="C2402" s="1" t="str">
        <f>IF(C2401&lt;'Investment Calculator'!$C$8*'Investment Calculator'!$F$4,'SIP Schedule'!C2401+1,"")</f>
        <v/>
      </c>
      <c r="D2402" s="27" t="str">
        <f>IF(C2402&lt;='Investment Calculator'!$C$8*'Investment Calculator'!$F$4,'Investment Calculator'!$C$6,"")</f>
        <v/>
      </c>
      <c r="E2402" s="27" t="str">
        <f>IFERROR((F2401+D2402)*'Investment Calculator'!$C$7/'Investment Calculator'!$F$4,"")</f>
        <v/>
      </c>
      <c r="F2402" s="27" t="str">
        <f>IFERROR(ABS(FV('Investment Calculator'!$C$7/'Investment Calculator'!$F$4,'SIP Schedule'!C2402,'SIP Schedule'!D2402,,1)),"")</f>
        <v/>
      </c>
    </row>
    <row r="2403" spans="3:6" x14ac:dyDescent="0.3">
      <c r="C2403" s="1" t="str">
        <f>IF(C2402&lt;'Investment Calculator'!$C$8*'Investment Calculator'!$F$4,'SIP Schedule'!C2402+1,"")</f>
        <v/>
      </c>
      <c r="D2403" s="27" t="str">
        <f>IF(C2403&lt;='Investment Calculator'!$C$8*'Investment Calculator'!$F$4,'Investment Calculator'!$C$6,"")</f>
        <v/>
      </c>
      <c r="E2403" s="27" t="str">
        <f>IFERROR((F2402+D2403)*'Investment Calculator'!$C$7/'Investment Calculator'!$F$4,"")</f>
        <v/>
      </c>
      <c r="F2403" s="27" t="str">
        <f>IFERROR(ABS(FV('Investment Calculator'!$C$7/'Investment Calculator'!$F$4,'SIP Schedule'!C2403,'SIP Schedule'!D2403,,1)),"")</f>
        <v/>
      </c>
    </row>
    <row r="2404" spans="3:6" x14ac:dyDescent="0.3">
      <c r="C2404" s="1" t="str">
        <f>IF(C2403&lt;'Investment Calculator'!$C$8*'Investment Calculator'!$F$4,'SIP Schedule'!C2403+1,"")</f>
        <v/>
      </c>
      <c r="D2404" s="27" t="str">
        <f>IF(C2404&lt;='Investment Calculator'!$C$8*'Investment Calculator'!$F$4,'Investment Calculator'!$C$6,"")</f>
        <v/>
      </c>
      <c r="E2404" s="27" t="str">
        <f>IFERROR((F2403+D2404)*'Investment Calculator'!$C$7/'Investment Calculator'!$F$4,"")</f>
        <v/>
      </c>
      <c r="F2404" s="27" t="str">
        <f>IFERROR(ABS(FV('Investment Calculator'!$C$7/'Investment Calculator'!$F$4,'SIP Schedule'!C2404,'SIP Schedule'!D2404,,1)),"")</f>
        <v/>
      </c>
    </row>
    <row r="2405" spans="3:6" x14ac:dyDescent="0.3">
      <c r="C2405" s="1" t="str">
        <f>IF(C2404&lt;'Investment Calculator'!$C$8*'Investment Calculator'!$F$4,'SIP Schedule'!C2404+1,"")</f>
        <v/>
      </c>
      <c r="D2405" s="27" t="str">
        <f>IF(C2405&lt;='Investment Calculator'!$C$8*'Investment Calculator'!$F$4,'Investment Calculator'!$C$6,"")</f>
        <v/>
      </c>
      <c r="E2405" s="27" t="str">
        <f>IFERROR((F2404+D2405)*'Investment Calculator'!$C$7/'Investment Calculator'!$F$4,"")</f>
        <v/>
      </c>
      <c r="F2405" s="27" t="str">
        <f>IFERROR(ABS(FV('Investment Calculator'!$C$7/'Investment Calculator'!$F$4,'SIP Schedule'!C2405,'SIP Schedule'!D2405,,1)),"")</f>
        <v/>
      </c>
    </row>
    <row r="2406" spans="3:6" x14ac:dyDescent="0.3">
      <c r="C2406" s="1" t="str">
        <f>IF(C2405&lt;'Investment Calculator'!$C$8*'Investment Calculator'!$F$4,'SIP Schedule'!C2405+1,"")</f>
        <v/>
      </c>
      <c r="D2406" s="27" t="str">
        <f>IF(C2406&lt;='Investment Calculator'!$C$8*'Investment Calculator'!$F$4,'Investment Calculator'!$C$6,"")</f>
        <v/>
      </c>
      <c r="E2406" s="27" t="str">
        <f>IFERROR((F2405+D2406)*'Investment Calculator'!$C$7/'Investment Calculator'!$F$4,"")</f>
        <v/>
      </c>
      <c r="F2406" s="27" t="str">
        <f>IFERROR(ABS(FV('Investment Calculator'!$C$7/'Investment Calculator'!$F$4,'SIP Schedule'!C2406,'SIP Schedule'!D2406,,1)),"")</f>
        <v/>
      </c>
    </row>
    <row r="2407" spans="3:6" x14ac:dyDescent="0.3">
      <c r="C2407" s="1" t="str">
        <f>IF(C2406&lt;'Investment Calculator'!$C$8*'Investment Calculator'!$F$4,'SIP Schedule'!C2406+1,"")</f>
        <v/>
      </c>
      <c r="D2407" s="27" t="str">
        <f>IF(C2407&lt;='Investment Calculator'!$C$8*'Investment Calculator'!$F$4,'Investment Calculator'!$C$6,"")</f>
        <v/>
      </c>
      <c r="E2407" s="27" t="str">
        <f>IFERROR((F2406+D2407)*'Investment Calculator'!$C$7/'Investment Calculator'!$F$4,"")</f>
        <v/>
      </c>
      <c r="F2407" s="27" t="str">
        <f>IFERROR(ABS(FV('Investment Calculator'!$C$7/'Investment Calculator'!$F$4,'SIP Schedule'!C2407,'SIP Schedule'!D2407,,1)),"")</f>
        <v/>
      </c>
    </row>
    <row r="2408" spans="3:6" x14ac:dyDescent="0.3">
      <c r="C2408" s="1" t="str">
        <f>IF(C2407&lt;'Investment Calculator'!$C$8*'Investment Calculator'!$F$4,'SIP Schedule'!C2407+1,"")</f>
        <v/>
      </c>
      <c r="D2408" s="27" t="str">
        <f>IF(C2408&lt;='Investment Calculator'!$C$8*'Investment Calculator'!$F$4,'Investment Calculator'!$C$6,"")</f>
        <v/>
      </c>
      <c r="E2408" s="27" t="str">
        <f>IFERROR((F2407+D2408)*'Investment Calculator'!$C$7/'Investment Calculator'!$F$4,"")</f>
        <v/>
      </c>
      <c r="F2408" s="27" t="str">
        <f>IFERROR(ABS(FV('Investment Calculator'!$C$7/'Investment Calculator'!$F$4,'SIP Schedule'!C2408,'SIP Schedule'!D2408,,1)),"")</f>
        <v/>
      </c>
    </row>
    <row r="2409" spans="3:6" x14ac:dyDescent="0.3">
      <c r="C2409" s="1" t="str">
        <f>IF(C2408&lt;'Investment Calculator'!$C$8*'Investment Calculator'!$F$4,'SIP Schedule'!C2408+1,"")</f>
        <v/>
      </c>
      <c r="D2409" s="27" t="str">
        <f>IF(C2409&lt;='Investment Calculator'!$C$8*'Investment Calculator'!$F$4,'Investment Calculator'!$C$6,"")</f>
        <v/>
      </c>
      <c r="E2409" s="27" t="str">
        <f>IFERROR((F2408+D2409)*'Investment Calculator'!$C$7/'Investment Calculator'!$F$4,"")</f>
        <v/>
      </c>
      <c r="F2409" s="27" t="str">
        <f>IFERROR(ABS(FV('Investment Calculator'!$C$7/'Investment Calculator'!$F$4,'SIP Schedule'!C2409,'SIP Schedule'!D2409,,1)),"")</f>
        <v/>
      </c>
    </row>
    <row r="2410" spans="3:6" x14ac:dyDescent="0.3">
      <c r="C2410" s="1" t="str">
        <f>IF(C2409&lt;'Investment Calculator'!$C$8*'Investment Calculator'!$F$4,'SIP Schedule'!C2409+1,"")</f>
        <v/>
      </c>
      <c r="D2410" s="27" t="str">
        <f>IF(C2410&lt;='Investment Calculator'!$C$8*'Investment Calculator'!$F$4,'Investment Calculator'!$C$6,"")</f>
        <v/>
      </c>
      <c r="E2410" s="27" t="str">
        <f>IFERROR((F2409+D2410)*'Investment Calculator'!$C$7/'Investment Calculator'!$F$4,"")</f>
        <v/>
      </c>
      <c r="F2410" s="27" t="str">
        <f>IFERROR(ABS(FV('Investment Calculator'!$C$7/'Investment Calculator'!$F$4,'SIP Schedule'!C2410,'SIP Schedule'!D2410,,1)),"")</f>
        <v/>
      </c>
    </row>
    <row r="2411" spans="3:6" x14ac:dyDescent="0.3">
      <c r="C2411" s="1" t="str">
        <f>IF(C2410&lt;'Investment Calculator'!$C$8*'Investment Calculator'!$F$4,'SIP Schedule'!C2410+1,"")</f>
        <v/>
      </c>
      <c r="D2411" s="27" t="str">
        <f>IF(C2411&lt;='Investment Calculator'!$C$8*'Investment Calculator'!$F$4,'Investment Calculator'!$C$6,"")</f>
        <v/>
      </c>
      <c r="E2411" s="27" t="str">
        <f>IFERROR((F2410+D2411)*'Investment Calculator'!$C$7/'Investment Calculator'!$F$4,"")</f>
        <v/>
      </c>
      <c r="F2411" s="27" t="str">
        <f>IFERROR(ABS(FV('Investment Calculator'!$C$7/'Investment Calculator'!$F$4,'SIP Schedule'!C2411,'SIP Schedule'!D2411,,1)),"")</f>
        <v/>
      </c>
    </row>
    <row r="2412" spans="3:6" x14ac:dyDescent="0.3">
      <c r="C2412" s="1" t="str">
        <f>IF(C2411&lt;'Investment Calculator'!$C$8*'Investment Calculator'!$F$4,'SIP Schedule'!C2411+1,"")</f>
        <v/>
      </c>
      <c r="D2412" s="27" t="str">
        <f>IF(C2412&lt;='Investment Calculator'!$C$8*'Investment Calculator'!$F$4,'Investment Calculator'!$C$6,"")</f>
        <v/>
      </c>
      <c r="E2412" s="27" t="str">
        <f>IFERROR((F2411+D2412)*'Investment Calculator'!$C$7/'Investment Calculator'!$F$4,"")</f>
        <v/>
      </c>
      <c r="F2412" s="27" t="str">
        <f>IFERROR(ABS(FV('Investment Calculator'!$C$7/'Investment Calculator'!$F$4,'SIP Schedule'!C2412,'SIP Schedule'!D2412,,1)),"")</f>
        <v/>
      </c>
    </row>
    <row r="2413" spans="3:6" x14ac:dyDescent="0.3">
      <c r="C2413" s="1" t="str">
        <f>IF(C2412&lt;'Investment Calculator'!$C$8*'Investment Calculator'!$F$4,'SIP Schedule'!C2412+1,"")</f>
        <v/>
      </c>
      <c r="D2413" s="27" t="str">
        <f>IF(C2413&lt;='Investment Calculator'!$C$8*'Investment Calculator'!$F$4,'Investment Calculator'!$C$6,"")</f>
        <v/>
      </c>
      <c r="E2413" s="27" t="str">
        <f>IFERROR((F2412+D2413)*'Investment Calculator'!$C$7/'Investment Calculator'!$F$4,"")</f>
        <v/>
      </c>
      <c r="F2413" s="27" t="str">
        <f>IFERROR(ABS(FV('Investment Calculator'!$C$7/'Investment Calculator'!$F$4,'SIP Schedule'!C2413,'SIP Schedule'!D2413,,1)),"")</f>
        <v/>
      </c>
    </row>
    <row r="2414" spans="3:6" x14ac:dyDescent="0.3">
      <c r="C2414" s="1" t="str">
        <f>IF(C2413&lt;'Investment Calculator'!$C$8*'Investment Calculator'!$F$4,'SIP Schedule'!C2413+1,"")</f>
        <v/>
      </c>
      <c r="D2414" s="27" t="str">
        <f>IF(C2414&lt;='Investment Calculator'!$C$8*'Investment Calculator'!$F$4,'Investment Calculator'!$C$6,"")</f>
        <v/>
      </c>
      <c r="E2414" s="27" t="str">
        <f>IFERROR((F2413+D2414)*'Investment Calculator'!$C$7/'Investment Calculator'!$F$4,"")</f>
        <v/>
      </c>
      <c r="F2414" s="27" t="str">
        <f>IFERROR(ABS(FV('Investment Calculator'!$C$7/'Investment Calculator'!$F$4,'SIP Schedule'!C2414,'SIP Schedule'!D2414,,1)),"")</f>
        <v/>
      </c>
    </row>
    <row r="2415" spans="3:6" x14ac:dyDescent="0.3">
      <c r="C2415" s="1" t="str">
        <f>IF(C2414&lt;'Investment Calculator'!$C$8*'Investment Calculator'!$F$4,'SIP Schedule'!C2414+1,"")</f>
        <v/>
      </c>
      <c r="D2415" s="27" t="str">
        <f>IF(C2415&lt;='Investment Calculator'!$C$8*'Investment Calculator'!$F$4,'Investment Calculator'!$C$6,"")</f>
        <v/>
      </c>
      <c r="E2415" s="27" t="str">
        <f>IFERROR((F2414+D2415)*'Investment Calculator'!$C$7/'Investment Calculator'!$F$4,"")</f>
        <v/>
      </c>
      <c r="F2415" s="27" t="str">
        <f>IFERROR(ABS(FV('Investment Calculator'!$C$7/'Investment Calculator'!$F$4,'SIP Schedule'!C2415,'SIP Schedule'!D2415,,1)),"")</f>
        <v/>
      </c>
    </row>
    <row r="2416" spans="3:6" x14ac:dyDescent="0.3">
      <c r="C2416" s="1" t="str">
        <f>IF(C2415&lt;'Investment Calculator'!$C$8*'Investment Calculator'!$F$4,'SIP Schedule'!C2415+1,"")</f>
        <v/>
      </c>
      <c r="D2416" s="27" t="str">
        <f>IF(C2416&lt;='Investment Calculator'!$C$8*'Investment Calculator'!$F$4,'Investment Calculator'!$C$6,"")</f>
        <v/>
      </c>
      <c r="E2416" s="27" t="str">
        <f>IFERROR((F2415+D2416)*'Investment Calculator'!$C$7/'Investment Calculator'!$F$4,"")</f>
        <v/>
      </c>
      <c r="F2416" s="27" t="str">
        <f>IFERROR(ABS(FV('Investment Calculator'!$C$7/'Investment Calculator'!$F$4,'SIP Schedule'!C2416,'SIP Schedule'!D2416,,1)),"")</f>
        <v/>
      </c>
    </row>
    <row r="2417" spans="3:6" x14ac:dyDescent="0.3">
      <c r="C2417" s="1" t="str">
        <f>IF(C2416&lt;'Investment Calculator'!$C$8*'Investment Calculator'!$F$4,'SIP Schedule'!C2416+1,"")</f>
        <v/>
      </c>
      <c r="D2417" s="27" t="str">
        <f>IF(C2417&lt;='Investment Calculator'!$C$8*'Investment Calculator'!$F$4,'Investment Calculator'!$C$6,"")</f>
        <v/>
      </c>
      <c r="E2417" s="27" t="str">
        <f>IFERROR((F2416+D2417)*'Investment Calculator'!$C$7/'Investment Calculator'!$F$4,"")</f>
        <v/>
      </c>
      <c r="F2417" s="27" t="str">
        <f>IFERROR(ABS(FV('Investment Calculator'!$C$7/'Investment Calculator'!$F$4,'SIP Schedule'!C2417,'SIP Schedule'!D2417,,1)),"")</f>
        <v/>
      </c>
    </row>
    <row r="2418" spans="3:6" x14ac:dyDescent="0.3">
      <c r="C2418" s="1" t="str">
        <f>IF(C2417&lt;'Investment Calculator'!$C$8*'Investment Calculator'!$F$4,'SIP Schedule'!C2417+1,"")</f>
        <v/>
      </c>
      <c r="D2418" s="27" t="str">
        <f>IF(C2418&lt;='Investment Calculator'!$C$8*'Investment Calculator'!$F$4,'Investment Calculator'!$C$6,"")</f>
        <v/>
      </c>
      <c r="E2418" s="27" t="str">
        <f>IFERROR((F2417+D2418)*'Investment Calculator'!$C$7/'Investment Calculator'!$F$4,"")</f>
        <v/>
      </c>
      <c r="F2418" s="27" t="str">
        <f>IFERROR(ABS(FV('Investment Calculator'!$C$7/'Investment Calculator'!$F$4,'SIP Schedule'!C2418,'SIP Schedule'!D2418,,1)),"")</f>
        <v/>
      </c>
    </row>
    <row r="2419" spans="3:6" x14ac:dyDescent="0.3">
      <c r="C2419" s="1" t="str">
        <f>IF(C2418&lt;'Investment Calculator'!$C$8*'Investment Calculator'!$F$4,'SIP Schedule'!C2418+1,"")</f>
        <v/>
      </c>
      <c r="D2419" s="27" t="str">
        <f>IF(C2419&lt;='Investment Calculator'!$C$8*'Investment Calculator'!$F$4,'Investment Calculator'!$C$6,"")</f>
        <v/>
      </c>
      <c r="E2419" s="27" t="str">
        <f>IFERROR((F2418+D2419)*'Investment Calculator'!$C$7/'Investment Calculator'!$F$4,"")</f>
        <v/>
      </c>
      <c r="F2419" s="27" t="str">
        <f>IFERROR(ABS(FV('Investment Calculator'!$C$7/'Investment Calculator'!$F$4,'SIP Schedule'!C2419,'SIP Schedule'!D2419,,1)),"")</f>
        <v/>
      </c>
    </row>
    <row r="2420" spans="3:6" x14ac:dyDescent="0.3">
      <c r="C2420" s="1" t="str">
        <f>IF(C2419&lt;'Investment Calculator'!$C$8*'Investment Calculator'!$F$4,'SIP Schedule'!C2419+1,"")</f>
        <v/>
      </c>
      <c r="D2420" s="27" t="str">
        <f>IF(C2420&lt;='Investment Calculator'!$C$8*'Investment Calculator'!$F$4,'Investment Calculator'!$C$6,"")</f>
        <v/>
      </c>
      <c r="E2420" s="27" t="str">
        <f>IFERROR((F2419+D2420)*'Investment Calculator'!$C$7/'Investment Calculator'!$F$4,"")</f>
        <v/>
      </c>
      <c r="F2420" s="27" t="str">
        <f>IFERROR(ABS(FV('Investment Calculator'!$C$7/'Investment Calculator'!$F$4,'SIP Schedule'!C2420,'SIP Schedule'!D2420,,1)),"")</f>
        <v/>
      </c>
    </row>
    <row r="2421" spans="3:6" x14ac:dyDescent="0.3">
      <c r="C2421" s="1" t="str">
        <f>IF(C2420&lt;'Investment Calculator'!$C$8*'Investment Calculator'!$F$4,'SIP Schedule'!C2420+1,"")</f>
        <v/>
      </c>
      <c r="D2421" s="27" t="str">
        <f>IF(C2421&lt;='Investment Calculator'!$C$8*'Investment Calculator'!$F$4,'Investment Calculator'!$C$6,"")</f>
        <v/>
      </c>
      <c r="E2421" s="27" t="str">
        <f>IFERROR((F2420+D2421)*'Investment Calculator'!$C$7/'Investment Calculator'!$F$4,"")</f>
        <v/>
      </c>
      <c r="F2421" s="27" t="str">
        <f>IFERROR(ABS(FV('Investment Calculator'!$C$7/'Investment Calculator'!$F$4,'SIP Schedule'!C2421,'SIP Schedule'!D2421,,1)),"")</f>
        <v/>
      </c>
    </row>
    <row r="2422" spans="3:6" x14ac:dyDescent="0.3">
      <c r="C2422" s="1" t="str">
        <f>IF(C2421&lt;'Investment Calculator'!$C$8*'Investment Calculator'!$F$4,'SIP Schedule'!C2421+1,"")</f>
        <v/>
      </c>
      <c r="D2422" s="27" t="str">
        <f>IF(C2422&lt;='Investment Calculator'!$C$8*'Investment Calculator'!$F$4,'Investment Calculator'!$C$6,"")</f>
        <v/>
      </c>
      <c r="E2422" s="27" t="str">
        <f>IFERROR((F2421+D2422)*'Investment Calculator'!$C$7/'Investment Calculator'!$F$4,"")</f>
        <v/>
      </c>
      <c r="F2422" s="27" t="str">
        <f>IFERROR(ABS(FV('Investment Calculator'!$C$7/'Investment Calculator'!$F$4,'SIP Schedule'!C2422,'SIP Schedule'!D2422,,1)),"")</f>
        <v/>
      </c>
    </row>
    <row r="2423" spans="3:6" x14ac:dyDescent="0.3">
      <c r="C2423" s="1" t="str">
        <f>IF(C2422&lt;'Investment Calculator'!$C$8*'Investment Calculator'!$F$4,'SIP Schedule'!C2422+1,"")</f>
        <v/>
      </c>
      <c r="D2423" s="27" t="str">
        <f>IF(C2423&lt;='Investment Calculator'!$C$8*'Investment Calculator'!$F$4,'Investment Calculator'!$C$6,"")</f>
        <v/>
      </c>
      <c r="E2423" s="27" t="str">
        <f>IFERROR((F2422+D2423)*'Investment Calculator'!$C$7/'Investment Calculator'!$F$4,"")</f>
        <v/>
      </c>
      <c r="F2423" s="27" t="str">
        <f>IFERROR(ABS(FV('Investment Calculator'!$C$7/'Investment Calculator'!$F$4,'SIP Schedule'!C2423,'SIP Schedule'!D2423,,1)),"")</f>
        <v/>
      </c>
    </row>
    <row r="2424" spans="3:6" x14ac:dyDescent="0.3">
      <c r="C2424" s="1" t="str">
        <f>IF(C2423&lt;'Investment Calculator'!$C$8*'Investment Calculator'!$F$4,'SIP Schedule'!C2423+1,"")</f>
        <v/>
      </c>
      <c r="D2424" s="27" t="str">
        <f>IF(C2424&lt;='Investment Calculator'!$C$8*'Investment Calculator'!$F$4,'Investment Calculator'!$C$6,"")</f>
        <v/>
      </c>
      <c r="E2424" s="27" t="str">
        <f>IFERROR((F2423+D2424)*'Investment Calculator'!$C$7/'Investment Calculator'!$F$4,"")</f>
        <v/>
      </c>
      <c r="F2424" s="27" t="str">
        <f>IFERROR(ABS(FV('Investment Calculator'!$C$7/'Investment Calculator'!$F$4,'SIP Schedule'!C2424,'SIP Schedule'!D2424,,1)),"")</f>
        <v/>
      </c>
    </row>
    <row r="2425" spans="3:6" x14ac:dyDescent="0.3">
      <c r="C2425" s="1" t="str">
        <f>IF(C2424&lt;'Investment Calculator'!$C$8*'Investment Calculator'!$F$4,'SIP Schedule'!C2424+1,"")</f>
        <v/>
      </c>
      <c r="D2425" s="27" t="str">
        <f>IF(C2425&lt;='Investment Calculator'!$C$8*'Investment Calculator'!$F$4,'Investment Calculator'!$C$6,"")</f>
        <v/>
      </c>
      <c r="E2425" s="27" t="str">
        <f>IFERROR((F2424+D2425)*'Investment Calculator'!$C$7/'Investment Calculator'!$F$4,"")</f>
        <v/>
      </c>
      <c r="F2425" s="27" t="str">
        <f>IFERROR(ABS(FV('Investment Calculator'!$C$7/'Investment Calculator'!$F$4,'SIP Schedule'!C2425,'SIP Schedule'!D2425,,1)),"")</f>
        <v/>
      </c>
    </row>
    <row r="2426" spans="3:6" x14ac:dyDescent="0.3">
      <c r="C2426" s="1" t="str">
        <f>IF(C2425&lt;'Investment Calculator'!$C$8*'Investment Calculator'!$F$4,'SIP Schedule'!C2425+1,"")</f>
        <v/>
      </c>
      <c r="D2426" s="27" t="str">
        <f>IF(C2426&lt;='Investment Calculator'!$C$8*'Investment Calculator'!$F$4,'Investment Calculator'!$C$6,"")</f>
        <v/>
      </c>
      <c r="E2426" s="27" t="str">
        <f>IFERROR((F2425+D2426)*'Investment Calculator'!$C$7/'Investment Calculator'!$F$4,"")</f>
        <v/>
      </c>
      <c r="F2426" s="27" t="str">
        <f>IFERROR(ABS(FV('Investment Calculator'!$C$7/'Investment Calculator'!$F$4,'SIP Schedule'!C2426,'SIP Schedule'!D2426,,1)),"")</f>
        <v/>
      </c>
    </row>
    <row r="2427" spans="3:6" x14ac:dyDescent="0.3">
      <c r="C2427" s="1" t="str">
        <f>IF(C2426&lt;'Investment Calculator'!$C$8*'Investment Calculator'!$F$4,'SIP Schedule'!C2426+1,"")</f>
        <v/>
      </c>
      <c r="D2427" s="27" t="str">
        <f>IF(C2427&lt;='Investment Calculator'!$C$8*'Investment Calculator'!$F$4,'Investment Calculator'!$C$6,"")</f>
        <v/>
      </c>
      <c r="E2427" s="27" t="str">
        <f>IFERROR((F2426+D2427)*'Investment Calculator'!$C$7/'Investment Calculator'!$F$4,"")</f>
        <v/>
      </c>
      <c r="F2427" s="27" t="str">
        <f>IFERROR(ABS(FV('Investment Calculator'!$C$7/'Investment Calculator'!$F$4,'SIP Schedule'!C2427,'SIP Schedule'!D2427,,1)),"")</f>
        <v/>
      </c>
    </row>
    <row r="2428" spans="3:6" x14ac:dyDescent="0.3">
      <c r="C2428" s="1" t="str">
        <f>IF(C2427&lt;'Investment Calculator'!$C$8*'Investment Calculator'!$F$4,'SIP Schedule'!C2427+1,"")</f>
        <v/>
      </c>
      <c r="D2428" s="27" t="str">
        <f>IF(C2428&lt;='Investment Calculator'!$C$8*'Investment Calculator'!$F$4,'Investment Calculator'!$C$6,"")</f>
        <v/>
      </c>
      <c r="E2428" s="27" t="str">
        <f>IFERROR((F2427+D2428)*'Investment Calculator'!$C$7/'Investment Calculator'!$F$4,"")</f>
        <v/>
      </c>
      <c r="F2428" s="27" t="str">
        <f>IFERROR(ABS(FV('Investment Calculator'!$C$7/'Investment Calculator'!$F$4,'SIP Schedule'!C2428,'SIP Schedule'!D2428,,1)),"")</f>
        <v/>
      </c>
    </row>
    <row r="2429" spans="3:6" x14ac:dyDescent="0.3">
      <c r="C2429" s="1" t="str">
        <f>IF(C2428&lt;'Investment Calculator'!$C$8*'Investment Calculator'!$F$4,'SIP Schedule'!C2428+1,"")</f>
        <v/>
      </c>
      <c r="D2429" s="27" t="str">
        <f>IF(C2429&lt;='Investment Calculator'!$C$8*'Investment Calculator'!$F$4,'Investment Calculator'!$C$6,"")</f>
        <v/>
      </c>
      <c r="E2429" s="27" t="str">
        <f>IFERROR((F2428+D2429)*'Investment Calculator'!$C$7/'Investment Calculator'!$F$4,"")</f>
        <v/>
      </c>
      <c r="F2429" s="27" t="str">
        <f>IFERROR(ABS(FV('Investment Calculator'!$C$7/'Investment Calculator'!$F$4,'SIP Schedule'!C2429,'SIP Schedule'!D2429,,1)),"")</f>
        <v/>
      </c>
    </row>
    <row r="2430" spans="3:6" x14ac:dyDescent="0.3">
      <c r="C2430" s="1" t="str">
        <f>IF(C2429&lt;'Investment Calculator'!$C$8*'Investment Calculator'!$F$4,'SIP Schedule'!C2429+1,"")</f>
        <v/>
      </c>
      <c r="D2430" s="27" t="str">
        <f>IF(C2430&lt;='Investment Calculator'!$C$8*'Investment Calculator'!$F$4,'Investment Calculator'!$C$6,"")</f>
        <v/>
      </c>
      <c r="E2430" s="27" t="str">
        <f>IFERROR((F2429+D2430)*'Investment Calculator'!$C$7/'Investment Calculator'!$F$4,"")</f>
        <v/>
      </c>
      <c r="F2430" s="27" t="str">
        <f>IFERROR(ABS(FV('Investment Calculator'!$C$7/'Investment Calculator'!$F$4,'SIP Schedule'!C2430,'SIP Schedule'!D2430,,1)),"")</f>
        <v/>
      </c>
    </row>
    <row r="2431" spans="3:6" x14ac:dyDescent="0.3">
      <c r="C2431" s="1" t="str">
        <f>IF(C2430&lt;'Investment Calculator'!$C$8*'Investment Calculator'!$F$4,'SIP Schedule'!C2430+1,"")</f>
        <v/>
      </c>
      <c r="D2431" s="27" t="str">
        <f>IF(C2431&lt;='Investment Calculator'!$C$8*'Investment Calculator'!$F$4,'Investment Calculator'!$C$6,"")</f>
        <v/>
      </c>
      <c r="E2431" s="27" t="str">
        <f>IFERROR((F2430+D2431)*'Investment Calculator'!$C$7/'Investment Calculator'!$F$4,"")</f>
        <v/>
      </c>
      <c r="F2431" s="27" t="str">
        <f>IFERROR(ABS(FV('Investment Calculator'!$C$7/'Investment Calculator'!$F$4,'SIP Schedule'!C2431,'SIP Schedule'!D2431,,1)),"")</f>
        <v/>
      </c>
    </row>
    <row r="2432" spans="3:6" x14ac:dyDescent="0.3">
      <c r="C2432" s="1" t="str">
        <f>IF(C2431&lt;'Investment Calculator'!$C$8*'Investment Calculator'!$F$4,'SIP Schedule'!C2431+1,"")</f>
        <v/>
      </c>
      <c r="D2432" s="27" t="str">
        <f>IF(C2432&lt;='Investment Calculator'!$C$8*'Investment Calculator'!$F$4,'Investment Calculator'!$C$6,"")</f>
        <v/>
      </c>
      <c r="E2432" s="27" t="str">
        <f>IFERROR((F2431+D2432)*'Investment Calculator'!$C$7/'Investment Calculator'!$F$4,"")</f>
        <v/>
      </c>
      <c r="F2432" s="27" t="str">
        <f>IFERROR(ABS(FV('Investment Calculator'!$C$7/'Investment Calculator'!$F$4,'SIP Schedule'!C2432,'SIP Schedule'!D2432,,1)),"")</f>
        <v/>
      </c>
    </row>
    <row r="2433" spans="3:6" x14ac:dyDescent="0.3">
      <c r="C2433" s="1" t="str">
        <f>IF(C2432&lt;'Investment Calculator'!$C$8*'Investment Calculator'!$F$4,'SIP Schedule'!C2432+1,"")</f>
        <v/>
      </c>
      <c r="D2433" s="27" t="str">
        <f>IF(C2433&lt;='Investment Calculator'!$C$8*'Investment Calculator'!$F$4,'Investment Calculator'!$C$6,"")</f>
        <v/>
      </c>
      <c r="E2433" s="27" t="str">
        <f>IFERROR((F2432+D2433)*'Investment Calculator'!$C$7/'Investment Calculator'!$F$4,"")</f>
        <v/>
      </c>
      <c r="F2433" s="27" t="str">
        <f>IFERROR(ABS(FV('Investment Calculator'!$C$7/'Investment Calculator'!$F$4,'SIP Schedule'!C2433,'SIP Schedule'!D2433,,1)),"")</f>
        <v/>
      </c>
    </row>
    <row r="2434" spans="3:6" x14ac:dyDescent="0.3">
      <c r="C2434" s="1" t="str">
        <f>IF(C2433&lt;'Investment Calculator'!$C$8*'Investment Calculator'!$F$4,'SIP Schedule'!C2433+1,"")</f>
        <v/>
      </c>
      <c r="D2434" s="27" t="str">
        <f>IF(C2434&lt;='Investment Calculator'!$C$8*'Investment Calculator'!$F$4,'Investment Calculator'!$C$6,"")</f>
        <v/>
      </c>
      <c r="E2434" s="27" t="str">
        <f>IFERROR((F2433+D2434)*'Investment Calculator'!$C$7/'Investment Calculator'!$F$4,"")</f>
        <v/>
      </c>
      <c r="F2434" s="27" t="str">
        <f>IFERROR(ABS(FV('Investment Calculator'!$C$7/'Investment Calculator'!$F$4,'SIP Schedule'!C2434,'SIP Schedule'!D2434,,1)),"")</f>
        <v/>
      </c>
    </row>
    <row r="2435" spans="3:6" x14ac:dyDescent="0.3">
      <c r="C2435" s="1" t="str">
        <f>IF(C2434&lt;'Investment Calculator'!$C$8*'Investment Calculator'!$F$4,'SIP Schedule'!C2434+1,"")</f>
        <v/>
      </c>
      <c r="D2435" s="27" t="str">
        <f>IF(C2435&lt;='Investment Calculator'!$C$8*'Investment Calculator'!$F$4,'Investment Calculator'!$C$6,"")</f>
        <v/>
      </c>
      <c r="E2435" s="27" t="str">
        <f>IFERROR((F2434+D2435)*'Investment Calculator'!$C$7/'Investment Calculator'!$F$4,"")</f>
        <v/>
      </c>
      <c r="F2435" s="27" t="str">
        <f>IFERROR(ABS(FV('Investment Calculator'!$C$7/'Investment Calculator'!$F$4,'SIP Schedule'!C2435,'SIP Schedule'!D2435,,1)),"")</f>
        <v/>
      </c>
    </row>
    <row r="2436" spans="3:6" x14ac:dyDescent="0.3">
      <c r="C2436" s="1" t="str">
        <f>IF(C2435&lt;'Investment Calculator'!$C$8*'Investment Calculator'!$F$4,'SIP Schedule'!C2435+1,"")</f>
        <v/>
      </c>
      <c r="D2436" s="27" t="str">
        <f>IF(C2436&lt;='Investment Calculator'!$C$8*'Investment Calculator'!$F$4,'Investment Calculator'!$C$6,"")</f>
        <v/>
      </c>
      <c r="E2436" s="27" t="str">
        <f>IFERROR((F2435+D2436)*'Investment Calculator'!$C$7/'Investment Calculator'!$F$4,"")</f>
        <v/>
      </c>
      <c r="F2436" s="27" t="str">
        <f>IFERROR(ABS(FV('Investment Calculator'!$C$7/'Investment Calculator'!$F$4,'SIP Schedule'!C2436,'SIP Schedule'!D2436,,1)),"")</f>
        <v/>
      </c>
    </row>
    <row r="2437" spans="3:6" x14ac:dyDescent="0.3">
      <c r="C2437" s="1" t="str">
        <f>IF(C2436&lt;'Investment Calculator'!$C$8*'Investment Calculator'!$F$4,'SIP Schedule'!C2436+1,"")</f>
        <v/>
      </c>
      <c r="D2437" s="27" t="str">
        <f>IF(C2437&lt;='Investment Calculator'!$C$8*'Investment Calculator'!$F$4,'Investment Calculator'!$C$6,"")</f>
        <v/>
      </c>
      <c r="E2437" s="27" t="str">
        <f>IFERROR((F2436+D2437)*'Investment Calculator'!$C$7/'Investment Calculator'!$F$4,"")</f>
        <v/>
      </c>
      <c r="F2437" s="27" t="str">
        <f>IFERROR(ABS(FV('Investment Calculator'!$C$7/'Investment Calculator'!$F$4,'SIP Schedule'!C2437,'SIP Schedule'!D2437,,1)),"")</f>
        <v/>
      </c>
    </row>
    <row r="2438" spans="3:6" x14ac:dyDescent="0.3">
      <c r="C2438" s="1" t="str">
        <f>IF(C2437&lt;'Investment Calculator'!$C$8*'Investment Calculator'!$F$4,'SIP Schedule'!C2437+1,"")</f>
        <v/>
      </c>
      <c r="D2438" s="27" t="str">
        <f>IF(C2438&lt;='Investment Calculator'!$C$8*'Investment Calculator'!$F$4,'Investment Calculator'!$C$6,"")</f>
        <v/>
      </c>
      <c r="E2438" s="27" t="str">
        <f>IFERROR((F2437+D2438)*'Investment Calculator'!$C$7/'Investment Calculator'!$F$4,"")</f>
        <v/>
      </c>
      <c r="F2438" s="27" t="str">
        <f>IFERROR(ABS(FV('Investment Calculator'!$C$7/'Investment Calculator'!$F$4,'SIP Schedule'!C2438,'SIP Schedule'!D2438,,1)),"")</f>
        <v/>
      </c>
    </row>
    <row r="2439" spans="3:6" x14ac:dyDescent="0.3">
      <c r="C2439" s="1" t="str">
        <f>IF(C2438&lt;'Investment Calculator'!$C$8*'Investment Calculator'!$F$4,'SIP Schedule'!C2438+1,"")</f>
        <v/>
      </c>
      <c r="D2439" s="27" t="str">
        <f>IF(C2439&lt;='Investment Calculator'!$C$8*'Investment Calculator'!$F$4,'Investment Calculator'!$C$6,"")</f>
        <v/>
      </c>
      <c r="E2439" s="27" t="str">
        <f>IFERROR((F2438+D2439)*'Investment Calculator'!$C$7/'Investment Calculator'!$F$4,"")</f>
        <v/>
      </c>
      <c r="F2439" s="27" t="str">
        <f>IFERROR(ABS(FV('Investment Calculator'!$C$7/'Investment Calculator'!$F$4,'SIP Schedule'!C2439,'SIP Schedule'!D2439,,1)),"")</f>
        <v/>
      </c>
    </row>
    <row r="2440" spans="3:6" x14ac:dyDescent="0.3">
      <c r="C2440" s="1" t="str">
        <f>IF(C2439&lt;'Investment Calculator'!$C$8*'Investment Calculator'!$F$4,'SIP Schedule'!C2439+1,"")</f>
        <v/>
      </c>
      <c r="D2440" s="27" t="str">
        <f>IF(C2440&lt;='Investment Calculator'!$C$8*'Investment Calculator'!$F$4,'Investment Calculator'!$C$6,"")</f>
        <v/>
      </c>
      <c r="E2440" s="27" t="str">
        <f>IFERROR((F2439+D2440)*'Investment Calculator'!$C$7/'Investment Calculator'!$F$4,"")</f>
        <v/>
      </c>
      <c r="F2440" s="27" t="str">
        <f>IFERROR(ABS(FV('Investment Calculator'!$C$7/'Investment Calculator'!$F$4,'SIP Schedule'!C2440,'SIP Schedule'!D2440,,1)),"")</f>
        <v/>
      </c>
    </row>
    <row r="2441" spans="3:6" x14ac:dyDescent="0.3">
      <c r="C2441" s="1" t="str">
        <f>IF(C2440&lt;'Investment Calculator'!$C$8*'Investment Calculator'!$F$4,'SIP Schedule'!C2440+1,"")</f>
        <v/>
      </c>
      <c r="D2441" s="27" t="str">
        <f>IF(C2441&lt;='Investment Calculator'!$C$8*'Investment Calculator'!$F$4,'Investment Calculator'!$C$6,"")</f>
        <v/>
      </c>
      <c r="E2441" s="27" t="str">
        <f>IFERROR((F2440+D2441)*'Investment Calculator'!$C$7/'Investment Calculator'!$F$4,"")</f>
        <v/>
      </c>
      <c r="F2441" s="27" t="str">
        <f>IFERROR(ABS(FV('Investment Calculator'!$C$7/'Investment Calculator'!$F$4,'SIP Schedule'!C2441,'SIP Schedule'!D2441,,1)),"")</f>
        <v/>
      </c>
    </row>
    <row r="2442" spans="3:6" x14ac:dyDescent="0.3">
      <c r="C2442" s="1" t="str">
        <f>IF(C2441&lt;'Investment Calculator'!$C$8*'Investment Calculator'!$F$4,'SIP Schedule'!C2441+1,"")</f>
        <v/>
      </c>
      <c r="D2442" s="27" t="str">
        <f>IF(C2442&lt;='Investment Calculator'!$C$8*'Investment Calculator'!$F$4,'Investment Calculator'!$C$6,"")</f>
        <v/>
      </c>
      <c r="E2442" s="27" t="str">
        <f>IFERROR((F2441+D2442)*'Investment Calculator'!$C$7/'Investment Calculator'!$F$4,"")</f>
        <v/>
      </c>
      <c r="F2442" s="27" t="str">
        <f>IFERROR(ABS(FV('Investment Calculator'!$C$7/'Investment Calculator'!$F$4,'SIP Schedule'!C2442,'SIP Schedule'!D2442,,1)),"")</f>
        <v/>
      </c>
    </row>
    <row r="2443" spans="3:6" x14ac:dyDescent="0.3">
      <c r="C2443" s="1" t="str">
        <f>IF(C2442&lt;'Investment Calculator'!$C$8*'Investment Calculator'!$F$4,'SIP Schedule'!C2442+1,"")</f>
        <v/>
      </c>
      <c r="D2443" s="27" t="str">
        <f>IF(C2443&lt;='Investment Calculator'!$C$8*'Investment Calculator'!$F$4,'Investment Calculator'!$C$6,"")</f>
        <v/>
      </c>
      <c r="E2443" s="27" t="str">
        <f>IFERROR((F2442+D2443)*'Investment Calculator'!$C$7/'Investment Calculator'!$F$4,"")</f>
        <v/>
      </c>
      <c r="F2443" s="27" t="str">
        <f>IFERROR(ABS(FV('Investment Calculator'!$C$7/'Investment Calculator'!$F$4,'SIP Schedule'!C2443,'SIP Schedule'!D2443,,1)),"")</f>
        <v/>
      </c>
    </row>
    <row r="2444" spans="3:6" x14ac:dyDescent="0.3">
      <c r="C2444" s="1" t="str">
        <f>IF(C2443&lt;'Investment Calculator'!$C$8*'Investment Calculator'!$F$4,'SIP Schedule'!C2443+1,"")</f>
        <v/>
      </c>
      <c r="D2444" s="27" t="str">
        <f>IF(C2444&lt;='Investment Calculator'!$C$8*'Investment Calculator'!$F$4,'Investment Calculator'!$C$6,"")</f>
        <v/>
      </c>
      <c r="E2444" s="27" t="str">
        <f>IFERROR((F2443+D2444)*'Investment Calculator'!$C$7/'Investment Calculator'!$F$4,"")</f>
        <v/>
      </c>
      <c r="F2444" s="27" t="str">
        <f>IFERROR(ABS(FV('Investment Calculator'!$C$7/'Investment Calculator'!$F$4,'SIP Schedule'!C2444,'SIP Schedule'!D2444,,1)),"")</f>
        <v/>
      </c>
    </row>
    <row r="2445" spans="3:6" x14ac:dyDescent="0.3">
      <c r="C2445" s="1" t="str">
        <f>IF(C2444&lt;'Investment Calculator'!$C$8*'Investment Calculator'!$F$4,'SIP Schedule'!C2444+1,"")</f>
        <v/>
      </c>
      <c r="D2445" s="27" t="str">
        <f>IF(C2445&lt;='Investment Calculator'!$C$8*'Investment Calculator'!$F$4,'Investment Calculator'!$C$6,"")</f>
        <v/>
      </c>
      <c r="E2445" s="27" t="str">
        <f>IFERROR((F2444+D2445)*'Investment Calculator'!$C$7/'Investment Calculator'!$F$4,"")</f>
        <v/>
      </c>
      <c r="F2445" s="27" t="str">
        <f>IFERROR(ABS(FV('Investment Calculator'!$C$7/'Investment Calculator'!$F$4,'SIP Schedule'!C2445,'SIP Schedule'!D2445,,1)),"")</f>
        <v/>
      </c>
    </row>
    <row r="2446" spans="3:6" x14ac:dyDescent="0.3">
      <c r="C2446" s="1" t="str">
        <f>IF(C2445&lt;'Investment Calculator'!$C$8*'Investment Calculator'!$F$4,'SIP Schedule'!C2445+1,"")</f>
        <v/>
      </c>
      <c r="D2446" s="27" t="str">
        <f>IF(C2446&lt;='Investment Calculator'!$C$8*'Investment Calculator'!$F$4,'Investment Calculator'!$C$6,"")</f>
        <v/>
      </c>
      <c r="E2446" s="27" t="str">
        <f>IFERROR((F2445+D2446)*'Investment Calculator'!$C$7/'Investment Calculator'!$F$4,"")</f>
        <v/>
      </c>
      <c r="F2446" s="27" t="str">
        <f>IFERROR(ABS(FV('Investment Calculator'!$C$7/'Investment Calculator'!$F$4,'SIP Schedule'!C2446,'SIP Schedule'!D2446,,1)),"")</f>
        <v/>
      </c>
    </row>
    <row r="2447" spans="3:6" x14ac:dyDescent="0.3">
      <c r="C2447" s="1" t="str">
        <f>IF(C2446&lt;'Investment Calculator'!$C$8*'Investment Calculator'!$F$4,'SIP Schedule'!C2446+1,"")</f>
        <v/>
      </c>
      <c r="D2447" s="27" t="str">
        <f>IF(C2447&lt;='Investment Calculator'!$C$8*'Investment Calculator'!$F$4,'Investment Calculator'!$C$6,"")</f>
        <v/>
      </c>
      <c r="E2447" s="27" t="str">
        <f>IFERROR((F2446+D2447)*'Investment Calculator'!$C$7/'Investment Calculator'!$F$4,"")</f>
        <v/>
      </c>
      <c r="F2447" s="27" t="str">
        <f>IFERROR(ABS(FV('Investment Calculator'!$C$7/'Investment Calculator'!$F$4,'SIP Schedule'!C2447,'SIP Schedule'!D2447,,1)),"")</f>
        <v/>
      </c>
    </row>
    <row r="2448" spans="3:6" x14ac:dyDescent="0.3">
      <c r="C2448" s="1" t="str">
        <f>IF(C2447&lt;'Investment Calculator'!$C$8*'Investment Calculator'!$F$4,'SIP Schedule'!C2447+1,"")</f>
        <v/>
      </c>
      <c r="D2448" s="27" t="str">
        <f>IF(C2448&lt;='Investment Calculator'!$C$8*'Investment Calculator'!$F$4,'Investment Calculator'!$C$6,"")</f>
        <v/>
      </c>
      <c r="E2448" s="27" t="str">
        <f>IFERROR((F2447+D2448)*'Investment Calculator'!$C$7/'Investment Calculator'!$F$4,"")</f>
        <v/>
      </c>
      <c r="F2448" s="27" t="str">
        <f>IFERROR(ABS(FV('Investment Calculator'!$C$7/'Investment Calculator'!$F$4,'SIP Schedule'!C2448,'SIP Schedule'!D2448,,1)),"")</f>
        <v/>
      </c>
    </row>
    <row r="2449" spans="3:6" x14ac:dyDescent="0.3">
      <c r="C2449" s="1" t="str">
        <f>IF(C2448&lt;'Investment Calculator'!$C$8*'Investment Calculator'!$F$4,'SIP Schedule'!C2448+1,"")</f>
        <v/>
      </c>
      <c r="D2449" s="27" t="str">
        <f>IF(C2449&lt;='Investment Calculator'!$C$8*'Investment Calculator'!$F$4,'Investment Calculator'!$C$6,"")</f>
        <v/>
      </c>
      <c r="E2449" s="27" t="str">
        <f>IFERROR((F2448+D2449)*'Investment Calculator'!$C$7/'Investment Calculator'!$F$4,"")</f>
        <v/>
      </c>
      <c r="F2449" s="27" t="str">
        <f>IFERROR(ABS(FV('Investment Calculator'!$C$7/'Investment Calculator'!$F$4,'SIP Schedule'!C2449,'SIP Schedule'!D2449,,1)),"")</f>
        <v/>
      </c>
    </row>
    <row r="2450" spans="3:6" x14ac:dyDescent="0.3">
      <c r="C2450" s="1" t="str">
        <f>IF(C2449&lt;'Investment Calculator'!$C$8*'Investment Calculator'!$F$4,'SIP Schedule'!C2449+1,"")</f>
        <v/>
      </c>
      <c r="D2450" s="27" t="str">
        <f>IF(C2450&lt;='Investment Calculator'!$C$8*'Investment Calculator'!$F$4,'Investment Calculator'!$C$6,"")</f>
        <v/>
      </c>
      <c r="E2450" s="27" t="str">
        <f>IFERROR((F2449+D2450)*'Investment Calculator'!$C$7/'Investment Calculator'!$F$4,"")</f>
        <v/>
      </c>
      <c r="F2450" s="27" t="str">
        <f>IFERROR(ABS(FV('Investment Calculator'!$C$7/'Investment Calculator'!$F$4,'SIP Schedule'!C2450,'SIP Schedule'!D2450,,1)),"")</f>
        <v/>
      </c>
    </row>
    <row r="2451" spans="3:6" x14ac:dyDescent="0.3">
      <c r="C2451" s="1" t="str">
        <f>IF(C2450&lt;'Investment Calculator'!$C$8*'Investment Calculator'!$F$4,'SIP Schedule'!C2450+1,"")</f>
        <v/>
      </c>
      <c r="D2451" s="27" t="str">
        <f>IF(C2451&lt;='Investment Calculator'!$C$8*'Investment Calculator'!$F$4,'Investment Calculator'!$C$6,"")</f>
        <v/>
      </c>
      <c r="E2451" s="27" t="str">
        <f>IFERROR((F2450+D2451)*'Investment Calculator'!$C$7/'Investment Calculator'!$F$4,"")</f>
        <v/>
      </c>
      <c r="F2451" s="27" t="str">
        <f>IFERROR(ABS(FV('Investment Calculator'!$C$7/'Investment Calculator'!$F$4,'SIP Schedule'!C2451,'SIP Schedule'!D2451,,1)),"")</f>
        <v/>
      </c>
    </row>
    <row r="2452" spans="3:6" x14ac:dyDescent="0.3">
      <c r="C2452" s="1" t="str">
        <f>IF(C2451&lt;'Investment Calculator'!$C$8*'Investment Calculator'!$F$4,'SIP Schedule'!C2451+1,"")</f>
        <v/>
      </c>
      <c r="D2452" s="27" t="str">
        <f>IF(C2452&lt;='Investment Calculator'!$C$8*'Investment Calculator'!$F$4,'Investment Calculator'!$C$6,"")</f>
        <v/>
      </c>
      <c r="E2452" s="27" t="str">
        <f>IFERROR((F2451+D2452)*'Investment Calculator'!$C$7/'Investment Calculator'!$F$4,"")</f>
        <v/>
      </c>
      <c r="F2452" s="27" t="str">
        <f>IFERROR(ABS(FV('Investment Calculator'!$C$7/'Investment Calculator'!$F$4,'SIP Schedule'!C2452,'SIP Schedule'!D2452,,1)),"")</f>
        <v/>
      </c>
    </row>
    <row r="2453" spans="3:6" x14ac:dyDescent="0.3">
      <c r="C2453" s="1" t="str">
        <f>IF(C2452&lt;'Investment Calculator'!$C$8*'Investment Calculator'!$F$4,'SIP Schedule'!C2452+1,"")</f>
        <v/>
      </c>
      <c r="D2453" s="27" t="str">
        <f>IF(C2453&lt;='Investment Calculator'!$C$8*'Investment Calculator'!$F$4,'Investment Calculator'!$C$6,"")</f>
        <v/>
      </c>
      <c r="E2453" s="27" t="str">
        <f>IFERROR((F2452+D2453)*'Investment Calculator'!$C$7/'Investment Calculator'!$F$4,"")</f>
        <v/>
      </c>
      <c r="F2453" s="27" t="str">
        <f>IFERROR(ABS(FV('Investment Calculator'!$C$7/'Investment Calculator'!$F$4,'SIP Schedule'!C2453,'SIP Schedule'!D2453,,1)),"")</f>
        <v/>
      </c>
    </row>
    <row r="2454" spans="3:6" x14ac:dyDescent="0.3">
      <c r="C2454" s="1" t="str">
        <f>IF(C2453&lt;'Investment Calculator'!$C$8*'Investment Calculator'!$F$4,'SIP Schedule'!C2453+1,"")</f>
        <v/>
      </c>
      <c r="D2454" s="27" t="str">
        <f>IF(C2454&lt;='Investment Calculator'!$C$8*'Investment Calculator'!$F$4,'Investment Calculator'!$C$6,"")</f>
        <v/>
      </c>
      <c r="E2454" s="27" t="str">
        <f>IFERROR((F2453+D2454)*'Investment Calculator'!$C$7/'Investment Calculator'!$F$4,"")</f>
        <v/>
      </c>
      <c r="F2454" s="27" t="str">
        <f>IFERROR(ABS(FV('Investment Calculator'!$C$7/'Investment Calculator'!$F$4,'SIP Schedule'!C2454,'SIP Schedule'!D2454,,1)),"")</f>
        <v/>
      </c>
    </row>
    <row r="2455" spans="3:6" x14ac:dyDescent="0.3">
      <c r="C2455" s="1" t="str">
        <f>IF(C2454&lt;'Investment Calculator'!$C$8*'Investment Calculator'!$F$4,'SIP Schedule'!C2454+1,"")</f>
        <v/>
      </c>
      <c r="D2455" s="27" t="str">
        <f>IF(C2455&lt;='Investment Calculator'!$C$8*'Investment Calculator'!$F$4,'Investment Calculator'!$C$6,"")</f>
        <v/>
      </c>
      <c r="E2455" s="27" t="str">
        <f>IFERROR((F2454+D2455)*'Investment Calculator'!$C$7/'Investment Calculator'!$F$4,"")</f>
        <v/>
      </c>
      <c r="F2455" s="27" t="str">
        <f>IFERROR(ABS(FV('Investment Calculator'!$C$7/'Investment Calculator'!$F$4,'SIP Schedule'!C2455,'SIP Schedule'!D2455,,1)),"")</f>
        <v/>
      </c>
    </row>
    <row r="2456" spans="3:6" x14ac:dyDescent="0.3">
      <c r="C2456" s="1" t="str">
        <f>IF(C2455&lt;'Investment Calculator'!$C$8*'Investment Calculator'!$F$4,'SIP Schedule'!C2455+1,"")</f>
        <v/>
      </c>
      <c r="D2456" s="27" t="str">
        <f>IF(C2456&lt;='Investment Calculator'!$C$8*'Investment Calculator'!$F$4,'Investment Calculator'!$C$6,"")</f>
        <v/>
      </c>
      <c r="E2456" s="27" t="str">
        <f>IFERROR((F2455+D2456)*'Investment Calculator'!$C$7/'Investment Calculator'!$F$4,"")</f>
        <v/>
      </c>
      <c r="F2456" s="27" t="str">
        <f>IFERROR(ABS(FV('Investment Calculator'!$C$7/'Investment Calculator'!$F$4,'SIP Schedule'!C2456,'SIP Schedule'!D2456,,1)),"")</f>
        <v/>
      </c>
    </row>
    <row r="2457" spans="3:6" x14ac:dyDescent="0.3">
      <c r="C2457" s="1" t="str">
        <f>IF(C2456&lt;'Investment Calculator'!$C$8*'Investment Calculator'!$F$4,'SIP Schedule'!C2456+1,"")</f>
        <v/>
      </c>
      <c r="D2457" s="27" t="str">
        <f>IF(C2457&lt;='Investment Calculator'!$C$8*'Investment Calculator'!$F$4,'Investment Calculator'!$C$6,"")</f>
        <v/>
      </c>
      <c r="E2457" s="27" t="str">
        <f>IFERROR((F2456+D2457)*'Investment Calculator'!$C$7/'Investment Calculator'!$F$4,"")</f>
        <v/>
      </c>
      <c r="F2457" s="27" t="str">
        <f>IFERROR(ABS(FV('Investment Calculator'!$C$7/'Investment Calculator'!$F$4,'SIP Schedule'!C2457,'SIP Schedule'!D2457,,1)),"")</f>
        <v/>
      </c>
    </row>
    <row r="2458" spans="3:6" x14ac:dyDescent="0.3">
      <c r="C2458" s="1" t="str">
        <f>IF(C2457&lt;'Investment Calculator'!$C$8*'Investment Calculator'!$F$4,'SIP Schedule'!C2457+1,"")</f>
        <v/>
      </c>
      <c r="D2458" s="27" t="str">
        <f>IF(C2458&lt;='Investment Calculator'!$C$8*'Investment Calculator'!$F$4,'Investment Calculator'!$C$6,"")</f>
        <v/>
      </c>
      <c r="E2458" s="27" t="str">
        <f>IFERROR((F2457+D2458)*'Investment Calculator'!$C$7/'Investment Calculator'!$F$4,"")</f>
        <v/>
      </c>
      <c r="F2458" s="27" t="str">
        <f>IFERROR(ABS(FV('Investment Calculator'!$C$7/'Investment Calculator'!$F$4,'SIP Schedule'!C2458,'SIP Schedule'!D2458,,1)),"")</f>
        <v/>
      </c>
    </row>
    <row r="2459" spans="3:6" x14ac:dyDescent="0.3">
      <c r="C2459" s="1" t="str">
        <f>IF(C2458&lt;'Investment Calculator'!$C$8*'Investment Calculator'!$F$4,'SIP Schedule'!C2458+1,"")</f>
        <v/>
      </c>
      <c r="D2459" s="27" t="str">
        <f>IF(C2459&lt;='Investment Calculator'!$C$8*'Investment Calculator'!$F$4,'Investment Calculator'!$C$6,"")</f>
        <v/>
      </c>
      <c r="E2459" s="27" t="str">
        <f>IFERROR((F2458+D2459)*'Investment Calculator'!$C$7/'Investment Calculator'!$F$4,"")</f>
        <v/>
      </c>
      <c r="F2459" s="27" t="str">
        <f>IFERROR(ABS(FV('Investment Calculator'!$C$7/'Investment Calculator'!$F$4,'SIP Schedule'!C2459,'SIP Schedule'!D2459,,1)),"")</f>
        <v/>
      </c>
    </row>
    <row r="2460" spans="3:6" x14ac:dyDescent="0.3">
      <c r="C2460" s="1" t="str">
        <f>IF(C2459&lt;'Investment Calculator'!$C$8*'Investment Calculator'!$F$4,'SIP Schedule'!C2459+1,"")</f>
        <v/>
      </c>
      <c r="D2460" s="27" t="str">
        <f>IF(C2460&lt;='Investment Calculator'!$C$8*'Investment Calculator'!$F$4,'Investment Calculator'!$C$6,"")</f>
        <v/>
      </c>
      <c r="E2460" s="27" t="str">
        <f>IFERROR((F2459+D2460)*'Investment Calculator'!$C$7/'Investment Calculator'!$F$4,"")</f>
        <v/>
      </c>
      <c r="F2460" s="27" t="str">
        <f>IFERROR(ABS(FV('Investment Calculator'!$C$7/'Investment Calculator'!$F$4,'SIP Schedule'!C2460,'SIP Schedule'!D2460,,1)),"")</f>
        <v/>
      </c>
    </row>
    <row r="2461" spans="3:6" x14ac:dyDescent="0.3">
      <c r="C2461" s="1" t="str">
        <f>IF(C2460&lt;'Investment Calculator'!$C$8*'Investment Calculator'!$F$4,'SIP Schedule'!C2460+1,"")</f>
        <v/>
      </c>
      <c r="D2461" s="27" t="str">
        <f>IF(C2461&lt;='Investment Calculator'!$C$8*'Investment Calculator'!$F$4,'Investment Calculator'!$C$6,"")</f>
        <v/>
      </c>
      <c r="E2461" s="27" t="str">
        <f>IFERROR((F2460+D2461)*'Investment Calculator'!$C$7/'Investment Calculator'!$F$4,"")</f>
        <v/>
      </c>
      <c r="F2461" s="27" t="str">
        <f>IFERROR(ABS(FV('Investment Calculator'!$C$7/'Investment Calculator'!$F$4,'SIP Schedule'!C2461,'SIP Schedule'!D2461,,1)),"")</f>
        <v/>
      </c>
    </row>
    <row r="2462" spans="3:6" x14ac:dyDescent="0.3">
      <c r="C2462" s="1" t="str">
        <f>IF(C2461&lt;'Investment Calculator'!$C$8*'Investment Calculator'!$F$4,'SIP Schedule'!C2461+1,"")</f>
        <v/>
      </c>
      <c r="D2462" s="27" t="str">
        <f>IF(C2462&lt;='Investment Calculator'!$C$8*'Investment Calculator'!$F$4,'Investment Calculator'!$C$6,"")</f>
        <v/>
      </c>
      <c r="E2462" s="27" t="str">
        <f>IFERROR((F2461+D2462)*'Investment Calculator'!$C$7/'Investment Calculator'!$F$4,"")</f>
        <v/>
      </c>
      <c r="F2462" s="27" t="str">
        <f>IFERROR(ABS(FV('Investment Calculator'!$C$7/'Investment Calculator'!$F$4,'SIP Schedule'!C2462,'SIP Schedule'!D2462,,1)),"")</f>
        <v/>
      </c>
    </row>
    <row r="2463" spans="3:6" x14ac:dyDescent="0.3">
      <c r="C2463" s="1" t="str">
        <f>IF(C2462&lt;'Investment Calculator'!$C$8*'Investment Calculator'!$F$4,'SIP Schedule'!C2462+1,"")</f>
        <v/>
      </c>
      <c r="D2463" s="27" t="str">
        <f>IF(C2463&lt;='Investment Calculator'!$C$8*'Investment Calculator'!$F$4,'Investment Calculator'!$C$6,"")</f>
        <v/>
      </c>
      <c r="E2463" s="27" t="str">
        <f>IFERROR((F2462+D2463)*'Investment Calculator'!$C$7/'Investment Calculator'!$F$4,"")</f>
        <v/>
      </c>
      <c r="F2463" s="27" t="str">
        <f>IFERROR(ABS(FV('Investment Calculator'!$C$7/'Investment Calculator'!$F$4,'SIP Schedule'!C2463,'SIP Schedule'!D2463,,1)),"")</f>
        <v/>
      </c>
    </row>
    <row r="2464" spans="3:6" x14ac:dyDescent="0.3">
      <c r="C2464" s="1" t="str">
        <f>IF(C2463&lt;'Investment Calculator'!$C$8*'Investment Calculator'!$F$4,'SIP Schedule'!C2463+1,"")</f>
        <v/>
      </c>
      <c r="D2464" s="27" t="str">
        <f>IF(C2464&lt;='Investment Calculator'!$C$8*'Investment Calculator'!$F$4,'Investment Calculator'!$C$6,"")</f>
        <v/>
      </c>
      <c r="E2464" s="27" t="str">
        <f>IFERROR((F2463+D2464)*'Investment Calculator'!$C$7/'Investment Calculator'!$F$4,"")</f>
        <v/>
      </c>
      <c r="F2464" s="27" t="str">
        <f>IFERROR(ABS(FV('Investment Calculator'!$C$7/'Investment Calculator'!$F$4,'SIP Schedule'!C2464,'SIP Schedule'!D2464,,1)),"")</f>
        <v/>
      </c>
    </row>
    <row r="2465" spans="3:6" x14ac:dyDescent="0.3">
      <c r="C2465" s="1" t="str">
        <f>IF(C2464&lt;'Investment Calculator'!$C$8*'Investment Calculator'!$F$4,'SIP Schedule'!C2464+1,"")</f>
        <v/>
      </c>
      <c r="D2465" s="27" t="str">
        <f>IF(C2465&lt;='Investment Calculator'!$C$8*'Investment Calculator'!$F$4,'Investment Calculator'!$C$6,"")</f>
        <v/>
      </c>
      <c r="E2465" s="27" t="str">
        <f>IFERROR((F2464+D2465)*'Investment Calculator'!$C$7/'Investment Calculator'!$F$4,"")</f>
        <v/>
      </c>
      <c r="F2465" s="27" t="str">
        <f>IFERROR(ABS(FV('Investment Calculator'!$C$7/'Investment Calculator'!$F$4,'SIP Schedule'!C2465,'SIP Schedule'!D2465,,1)),"")</f>
        <v/>
      </c>
    </row>
    <row r="2466" spans="3:6" x14ac:dyDescent="0.3">
      <c r="C2466" s="1" t="str">
        <f>IF(C2465&lt;'Investment Calculator'!$C$8*'Investment Calculator'!$F$4,'SIP Schedule'!C2465+1,"")</f>
        <v/>
      </c>
      <c r="D2466" s="27" t="str">
        <f>IF(C2466&lt;='Investment Calculator'!$C$8*'Investment Calculator'!$F$4,'Investment Calculator'!$C$6,"")</f>
        <v/>
      </c>
      <c r="E2466" s="27" t="str">
        <f>IFERROR((F2465+D2466)*'Investment Calculator'!$C$7/'Investment Calculator'!$F$4,"")</f>
        <v/>
      </c>
      <c r="F2466" s="27" t="str">
        <f>IFERROR(ABS(FV('Investment Calculator'!$C$7/'Investment Calculator'!$F$4,'SIP Schedule'!C2466,'SIP Schedule'!D2466,,1)),"")</f>
        <v/>
      </c>
    </row>
    <row r="2467" spans="3:6" x14ac:dyDescent="0.3">
      <c r="C2467" s="1" t="str">
        <f>IF(C2466&lt;'Investment Calculator'!$C$8*'Investment Calculator'!$F$4,'SIP Schedule'!C2466+1,"")</f>
        <v/>
      </c>
      <c r="D2467" s="27" t="str">
        <f>IF(C2467&lt;='Investment Calculator'!$C$8*'Investment Calculator'!$F$4,'Investment Calculator'!$C$6,"")</f>
        <v/>
      </c>
      <c r="E2467" s="27" t="str">
        <f>IFERROR((F2466+D2467)*'Investment Calculator'!$C$7/'Investment Calculator'!$F$4,"")</f>
        <v/>
      </c>
      <c r="F2467" s="27" t="str">
        <f>IFERROR(ABS(FV('Investment Calculator'!$C$7/'Investment Calculator'!$F$4,'SIP Schedule'!C2467,'SIP Schedule'!D2467,,1)),"")</f>
        <v/>
      </c>
    </row>
    <row r="2468" spans="3:6" x14ac:dyDescent="0.3">
      <c r="C2468" s="1" t="str">
        <f>IF(C2467&lt;'Investment Calculator'!$C$8*'Investment Calculator'!$F$4,'SIP Schedule'!C2467+1,"")</f>
        <v/>
      </c>
      <c r="D2468" s="27" t="str">
        <f>IF(C2468&lt;='Investment Calculator'!$C$8*'Investment Calculator'!$F$4,'Investment Calculator'!$C$6,"")</f>
        <v/>
      </c>
      <c r="E2468" s="27" t="str">
        <f>IFERROR((F2467+D2468)*'Investment Calculator'!$C$7/'Investment Calculator'!$F$4,"")</f>
        <v/>
      </c>
      <c r="F2468" s="27" t="str">
        <f>IFERROR(ABS(FV('Investment Calculator'!$C$7/'Investment Calculator'!$F$4,'SIP Schedule'!C2468,'SIP Schedule'!D2468,,1)),"")</f>
        <v/>
      </c>
    </row>
    <row r="2469" spans="3:6" x14ac:dyDescent="0.3">
      <c r="C2469" s="1" t="str">
        <f>IF(C2468&lt;'Investment Calculator'!$C$8*'Investment Calculator'!$F$4,'SIP Schedule'!C2468+1,"")</f>
        <v/>
      </c>
      <c r="D2469" s="27" t="str">
        <f>IF(C2469&lt;='Investment Calculator'!$C$8*'Investment Calculator'!$F$4,'Investment Calculator'!$C$6,"")</f>
        <v/>
      </c>
      <c r="E2469" s="27" t="str">
        <f>IFERROR((F2468+D2469)*'Investment Calculator'!$C$7/'Investment Calculator'!$F$4,"")</f>
        <v/>
      </c>
      <c r="F2469" s="27" t="str">
        <f>IFERROR(ABS(FV('Investment Calculator'!$C$7/'Investment Calculator'!$F$4,'SIP Schedule'!C2469,'SIP Schedule'!D2469,,1)),"")</f>
        <v/>
      </c>
    </row>
    <row r="2470" spans="3:6" x14ac:dyDescent="0.3">
      <c r="C2470" s="1" t="str">
        <f>IF(C2469&lt;'Investment Calculator'!$C$8*'Investment Calculator'!$F$4,'SIP Schedule'!C2469+1,"")</f>
        <v/>
      </c>
      <c r="D2470" s="27" t="str">
        <f>IF(C2470&lt;='Investment Calculator'!$C$8*'Investment Calculator'!$F$4,'Investment Calculator'!$C$6,"")</f>
        <v/>
      </c>
      <c r="E2470" s="27" t="str">
        <f>IFERROR((F2469+D2470)*'Investment Calculator'!$C$7/'Investment Calculator'!$F$4,"")</f>
        <v/>
      </c>
      <c r="F2470" s="27" t="str">
        <f>IFERROR(ABS(FV('Investment Calculator'!$C$7/'Investment Calculator'!$F$4,'SIP Schedule'!C2470,'SIP Schedule'!D2470,,1)),"")</f>
        <v/>
      </c>
    </row>
    <row r="2471" spans="3:6" x14ac:dyDescent="0.3">
      <c r="C2471" s="1" t="str">
        <f>IF(C2470&lt;'Investment Calculator'!$C$8*'Investment Calculator'!$F$4,'SIP Schedule'!C2470+1,"")</f>
        <v/>
      </c>
      <c r="D2471" s="27" t="str">
        <f>IF(C2471&lt;='Investment Calculator'!$C$8*'Investment Calculator'!$F$4,'Investment Calculator'!$C$6,"")</f>
        <v/>
      </c>
      <c r="E2471" s="27" t="str">
        <f>IFERROR((F2470+D2471)*'Investment Calculator'!$C$7/'Investment Calculator'!$F$4,"")</f>
        <v/>
      </c>
      <c r="F2471" s="27" t="str">
        <f>IFERROR(ABS(FV('Investment Calculator'!$C$7/'Investment Calculator'!$F$4,'SIP Schedule'!C2471,'SIP Schedule'!D2471,,1)),"")</f>
        <v/>
      </c>
    </row>
    <row r="2472" spans="3:6" x14ac:dyDescent="0.3">
      <c r="C2472" s="1" t="str">
        <f>IF(C2471&lt;'Investment Calculator'!$C$8*'Investment Calculator'!$F$4,'SIP Schedule'!C2471+1,"")</f>
        <v/>
      </c>
      <c r="D2472" s="27" t="str">
        <f>IF(C2472&lt;='Investment Calculator'!$C$8*'Investment Calculator'!$F$4,'Investment Calculator'!$C$6,"")</f>
        <v/>
      </c>
      <c r="E2472" s="27" t="str">
        <f>IFERROR((F2471+D2472)*'Investment Calculator'!$C$7/'Investment Calculator'!$F$4,"")</f>
        <v/>
      </c>
      <c r="F2472" s="27" t="str">
        <f>IFERROR(ABS(FV('Investment Calculator'!$C$7/'Investment Calculator'!$F$4,'SIP Schedule'!C2472,'SIP Schedule'!D2472,,1)),"")</f>
        <v/>
      </c>
    </row>
    <row r="2473" spans="3:6" x14ac:dyDescent="0.3">
      <c r="C2473" s="1" t="str">
        <f>IF(C2472&lt;'Investment Calculator'!$C$8*'Investment Calculator'!$F$4,'SIP Schedule'!C2472+1,"")</f>
        <v/>
      </c>
      <c r="D2473" s="27" t="str">
        <f>IF(C2473&lt;='Investment Calculator'!$C$8*'Investment Calculator'!$F$4,'Investment Calculator'!$C$6,"")</f>
        <v/>
      </c>
      <c r="E2473" s="27" t="str">
        <f>IFERROR((F2472+D2473)*'Investment Calculator'!$C$7/'Investment Calculator'!$F$4,"")</f>
        <v/>
      </c>
      <c r="F2473" s="27" t="str">
        <f>IFERROR(ABS(FV('Investment Calculator'!$C$7/'Investment Calculator'!$F$4,'SIP Schedule'!C2473,'SIP Schedule'!D2473,,1)),"")</f>
        <v/>
      </c>
    </row>
    <row r="2474" spans="3:6" x14ac:dyDescent="0.3">
      <c r="C2474" s="1" t="str">
        <f>IF(C2473&lt;'Investment Calculator'!$C$8*'Investment Calculator'!$F$4,'SIP Schedule'!C2473+1,"")</f>
        <v/>
      </c>
      <c r="D2474" s="27" t="str">
        <f>IF(C2474&lt;='Investment Calculator'!$C$8*'Investment Calculator'!$F$4,'Investment Calculator'!$C$6,"")</f>
        <v/>
      </c>
      <c r="E2474" s="27" t="str">
        <f>IFERROR((F2473+D2474)*'Investment Calculator'!$C$7/'Investment Calculator'!$F$4,"")</f>
        <v/>
      </c>
      <c r="F2474" s="27" t="str">
        <f>IFERROR(ABS(FV('Investment Calculator'!$C$7/'Investment Calculator'!$F$4,'SIP Schedule'!C2474,'SIP Schedule'!D2474,,1)),"")</f>
        <v/>
      </c>
    </row>
    <row r="2475" spans="3:6" x14ac:dyDescent="0.3">
      <c r="C2475" s="1" t="str">
        <f>IF(C2474&lt;'Investment Calculator'!$C$8*'Investment Calculator'!$F$4,'SIP Schedule'!C2474+1,"")</f>
        <v/>
      </c>
      <c r="D2475" s="27" t="str">
        <f>IF(C2475&lt;='Investment Calculator'!$C$8*'Investment Calculator'!$F$4,'Investment Calculator'!$C$6,"")</f>
        <v/>
      </c>
      <c r="E2475" s="27" t="str">
        <f>IFERROR((F2474+D2475)*'Investment Calculator'!$C$7/'Investment Calculator'!$F$4,"")</f>
        <v/>
      </c>
      <c r="F2475" s="27" t="str">
        <f>IFERROR(ABS(FV('Investment Calculator'!$C$7/'Investment Calculator'!$F$4,'SIP Schedule'!C2475,'SIP Schedule'!D2475,,1)),"")</f>
        <v/>
      </c>
    </row>
    <row r="2476" spans="3:6" x14ac:dyDescent="0.3">
      <c r="C2476" s="1" t="str">
        <f>IF(C2475&lt;'Investment Calculator'!$C$8*'Investment Calculator'!$F$4,'SIP Schedule'!C2475+1,"")</f>
        <v/>
      </c>
      <c r="D2476" s="27" t="str">
        <f>IF(C2476&lt;='Investment Calculator'!$C$8*'Investment Calculator'!$F$4,'Investment Calculator'!$C$6,"")</f>
        <v/>
      </c>
      <c r="E2476" s="27" t="str">
        <f>IFERROR((F2475+D2476)*'Investment Calculator'!$C$7/'Investment Calculator'!$F$4,"")</f>
        <v/>
      </c>
      <c r="F2476" s="27" t="str">
        <f>IFERROR(ABS(FV('Investment Calculator'!$C$7/'Investment Calculator'!$F$4,'SIP Schedule'!C2476,'SIP Schedule'!D2476,,1)),"")</f>
        <v/>
      </c>
    </row>
    <row r="2477" spans="3:6" x14ac:dyDescent="0.3">
      <c r="C2477" s="1" t="str">
        <f>IF(C2476&lt;'Investment Calculator'!$C$8*'Investment Calculator'!$F$4,'SIP Schedule'!C2476+1,"")</f>
        <v/>
      </c>
      <c r="D2477" s="27" t="str">
        <f>IF(C2477&lt;='Investment Calculator'!$C$8*'Investment Calculator'!$F$4,'Investment Calculator'!$C$6,"")</f>
        <v/>
      </c>
      <c r="E2477" s="27" t="str">
        <f>IFERROR((F2476+D2477)*'Investment Calculator'!$C$7/'Investment Calculator'!$F$4,"")</f>
        <v/>
      </c>
      <c r="F2477" s="27" t="str">
        <f>IFERROR(ABS(FV('Investment Calculator'!$C$7/'Investment Calculator'!$F$4,'SIP Schedule'!C2477,'SIP Schedule'!D2477,,1)),"")</f>
        <v/>
      </c>
    </row>
    <row r="2478" spans="3:6" x14ac:dyDescent="0.3">
      <c r="C2478" s="1" t="str">
        <f>IF(C2477&lt;'Investment Calculator'!$C$8*'Investment Calculator'!$F$4,'SIP Schedule'!C2477+1,"")</f>
        <v/>
      </c>
      <c r="D2478" s="27" t="str">
        <f>IF(C2478&lt;='Investment Calculator'!$C$8*'Investment Calculator'!$F$4,'Investment Calculator'!$C$6,"")</f>
        <v/>
      </c>
      <c r="E2478" s="27" t="str">
        <f>IFERROR((F2477+D2478)*'Investment Calculator'!$C$7/'Investment Calculator'!$F$4,"")</f>
        <v/>
      </c>
      <c r="F2478" s="27" t="str">
        <f>IFERROR(ABS(FV('Investment Calculator'!$C$7/'Investment Calculator'!$F$4,'SIP Schedule'!C2478,'SIP Schedule'!D2478,,1)),"")</f>
        <v/>
      </c>
    </row>
    <row r="2479" spans="3:6" x14ac:dyDescent="0.3">
      <c r="C2479" s="1" t="str">
        <f>IF(C2478&lt;'Investment Calculator'!$C$8*'Investment Calculator'!$F$4,'SIP Schedule'!C2478+1,"")</f>
        <v/>
      </c>
      <c r="D2479" s="27" t="str">
        <f>IF(C2479&lt;='Investment Calculator'!$C$8*'Investment Calculator'!$F$4,'Investment Calculator'!$C$6,"")</f>
        <v/>
      </c>
      <c r="E2479" s="27" t="str">
        <f>IFERROR((F2478+D2479)*'Investment Calculator'!$C$7/'Investment Calculator'!$F$4,"")</f>
        <v/>
      </c>
      <c r="F2479" s="27" t="str">
        <f>IFERROR(ABS(FV('Investment Calculator'!$C$7/'Investment Calculator'!$F$4,'SIP Schedule'!C2479,'SIP Schedule'!D2479,,1)),"")</f>
        <v/>
      </c>
    </row>
    <row r="2480" spans="3:6" x14ac:dyDescent="0.3">
      <c r="C2480" s="1" t="str">
        <f>IF(C2479&lt;'Investment Calculator'!$C$8*'Investment Calculator'!$F$4,'SIP Schedule'!C2479+1,"")</f>
        <v/>
      </c>
      <c r="D2480" s="27" t="str">
        <f>IF(C2480&lt;='Investment Calculator'!$C$8*'Investment Calculator'!$F$4,'Investment Calculator'!$C$6,"")</f>
        <v/>
      </c>
      <c r="E2480" s="27" t="str">
        <f>IFERROR((F2479+D2480)*'Investment Calculator'!$C$7/'Investment Calculator'!$F$4,"")</f>
        <v/>
      </c>
      <c r="F2480" s="27" t="str">
        <f>IFERROR(ABS(FV('Investment Calculator'!$C$7/'Investment Calculator'!$F$4,'SIP Schedule'!C2480,'SIP Schedule'!D2480,,1)),"")</f>
        <v/>
      </c>
    </row>
    <row r="2481" spans="3:6" x14ac:dyDescent="0.3">
      <c r="C2481" s="1" t="str">
        <f>IF(C2480&lt;'Investment Calculator'!$C$8*'Investment Calculator'!$F$4,'SIP Schedule'!C2480+1,"")</f>
        <v/>
      </c>
      <c r="D2481" s="27" t="str">
        <f>IF(C2481&lt;='Investment Calculator'!$C$8*'Investment Calculator'!$F$4,'Investment Calculator'!$C$6,"")</f>
        <v/>
      </c>
      <c r="E2481" s="27" t="str">
        <f>IFERROR((F2480+D2481)*'Investment Calculator'!$C$7/'Investment Calculator'!$F$4,"")</f>
        <v/>
      </c>
      <c r="F2481" s="27" t="str">
        <f>IFERROR(ABS(FV('Investment Calculator'!$C$7/'Investment Calculator'!$F$4,'SIP Schedule'!C2481,'SIP Schedule'!D2481,,1)),"")</f>
        <v/>
      </c>
    </row>
    <row r="2482" spans="3:6" x14ac:dyDescent="0.3">
      <c r="C2482" s="1" t="str">
        <f>IF(C2481&lt;'Investment Calculator'!$C$8*'Investment Calculator'!$F$4,'SIP Schedule'!C2481+1,"")</f>
        <v/>
      </c>
      <c r="D2482" s="27" t="str">
        <f>IF(C2482&lt;='Investment Calculator'!$C$8*'Investment Calculator'!$F$4,'Investment Calculator'!$C$6,"")</f>
        <v/>
      </c>
      <c r="E2482" s="27" t="str">
        <f>IFERROR((F2481+D2482)*'Investment Calculator'!$C$7/'Investment Calculator'!$F$4,"")</f>
        <v/>
      </c>
      <c r="F2482" s="27" t="str">
        <f>IFERROR(ABS(FV('Investment Calculator'!$C$7/'Investment Calculator'!$F$4,'SIP Schedule'!C2482,'SIP Schedule'!D2482,,1)),"")</f>
        <v/>
      </c>
    </row>
    <row r="2483" spans="3:6" x14ac:dyDescent="0.3">
      <c r="C2483" s="1" t="str">
        <f>IF(C2482&lt;'Investment Calculator'!$C$8*'Investment Calculator'!$F$4,'SIP Schedule'!C2482+1,"")</f>
        <v/>
      </c>
      <c r="D2483" s="27" t="str">
        <f>IF(C2483&lt;='Investment Calculator'!$C$8*'Investment Calculator'!$F$4,'Investment Calculator'!$C$6,"")</f>
        <v/>
      </c>
      <c r="E2483" s="27" t="str">
        <f>IFERROR((F2482+D2483)*'Investment Calculator'!$C$7/'Investment Calculator'!$F$4,"")</f>
        <v/>
      </c>
      <c r="F2483" s="27" t="str">
        <f>IFERROR(ABS(FV('Investment Calculator'!$C$7/'Investment Calculator'!$F$4,'SIP Schedule'!C2483,'SIP Schedule'!D2483,,1)),"")</f>
        <v/>
      </c>
    </row>
    <row r="2484" spans="3:6" x14ac:dyDescent="0.3">
      <c r="C2484" s="1" t="str">
        <f>IF(C2483&lt;'Investment Calculator'!$C$8*'Investment Calculator'!$F$4,'SIP Schedule'!C2483+1,"")</f>
        <v/>
      </c>
      <c r="D2484" s="27" t="str">
        <f>IF(C2484&lt;='Investment Calculator'!$C$8*'Investment Calculator'!$F$4,'Investment Calculator'!$C$6,"")</f>
        <v/>
      </c>
      <c r="E2484" s="27" t="str">
        <f>IFERROR((F2483+D2484)*'Investment Calculator'!$C$7/'Investment Calculator'!$F$4,"")</f>
        <v/>
      </c>
      <c r="F2484" s="27" t="str">
        <f>IFERROR(ABS(FV('Investment Calculator'!$C$7/'Investment Calculator'!$F$4,'SIP Schedule'!C2484,'SIP Schedule'!D2484,,1)),"")</f>
        <v/>
      </c>
    </row>
    <row r="2485" spans="3:6" x14ac:dyDescent="0.3">
      <c r="C2485" s="1" t="str">
        <f>IF(C2484&lt;'Investment Calculator'!$C$8*'Investment Calculator'!$F$4,'SIP Schedule'!C2484+1,"")</f>
        <v/>
      </c>
      <c r="D2485" s="27" t="str">
        <f>IF(C2485&lt;='Investment Calculator'!$C$8*'Investment Calculator'!$F$4,'Investment Calculator'!$C$6,"")</f>
        <v/>
      </c>
      <c r="E2485" s="27" t="str">
        <f>IFERROR((F2484+D2485)*'Investment Calculator'!$C$7/'Investment Calculator'!$F$4,"")</f>
        <v/>
      </c>
      <c r="F2485" s="27" t="str">
        <f>IFERROR(ABS(FV('Investment Calculator'!$C$7/'Investment Calculator'!$F$4,'SIP Schedule'!C2485,'SIP Schedule'!D2485,,1)),"")</f>
        <v/>
      </c>
    </row>
    <row r="2486" spans="3:6" x14ac:dyDescent="0.3">
      <c r="C2486" s="1" t="str">
        <f>IF(C2485&lt;'Investment Calculator'!$C$8*'Investment Calculator'!$F$4,'SIP Schedule'!C2485+1,"")</f>
        <v/>
      </c>
      <c r="D2486" s="27" t="str">
        <f>IF(C2486&lt;='Investment Calculator'!$C$8*'Investment Calculator'!$F$4,'Investment Calculator'!$C$6,"")</f>
        <v/>
      </c>
      <c r="E2486" s="27" t="str">
        <f>IFERROR((F2485+D2486)*'Investment Calculator'!$C$7/'Investment Calculator'!$F$4,"")</f>
        <v/>
      </c>
      <c r="F2486" s="27" t="str">
        <f>IFERROR(ABS(FV('Investment Calculator'!$C$7/'Investment Calculator'!$F$4,'SIP Schedule'!C2486,'SIP Schedule'!D2486,,1)),"")</f>
        <v/>
      </c>
    </row>
    <row r="2487" spans="3:6" x14ac:dyDescent="0.3">
      <c r="C2487" s="1" t="str">
        <f>IF(C2486&lt;'Investment Calculator'!$C$8*'Investment Calculator'!$F$4,'SIP Schedule'!C2486+1,"")</f>
        <v/>
      </c>
      <c r="D2487" s="27" t="str">
        <f>IF(C2487&lt;='Investment Calculator'!$C$8*'Investment Calculator'!$F$4,'Investment Calculator'!$C$6,"")</f>
        <v/>
      </c>
      <c r="E2487" s="27" t="str">
        <f>IFERROR((F2486+D2487)*'Investment Calculator'!$C$7/'Investment Calculator'!$F$4,"")</f>
        <v/>
      </c>
      <c r="F2487" s="27" t="str">
        <f>IFERROR(ABS(FV('Investment Calculator'!$C$7/'Investment Calculator'!$F$4,'SIP Schedule'!C2487,'SIP Schedule'!D2487,,1)),"")</f>
        <v/>
      </c>
    </row>
    <row r="2488" spans="3:6" x14ac:dyDescent="0.3">
      <c r="C2488" s="1" t="str">
        <f>IF(C2487&lt;'Investment Calculator'!$C$8*'Investment Calculator'!$F$4,'SIP Schedule'!C2487+1,"")</f>
        <v/>
      </c>
      <c r="D2488" s="27" t="str">
        <f>IF(C2488&lt;='Investment Calculator'!$C$8*'Investment Calculator'!$F$4,'Investment Calculator'!$C$6,"")</f>
        <v/>
      </c>
      <c r="E2488" s="27" t="str">
        <f>IFERROR((F2487+D2488)*'Investment Calculator'!$C$7/'Investment Calculator'!$F$4,"")</f>
        <v/>
      </c>
      <c r="F2488" s="27" t="str">
        <f>IFERROR(ABS(FV('Investment Calculator'!$C$7/'Investment Calculator'!$F$4,'SIP Schedule'!C2488,'SIP Schedule'!D2488,,1)),"")</f>
        <v/>
      </c>
    </row>
    <row r="2489" spans="3:6" x14ac:dyDescent="0.3">
      <c r="C2489" s="1" t="str">
        <f>IF(C2488&lt;'Investment Calculator'!$C$8*'Investment Calculator'!$F$4,'SIP Schedule'!C2488+1,"")</f>
        <v/>
      </c>
      <c r="D2489" s="27" t="str">
        <f>IF(C2489&lt;='Investment Calculator'!$C$8*'Investment Calculator'!$F$4,'Investment Calculator'!$C$6,"")</f>
        <v/>
      </c>
      <c r="E2489" s="27" t="str">
        <f>IFERROR((F2488+D2489)*'Investment Calculator'!$C$7/'Investment Calculator'!$F$4,"")</f>
        <v/>
      </c>
      <c r="F2489" s="27" t="str">
        <f>IFERROR(ABS(FV('Investment Calculator'!$C$7/'Investment Calculator'!$F$4,'SIP Schedule'!C2489,'SIP Schedule'!D2489,,1)),"")</f>
        <v/>
      </c>
    </row>
    <row r="2490" spans="3:6" x14ac:dyDescent="0.3">
      <c r="C2490" s="1" t="str">
        <f>IF(C2489&lt;'Investment Calculator'!$C$8*'Investment Calculator'!$F$4,'SIP Schedule'!C2489+1,"")</f>
        <v/>
      </c>
      <c r="D2490" s="27" t="str">
        <f>IF(C2490&lt;='Investment Calculator'!$C$8*'Investment Calculator'!$F$4,'Investment Calculator'!$C$6,"")</f>
        <v/>
      </c>
      <c r="E2490" s="27" t="str">
        <f>IFERROR((F2489+D2490)*'Investment Calculator'!$C$7/'Investment Calculator'!$F$4,"")</f>
        <v/>
      </c>
      <c r="F2490" s="27" t="str">
        <f>IFERROR(ABS(FV('Investment Calculator'!$C$7/'Investment Calculator'!$F$4,'SIP Schedule'!C2490,'SIP Schedule'!D2490,,1)),"")</f>
        <v/>
      </c>
    </row>
    <row r="2491" spans="3:6" x14ac:dyDescent="0.3">
      <c r="C2491" s="1" t="str">
        <f>IF(C2490&lt;'Investment Calculator'!$C$8*'Investment Calculator'!$F$4,'SIP Schedule'!C2490+1,"")</f>
        <v/>
      </c>
      <c r="D2491" s="27" t="str">
        <f>IF(C2491&lt;='Investment Calculator'!$C$8*'Investment Calculator'!$F$4,'Investment Calculator'!$C$6,"")</f>
        <v/>
      </c>
      <c r="E2491" s="27" t="str">
        <f>IFERROR((F2490+D2491)*'Investment Calculator'!$C$7/'Investment Calculator'!$F$4,"")</f>
        <v/>
      </c>
      <c r="F2491" s="27" t="str">
        <f>IFERROR(ABS(FV('Investment Calculator'!$C$7/'Investment Calculator'!$F$4,'SIP Schedule'!C2491,'SIP Schedule'!D2491,,1)),"")</f>
        <v/>
      </c>
    </row>
    <row r="2492" spans="3:6" x14ac:dyDescent="0.3">
      <c r="C2492" s="1" t="str">
        <f>IF(C2491&lt;'Investment Calculator'!$C$8*'Investment Calculator'!$F$4,'SIP Schedule'!C2491+1,"")</f>
        <v/>
      </c>
      <c r="D2492" s="27" t="str">
        <f>IF(C2492&lt;='Investment Calculator'!$C$8*'Investment Calculator'!$F$4,'Investment Calculator'!$C$6,"")</f>
        <v/>
      </c>
      <c r="E2492" s="27" t="str">
        <f>IFERROR((F2491+D2492)*'Investment Calculator'!$C$7/'Investment Calculator'!$F$4,"")</f>
        <v/>
      </c>
      <c r="F2492" s="27" t="str">
        <f>IFERROR(ABS(FV('Investment Calculator'!$C$7/'Investment Calculator'!$F$4,'SIP Schedule'!C2492,'SIP Schedule'!D2492,,1)),"")</f>
        <v/>
      </c>
    </row>
    <row r="2493" spans="3:6" x14ac:dyDescent="0.3">
      <c r="C2493" s="1" t="str">
        <f>IF(C2492&lt;'Investment Calculator'!$C$8*'Investment Calculator'!$F$4,'SIP Schedule'!C2492+1,"")</f>
        <v/>
      </c>
      <c r="D2493" s="27" t="str">
        <f>IF(C2493&lt;='Investment Calculator'!$C$8*'Investment Calculator'!$F$4,'Investment Calculator'!$C$6,"")</f>
        <v/>
      </c>
      <c r="E2493" s="27" t="str">
        <f>IFERROR((F2492+D2493)*'Investment Calculator'!$C$7/'Investment Calculator'!$F$4,"")</f>
        <v/>
      </c>
      <c r="F2493" s="27" t="str">
        <f>IFERROR(ABS(FV('Investment Calculator'!$C$7/'Investment Calculator'!$F$4,'SIP Schedule'!C2493,'SIP Schedule'!D2493,,1)),"")</f>
        <v/>
      </c>
    </row>
    <row r="2494" spans="3:6" x14ac:dyDescent="0.3">
      <c r="C2494" s="1" t="str">
        <f>IF(C2493&lt;'Investment Calculator'!$C$8*'Investment Calculator'!$F$4,'SIP Schedule'!C2493+1,"")</f>
        <v/>
      </c>
      <c r="D2494" s="27" t="str">
        <f>IF(C2494&lt;='Investment Calculator'!$C$8*'Investment Calculator'!$F$4,'Investment Calculator'!$C$6,"")</f>
        <v/>
      </c>
      <c r="E2494" s="27" t="str">
        <f>IFERROR((F2493+D2494)*'Investment Calculator'!$C$7/'Investment Calculator'!$F$4,"")</f>
        <v/>
      </c>
      <c r="F2494" s="27" t="str">
        <f>IFERROR(ABS(FV('Investment Calculator'!$C$7/'Investment Calculator'!$F$4,'SIP Schedule'!C2494,'SIP Schedule'!D2494,,1)),"")</f>
        <v/>
      </c>
    </row>
    <row r="2495" spans="3:6" x14ac:dyDescent="0.3">
      <c r="C2495" s="1" t="str">
        <f>IF(C2494&lt;'Investment Calculator'!$C$8*'Investment Calculator'!$F$4,'SIP Schedule'!C2494+1,"")</f>
        <v/>
      </c>
      <c r="D2495" s="27" t="str">
        <f>IF(C2495&lt;='Investment Calculator'!$C$8*'Investment Calculator'!$F$4,'Investment Calculator'!$C$6,"")</f>
        <v/>
      </c>
      <c r="E2495" s="27" t="str">
        <f>IFERROR((F2494+D2495)*'Investment Calculator'!$C$7/'Investment Calculator'!$F$4,"")</f>
        <v/>
      </c>
      <c r="F2495" s="27" t="str">
        <f>IFERROR(ABS(FV('Investment Calculator'!$C$7/'Investment Calculator'!$F$4,'SIP Schedule'!C2495,'SIP Schedule'!D2495,,1)),"")</f>
        <v/>
      </c>
    </row>
    <row r="2496" spans="3:6" x14ac:dyDescent="0.3">
      <c r="C2496" s="1" t="str">
        <f>IF(C2495&lt;'Investment Calculator'!$C$8*'Investment Calculator'!$F$4,'SIP Schedule'!C2495+1,"")</f>
        <v/>
      </c>
      <c r="D2496" s="27" t="str">
        <f>IF(C2496&lt;='Investment Calculator'!$C$8*'Investment Calculator'!$F$4,'Investment Calculator'!$C$6,"")</f>
        <v/>
      </c>
      <c r="E2496" s="27" t="str">
        <f>IFERROR((F2495+D2496)*'Investment Calculator'!$C$7/'Investment Calculator'!$F$4,"")</f>
        <v/>
      </c>
      <c r="F2496" s="27" t="str">
        <f>IFERROR(ABS(FV('Investment Calculator'!$C$7/'Investment Calculator'!$F$4,'SIP Schedule'!C2496,'SIP Schedule'!D2496,,1)),"")</f>
        <v/>
      </c>
    </row>
    <row r="2497" spans="3:6" x14ac:dyDescent="0.3">
      <c r="C2497" s="1" t="str">
        <f>IF(C2496&lt;'Investment Calculator'!$C$8*'Investment Calculator'!$F$4,'SIP Schedule'!C2496+1,"")</f>
        <v/>
      </c>
      <c r="D2497" s="27" t="str">
        <f>IF(C2497&lt;='Investment Calculator'!$C$8*'Investment Calculator'!$F$4,'Investment Calculator'!$C$6,"")</f>
        <v/>
      </c>
      <c r="E2497" s="27" t="str">
        <f>IFERROR((F2496+D2497)*'Investment Calculator'!$C$7/'Investment Calculator'!$F$4,"")</f>
        <v/>
      </c>
      <c r="F2497" s="27" t="str">
        <f>IFERROR(ABS(FV('Investment Calculator'!$C$7/'Investment Calculator'!$F$4,'SIP Schedule'!C2497,'SIP Schedule'!D2497,,1)),"")</f>
        <v/>
      </c>
    </row>
    <row r="2498" spans="3:6" x14ac:dyDescent="0.3">
      <c r="C2498" s="1" t="str">
        <f>IF(C2497&lt;'Investment Calculator'!$C$8*'Investment Calculator'!$F$4,'SIP Schedule'!C2497+1,"")</f>
        <v/>
      </c>
      <c r="D2498" s="27" t="str">
        <f>IF(C2498&lt;='Investment Calculator'!$C$8*'Investment Calculator'!$F$4,'Investment Calculator'!$C$6,"")</f>
        <v/>
      </c>
      <c r="E2498" s="27" t="str">
        <f>IFERROR((F2497+D2498)*'Investment Calculator'!$C$7/'Investment Calculator'!$F$4,"")</f>
        <v/>
      </c>
      <c r="F2498" s="27" t="str">
        <f>IFERROR(ABS(FV('Investment Calculator'!$C$7/'Investment Calculator'!$F$4,'SIP Schedule'!C2498,'SIP Schedule'!D2498,,1)),"")</f>
        <v/>
      </c>
    </row>
    <row r="2499" spans="3:6" x14ac:dyDescent="0.3">
      <c r="C2499" s="1" t="str">
        <f>IF(C2498&lt;'Investment Calculator'!$C$8*'Investment Calculator'!$F$4,'SIP Schedule'!C2498+1,"")</f>
        <v/>
      </c>
      <c r="D2499" s="27" t="str">
        <f>IF(C2499&lt;='Investment Calculator'!$C$8*'Investment Calculator'!$F$4,'Investment Calculator'!$C$6,"")</f>
        <v/>
      </c>
      <c r="E2499" s="27" t="str">
        <f>IFERROR((F2498+D2499)*'Investment Calculator'!$C$7/'Investment Calculator'!$F$4,"")</f>
        <v/>
      </c>
      <c r="F2499" s="27" t="str">
        <f>IFERROR(ABS(FV('Investment Calculator'!$C$7/'Investment Calculator'!$F$4,'SIP Schedule'!C2499,'SIP Schedule'!D2499,,1)),"")</f>
        <v/>
      </c>
    </row>
    <row r="2500" spans="3:6" x14ac:dyDescent="0.3">
      <c r="C2500" s="1" t="str">
        <f>IF(C2499&lt;'Investment Calculator'!$C$8*'Investment Calculator'!$F$4,'SIP Schedule'!C2499+1,"")</f>
        <v/>
      </c>
      <c r="D2500" s="27" t="str">
        <f>IF(C2500&lt;='Investment Calculator'!$C$8*'Investment Calculator'!$F$4,'Investment Calculator'!$C$6,"")</f>
        <v/>
      </c>
      <c r="E2500" s="27" t="str">
        <f>IFERROR((F2499+D2500)*'Investment Calculator'!$C$7/'Investment Calculator'!$F$4,"")</f>
        <v/>
      </c>
      <c r="F2500" s="27" t="str">
        <f>IFERROR(ABS(FV('Investment Calculator'!$C$7/'Investment Calculator'!$F$4,'SIP Schedule'!C2500,'SIP Schedule'!D2500,,1)),"")</f>
        <v/>
      </c>
    </row>
    <row r="2501" spans="3:6" x14ac:dyDescent="0.3">
      <c r="C2501" s="1" t="str">
        <f>IF(C2500&lt;'Investment Calculator'!$C$8*'Investment Calculator'!$F$4,'SIP Schedule'!C2500+1,"")</f>
        <v/>
      </c>
      <c r="D2501" s="27" t="str">
        <f>IF(C2501&lt;='Investment Calculator'!$C$8*'Investment Calculator'!$F$4,'Investment Calculator'!$C$6,"")</f>
        <v/>
      </c>
      <c r="E2501" s="27" t="str">
        <f>IFERROR((F2500+D2501)*'Investment Calculator'!$C$7/'Investment Calculator'!$F$4,"")</f>
        <v/>
      </c>
      <c r="F2501" s="27" t="str">
        <f>IFERROR(ABS(FV('Investment Calculator'!$C$7/'Investment Calculator'!$F$4,'SIP Schedule'!C2501,'SIP Schedule'!D2501,,1)),"")</f>
        <v/>
      </c>
    </row>
    <row r="2502" spans="3:6" x14ac:dyDescent="0.3">
      <c r="C2502" s="1" t="str">
        <f>IF(C2501&lt;'Investment Calculator'!$C$8*'Investment Calculator'!$F$4,'SIP Schedule'!C2501+1,"")</f>
        <v/>
      </c>
      <c r="D2502" s="27" t="str">
        <f>IF(C2502&lt;='Investment Calculator'!$C$8*'Investment Calculator'!$F$4,'Investment Calculator'!$C$6,"")</f>
        <v/>
      </c>
      <c r="E2502" s="27" t="str">
        <f>IFERROR((F2501+D2502)*'Investment Calculator'!$C$7/'Investment Calculator'!$F$4,"")</f>
        <v/>
      </c>
      <c r="F2502" s="27" t="str">
        <f>IFERROR(ABS(FV('Investment Calculator'!$C$7/'Investment Calculator'!$F$4,'SIP Schedule'!C2502,'SIP Schedule'!D2502,,1)),"")</f>
        <v/>
      </c>
    </row>
    <row r="2503" spans="3:6" x14ac:dyDescent="0.3">
      <c r="C2503" s="1" t="str">
        <f>IF(C2502&lt;'Investment Calculator'!$C$8*'Investment Calculator'!$F$4,'SIP Schedule'!C2502+1,"")</f>
        <v/>
      </c>
      <c r="D2503" s="27" t="str">
        <f>IF(C2503&lt;='Investment Calculator'!$C$8*'Investment Calculator'!$F$4,'Investment Calculator'!$C$6,"")</f>
        <v/>
      </c>
      <c r="E2503" s="27" t="str">
        <f>IFERROR((F2502+D2503)*'Investment Calculator'!$C$7/'Investment Calculator'!$F$4,"")</f>
        <v/>
      </c>
      <c r="F2503" s="27" t="str">
        <f>IFERROR(ABS(FV('Investment Calculator'!$C$7/'Investment Calculator'!$F$4,'SIP Schedule'!C2503,'SIP Schedule'!D2503,,1)),"")</f>
        <v/>
      </c>
    </row>
    <row r="2504" spans="3:6" x14ac:dyDescent="0.3">
      <c r="C2504" s="1" t="str">
        <f>IF(C2503&lt;'Investment Calculator'!$C$8*'Investment Calculator'!$F$4,'SIP Schedule'!C2503+1,"")</f>
        <v/>
      </c>
      <c r="D2504" s="27" t="str">
        <f>IF(C2504&lt;='Investment Calculator'!$C$8*'Investment Calculator'!$F$4,'Investment Calculator'!$C$6,"")</f>
        <v/>
      </c>
      <c r="E2504" s="27" t="str">
        <f>IFERROR((F2503+D2504)*'Investment Calculator'!$C$7/'Investment Calculator'!$F$4,"")</f>
        <v/>
      </c>
      <c r="F2504" s="27" t="str">
        <f>IFERROR(ABS(FV('Investment Calculator'!$C$7/'Investment Calculator'!$F$4,'SIP Schedule'!C2504,'SIP Schedule'!D2504,,1)),"")</f>
        <v/>
      </c>
    </row>
    <row r="2505" spans="3:6" x14ac:dyDescent="0.3">
      <c r="C2505" s="1" t="str">
        <f>IF(C2504&lt;'Investment Calculator'!$C$8*'Investment Calculator'!$F$4,'SIP Schedule'!C2504+1,"")</f>
        <v/>
      </c>
      <c r="D2505" s="27" t="str">
        <f>IF(C2505&lt;='Investment Calculator'!$C$8*'Investment Calculator'!$F$4,'Investment Calculator'!$C$6,"")</f>
        <v/>
      </c>
      <c r="E2505" s="27" t="str">
        <f>IFERROR((F2504+D2505)*'Investment Calculator'!$C$7/'Investment Calculator'!$F$4,"")</f>
        <v/>
      </c>
      <c r="F2505" s="27" t="str">
        <f>IFERROR(ABS(FV('Investment Calculator'!$C$7/'Investment Calculator'!$F$4,'SIP Schedule'!C2505,'SIP Schedule'!D2505,,1)),"")</f>
        <v/>
      </c>
    </row>
    <row r="2506" spans="3:6" x14ac:dyDescent="0.3">
      <c r="C2506" s="1" t="str">
        <f>IF(C2505&lt;'Investment Calculator'!$C$8*'Investment Calculator'!$F$4,'SIP Schedule'!C2505+1,"")</f>
        <v/>
      </c>
      <c r="D2506" s="27" t="str">
        <f>IF(C2506&lt;='Investment Calculator'!$C$8*'Investment Calculator'!$F$4,'Investment Calculator'!$C$6,"")</f>
        <v/>
      </c>
      <c r="E2506" s="27" t="str">
        <f>IFERROR((F2505+D2506)*'Investment Calculator'!$C$7/'Investment Calculator'!$F$4,"")</f>
        <v/>
      </c>
      <c r="F2506" s="27" t="str">
        <f>IFERROR(ABS(FV('Investment Calculator'!$C$7/'Investment Calculator'!$F$4,'SIP Schedule'!C2506,'SIP Schedule'!D2506,,1)),"")</f>
        <v/>
      </c>
    </row>
    <row r="2507" spans="3:6" x14ac:dyDescent="0.3">
      <c r="C2507" s="1" t="str">
        <f>IF(C2506&lt;'Investment Calculator'!$C$8*'Investment Calculator'!$F$4,'SIP Schedule'!C2506+1,"")</f>
        <v/>
      </c>
      <c r="D2507" s="27" t="str">
        <f>IF(C2507&lt;='Investment Calculator'!$C$8*'Investment Calculator'!$F$4,'Investment Calculator'!$C$6,"")</f>
        <v/>
      </c>
      <c r="E2507" s="27" t="str">
        <f>IFERROR((F2506+D2507)*'Investment Calculator'!$C$7/'Investment Calculator'!$F$4,"")</f>
        <v/>
      </c>
      <c r="F2507" s="27" t="str">
        <f>IFERROR(ABS(FV('Investment Calculator'!$C$7/'Investment Calculator'!$F$4,'SIP Schedule'!C2507,'SIP Schedule'!D2507,,1)),"")</f>
        <v/>
      </c>
    </row>
    <row r="2508" spans="3:6" x14ac:dyDescent="0.3">
      <c r="C2508" s="1" t="str">
        <f>IF(C2507&lt;'Investment Calculator'!$C$8*'Investment Calculator'!$F$4,'SIP Schedule'!C2507+1,"")</f>
        <v/>
      </c>
      <c r="D2508" s="27" t="str">
        <f>IF(C2508&lt;='Investment Calculator'!$C$8*'Investment Calculator'!$F$4,'Investment Calculator'!$C$6,"")</f>
        <v/>
      </c>
      <c r="E2508" s="27" t="str">
        <f>IFERROR((F2507+D2508)*'Investment Calculator'!$C$7/'Investment Calculator'!$F$4,"")</f>
        <v/>
      </c>
      <c r="F2508" s="27" t="str">
        <f>IFERROR(ABS(FV('Investment Calculator'!$C$7/'Investment Calculator'!$F$4,'SIP Schedule'!C2508,'SIP Schedule'!D2508,,1)),"")</f>
        <v/>
      </c>
    </row>
    <row r="2509" spans="3:6" x14ac:dyDescent="0.3">
      <c r="C2509" s="1" t="str">
        <f>IF(C2508&lt;'Investment Calculator'!$C$8*'Investment Calculator'!$F$4,'SIP Schedule'!C2508+1,"")</f>
        <v/>
      </c>
      <c r="D2509" s="27" t="str">
        <f>IF(C2509&lt;='Investment Calculator'!$C$8*'Investment Calculator'!$F$4,'Investment Calculator'!$C$6,"")</f>
        <v/>
      </c>
      <c r="E2509" s="27" t="str">
        <f>IFERROR((F2508+D2509)*'Investment Calculator'!$C$7/'Investment Calculator'!$F$4,"")</f>
        <v/>
      </c>
      <c r="F2509" s="27" t="str">
        <f>IFERROR(ABS(FV('Investment Calculator'!$C$7/'Investment Calculator'!$F$4,'SIP Schedule'!C2509,'SIP Schedule'!D2509,,1)),"")</f>
        <v/>
      </c>
    </row>
    <row r="2510" spans="3:6" x14ac:dyDescent="0.3">
      <c r="C2510" s="1" t="str">
        <f>IF(C2509&lt;'Investment Calculator'!$C$8*'Investment Calculator'!$F$4,'SIP Schedule'!C2509+1,"")</f>
        <v/>
      </c>
      <c r="D2510" s="27" t="str">
        <f>IF(C2510&lt;='Investment Calculator'!$C$8*'Investment Calculator'!$F$4,'Investment Calculator'!$C$6,"")</f>
        <v/>
      </c>
      <c r="E2510" s="27" t="str">
        <f>IFERROR((F2509+D2510)*'Investment Calculator'!$C$7/'Investment Calculator'!$F$4,"")</f>
        <v/>
      </c>
      <c r="F2510" s="27" t="str">
        <f>IFERROR(ABS(FV('Investment Calculator'!$C$7/'Investment Calculator'!$F$4,'SIP Schedule'!C2510,'SIP Schedule'!D2510,,1)),"")</f>
        <v/>
      </c>
    </row>
    <row r="2511" spans="3:6" x14ac:dyDescent="0.3">
      <c r="C2511" s="1" t="str">
        <f>IF(C2510&lt;'Investment Calculator'!$C$8*'Investment Calculator'!$F$4,'SIP Schedule'!C2510+1,"")</f>
        <v/>
      </c>
      <c r="D2511" s="27" t="str">
        <f>IF(C2511&lt;='Investment Calculator'!$C$8*'Investment Calculator'!$F$4,'Investment Calculator'!$C$6,"")</f>
        <v/>
      </c>
      <c r="E2511" s="27" t="str">
        <f>IFERROR((F2510+D2511)*'Investment Calculator'!$C$7/'Investment Calculator'!$F$4,"")</f>
        <v/>
      </c>
      <c r="F2511" s="27" t="str">
        <f>IFERROR(ABS(FV('Investment Calculator'!$C$7/'Investment Calculator'!$F$4,'SIP Schedule'!C2511,'SIP Schedule'!D2511,,1)),"")</f>
        <v/>
      </c>
    </row>
    <row r="2512" spans="3:6" x14ac:dyDescent="0.3">
      <c r="C2512" s="1" t="str">
        <f>IF(C2511&lt;'Investment Calculator'!$C$8*'Investment Calculator'!$F$4,'SIP Schedule'!C2511+1,"")</f>
        <v/>
      </c>
      <c r="D2512" s="27" t="str">
        <f>IF(C2512&lt;='Investment Calculator'!$C$8*'Investment Calculator'!$F$4,'Investment Calculator'!$C$6,"")</f>
        <v/>
      </c>
      <c r="E2512" s="27" t="str">
        <f>IFERROR((F2511+D2512)*'Investment Calculator'!$C$7/'Investment Calculator'!$F$4,"")</f>
        <v/>
      </c>
      <c r="F2512" s="27" t="str">
        <f>IFERROR(ABS(FV('Investment Calculator'!$C$7/'Investment Calculator'!$F$4,'SIP Schedule'!C2512,'SIP Schedule'!D2512,,1)),"")</f>
        <v/>
      </c>
    </row>
    <row r="2513" spans="3:6" x14ac:dyDescent="0.3">
      <c r="C2513" s="1" t="str">
        <f>IF(C2512&lt;'Investment Calculator'!$C$8*'Investment Calculator'!$F$4,'SIP Schedule'!C2512+1,"")</f>
        <v/>
      </c>
      <c r="D2513" s="27" t="str">
        <f>IF(C2513&lt;='Investment Calculator'!$C$8*'Investment Calculator'!$F$4,'Investment Calculator'!$C$6,"")</f>
        <v/>
      </c>
      <c r="E2513" s="27" t="str">
        <f>IFERROR((F2512+D2513)*'Investment Calculator'!$C$7/'Investment Calculator'!$F$4,"")</f>
        <v/>
      </c>
      <c r="F2513" s="27" t="str">
        <f>IFERROR(ABS(FV('Investment Calculator'!$C$7/'Investment Calculator'!$F$4,'SIP Schedule'!C2513,'SIP Schedule'!D2513,,1)),"")</f>
        <v/>
      </c>
    </row>
    <row r="2514" spans="3:6" x14ac:dyDescent="0.3">
      <c r="C2514" s="1" t="str">
        <f>IF(C2513&lt;'Investment Calculator'!$C$8*'Investment Calculator'!$F$4,'SIP Schedule'!C2513+1,"")</f>
        <v/>
      </c>
      <c r="D2514" s="27" t="str">
        <f>IF(C2514&lt;='Investment Calculator'!$C$8*'Investment Calculator'!$F$4,'Investment Calculator'!$C$6,"")</f>
        <v/>
      </c>
      <c r="E2514" s="27" t="str">
        <f>IFERROR((F2513+D2514)*'Investment Calculator'!$C$7/'Investment Calculator'!$F$4,"")</f>
        <v/>
      </c>
      <c r="F2514" s="27" t="str">
        <f>IFERROR(ABS(FV('Investment Calculator'!$C$7/'Investment Calculator'!$F$4,'SIP Schedule'!C2514,'SIP Schedule'!D2514,,1)),"")</f>
        <v/>
      </c>
    </row>
    <row r="2515" spans="3:6" x14ac:dyDescent="0.3">
      <c r="C2515" s="1" t="str">
        <f>IF(C2514&lt;'Investment Calculator'!$C$8*'Investment Calculator'!$F$4,'SIP Schedule'!C2514+1,"")</f>
        <v/>
      </c>
      <c r="D2515" s="27" t="str">
        <f>IF(C2515&lt;='Investment Calculator'!$C$8*'Investment Calculator'!$F$4,'Investment Calculator'!$C$6,"")</f>
        <v/>
      </c>
      <c r="E2515" s="27" t="str">
        <f>IFERROR((F2514+D2515)*'Investment Calculator'!$C$7/'Investment Calculator'!$F$4,"")</f>
        <v/>
      </c>
      <c r="F2515" s="27" t="str">
        <f>IFERROR(ABS(FV('Investment Calculator'!$C$7/'Investment Calculator'!$F$4,'SIP Schedule'!C2515,'SIP Schedule'!D2515,,1)),"")</f>
        <v/>
      </c>
    </row>
    <row r="2516" spans="3:6" x14ac:dyDescent="0.3">
      <c r="C2516" s="1" t="str">
        <f>IF(C2515&lt;'Investment Calculator'!$C$8*'Investment Calculator'!$F$4,'SIP Schedule'!C2515+1,"")</f>
        <v/>
      </c>
      <c r="D2516" s="27" t="str">
        <f>IF(C2516&lt;='Investment Calculator'!$C$8*'Investment Calculator'!$F$4,'Investment Calculator'!$C$6,"")</f>
        <v/>
      </c>
      <c r="E2516" s="27" t="str">
        <f>IFERROR((F2515+D2516)*'Investment Calculator'!$C$7/'Investment Calculator'!$F$4,"")</f>
        <v/>
      </c>
      <c r="F2516" s="27" t="str">
        <f>IFERROR(ABS(FV('Investment Calculator'!$C$7/'Investment Calculator'!$F$4,'SIP Schedule'!C2516,'SIP Schedule'!D2516,,1)),"")</f>
        <v/>
      </c>
    </row>
    <row r="2517" spans="3:6" x14ac:dyDescent="0.3">
      <c r="C2517" s="1" t="str">
        <f>IF(C2516&lt;'Investment Calculator'!$C$8*'Investment Calculator'!$F$4,'SIP Schedule'!C2516+1,"")</f>
        <v/>
      </c>
      <c r="D2517" s="27" t="str">
        <f>IF(C2517&lt;='Investment Calculator'!$C$8*'Investment Calculator'!$F$4,'Investment Calculator'!$C$6,"")</f>
        <v/>
      </c>
      <c r="E2517" s="27" t="str">
        <f>IFERROR((F2516+D2517)*'Investment Calculator'!$C$7/'Investment Calculator'!$F$4,"")</f>
        <v/>
      </c>
      <c r="F2517" s="27" t="str">
        <f>IFERROR(ABS(FV('Investment Calculator'!$C$7/'Investment Calculator'!$F$4,'SIP Schedule'!C2517,'SIP Schedule'!D2517,,1)),"")</f>
        <v/>
      </c>
    </row>
    <row r="2518" spans="3:6" x14ac:dyDescent="0.3">
      <c r="C2518" s="1" t="str">
        <f>IF(C2517&lt;'Investment Calculator'!$C$8*'Investment Calculator'!$F$4,'SIP Schedule'!C2517+1,"")</f>
        <v/>
      </c>
      <c r="D2518" s="27" t="str">
        <f>IF(C2518&lt;='Investment Calculator'!$C$8*'Investment Calculator'!$F$4,'Investment Calculator'!$C$6,"")</f>
        <v/>
      </c>
      <c r="E2518" s="27" t="str">
        <f>IFERROR((F2517+D2518)*'Investment Calculator'!$C$7/'Investment Calculator'!$F$4,"")</f>
        <v/>
      </c>
      <c r="F2518" s="27" t="str">
        <f>IFERROR(ABS(FV('Investment Calculator'!$C$7/'Investment Calculator'!$F$4,'SIP Schedule'!C2518,'SIP Schedule'!D2518,,1)),"")</f>
        <v/>
      </c>
    </row>
    <row r="2519" spans="3:6" x14ac:dyDescent="0.3">
      <c r="C2519" s="1" t="str">
        <f>IF(C2518&lt;'Investment Calculator'!$C$8*'Investment Calculator'!$F$4,'SIP Schedule'!C2518+1,"")</f>
        <v/>
      </c>
      <c r="D2519" s="27" t="str">
        <f>IF(C2519&lt;='Investment Calculator'!$C$8*'Investment Calculator'!$F$4,'Investment Calculator'!$C$6,"")</f>
        <v/>
      </c>
      <c r="E2519" s="27" t="str">
        <f>IFERROR((F2518+D2519)*'Investment Calculator'!$C$7/'Investment Calculator'!$F$4,"")</f>
        <v/>
      </c>
      <c r="F2519" s="27" t="str">
        <f>IFERROR(ABS(FV('Investment Calculator'!$C$7/'Investment Calculator'!$F$4,'SIP Schedule'!C2519,'SIP Schedule'!D2519,,1)),"")</f>
        <v/>
      </c>
    </row>
    <row r="2520" spans="3:6" x14ac:dyDescent="0.3">
      <c r="C2520" s="1" t="str">
        <f>IF(C2519&lt;'Investment Calculator'!$C$8*'Investment Calculator'!$F$4,'SIP Schedule'!C2519+1,"")</f>
        <v/>
      </c>
      <c r="D2520" s="27" t="str">
        <f>IF(C2520&lt;='Investment Calculator'!$C$8*'Investment Calculator'!$F$4,'Investment Calculator'!$C$6,"")</f>
        <v/>
      </c>
      <c r="E2520" s="27" t="str">
        <f>IFERROR((F2519+D2520)*'Investment Calculator'!$C$7/'Investment Calculator'!$F$4,"")</f>
        <v/>
      </c>
      <c r="F2520" s="27" t="str">
        <f>IFERROR(ABS(FV('Investment Calculator'!$C$7/'Investment Calculator'!$F$4,'SIP Schedule'!C2520,'SIP Schedule'!D2520,,1)),"")</f>
        <v/>
      </c>
    </row>
    <row r="2521" spans="3:6" x14ac:dyDescent="0.3">
      <c r="C2521" s="1" t="str">
        <f>IF(C2520&lt;'Investment Calculator'!$C$8*'Investment Calculator'!$F$4,'SIP Schedule'!C2520+1,"")</f>
        <v/>
      </c>
      <c r="D2521" s="27" t="str">
        <f>IF(C2521&lt;='Investment Calculator'!$C$8*'Investment Calculator'!$F$4,'Investment Calculator'!$C$6,"")</f>
        <v/>
      </c>
      <c r="E2521" s="27" t="str">
        <f>IFERROR((F2520+D2521)*'Investment Calculator'!$C$7/'Investment Calculator'!$F$4,"")</f>
        <v/>
      </c>
      <c r="F2521" s="27" t="str">
        <f>IFERROR(ABS(FV('Investment Calculator'!$C$7/'Investment Calculator'!$F$4,'SIP Schedule'!C2521,'SIP Schedule'!D2521,,1)),"")</f>
        <v/>
      </c>
    </row>
    <row r="2522" spans="3:6" x14ac:dyDescent="0.3">
      <c r="C2522" s="1" t="str">
        <f>IF(C2521&lt;'Investment Calculator'!$C$8*'Investment Calculator'!$F$4,'SIP Schedule'!C2521+1,"")</f>
        <v/>
      </c>
      <c r="D2522" s="27" t="str">
        <f>IF(C2522&lt;='Investment Calculator'!$C$8*'Investment Calculator'!$F$4,'Investment Calculator'!$C$6,"")</f>
        <v/>
      </c>
      <c r="E2522" s="27" t="str">
        <f>IFERROR((F2521+D2522)*'Investment Calculator'!$C$7/'Investment Calculator'!$F$4,"")</f>
        <v/>
      </c>
      <c r="F2522" s="27" t="str">
        <f>IFERROR(ABS(FV('Investment Calculator'!$C$7/'Investment Calculator'!$F$4,'SIP Schedule'!C2522,'SIP Schedule'!D2522,,1)),"")</f>
        <v/>
      </c>
    </row>
    <row r="2523" spans="3:6" x14ac:dyDescent="0.3">
      <c r="C2523" s="1" t="str">
        <f>IF(C2522&lt;'Investment Calculator'!$C$8*'Investment Calculator'!$F$4,'SIP Schedule'!C2522+1,"")</f>
        <v/>
      </c>
      <c r="D2523" s="27" t="str">
        <f>IF(C2523&lt;='Investment Calculator'!$C$8*'Investment Calculator'!$F$4,'Investment Calculator'!$C$6,"")</f>
        <v/>
      </c>
      <c r="E2523" s="27" t="str">
        <f>IFERROR((F2522+D2523)*'Investment Calculator'!$C$7/'Investment Calculator'!$F$4,"")</f>
        <v/>
      </c>
      <c r="F2523" s="27" t="str">
        <f>IFERROR(ABS(FV('Investment Calculator'!$C$7/'Investment Calculator'!$F$4,'SIP Schedule'!C2523,'SIP Schedule'!D2523,,1)),"")</f>
        <v/>
      </c>
    </row>
    <row r="2524" spans="3:6" x14ac:dyDescent="0.3">
      <c r="C2524" s="1" t="str">
        <f>IF(C2523&lt;'Investment Calculator'!$C$8*'Investment Calculator'!$F$4,'SIP Schedule'!C2523+1,"")</f>
        <v/>
      </c>
      <c r="D2524" s="27" t="str">
        <f>IF(C2524&lt;='Investment Calculator'!$C$8*'Investment Calculator'!$F$4,'Investment Calculator'!$C$6,"")</f>
        <v/>
      </c>
      <c r="E2524" s="27" t="str">
        <f>IFERROR((F2523+D2524)*'Investment Calculator'!$C$7/'Investment Calculator'!$F$4,"")</f>
        <v/>
      </c>
      <c r="F2524" s="27" t="str">
        <f>IFERROR(ABS(FV('Investment Calculator'!$C$7/'Investment Calculator'!$F$4,'SIP Schedule'!C2524,'SIP Schedule'!D2524,,1)),"")</f>
        <v/>
      </c>
    </row>
    <row r="2525" spans="3:6" x14ac:dyDescent="0.3">
      <c r="C2525" s="1" t="str">
        <f>IF(C2524&lt;'Investment Calculator'!$C$8*'Investment Calculator'!$F$4,'SIP Schedule'!C2524+1,"")</f>
        <v/>
      </c>
      <c r="D2525" s="27" t="str">
        <f>IF(C2525&lt;='Investment Calculator'!$C$8*'Investment Calculator'!$F$4,'Investment Calculator'!$C$6,"")</f>
        <v/>
      </c>
      <c r="E2525" s="27" t="str">
        <f>IFERROR((F2524+D2525)*'Investment Calculator'!$C$7/'Investment Calculator'!$F$4,"")</f>
        <v/>
      </c>
      <c r="F2525" s="27" t="str">
        <f>IFERROR(ABS(FV('Investment Calculator'!$C$7/'Investment Calculator'!$F$4,'SIP Schedule'!C2525,'SIP Schedule'!D2525,,1)),"")</f>
        <v/>
      </c>
    </row>
    <row r="2526" spans="3:6" x14ac:dyDescent="0.3">
      <c r="C2526" s="1" t="str">
        <f>IF(C2525&lt;'Investment Calculator'!$C$8*'Investment Calculator'!$F$4,'SIP Schedule'!C2525+1,"")</f>
        <v/>
      </c>
      <c r="D2526" s="27" t="str">
        <f>IF(C2526&lt;='Investment Calculator'!$C$8*'Investment Calculator'!$F$4,'Investment Calculator'!$C$6,"")</f>
        <v/>
      </c>
      <c r="E2526" s="27" t="str">
        <f>IFERROR((F2525+D2526)*'Investment Calculator'!$C$7/'Investment Calculator'!$F$4,"")</f>
        <v/>
      </c>
      <c r="F2526" s="27" t="str">
        <f>IFERROR(ABS(FV('Investment Calculator'!$C$7/'Investment Calculator'!$F$4,'SIP Schedule'!C2526,'SIP Schedule'!D2526,,1)),"")</f>
        <v/>
      </c>
    </row>
    <row r="2527" spans="3:6" x14ac:dyDescent="0.3">
      <c r="C2527" s="1" t="str">
        <f>IF(C2526&lt;'Investment Calculator'!$C$8*'Investment Calculator'!$F$4,'SIP Schedule'!C2526+1,"")</f>
        <v/>
      </c>
      <c r="D2527" s="27" t="str">
        <f>IF(C2527&lt;='Investment Calculator'!$C$8*'Investment Calculator'!$F$4,'Investment Calculator'!$C$6,"")</f>
        <v/>
      </c>
      <c r="E2527" s="27" t="str">
        <f>IFERROR((F2526+D2527)*'Investment Calculator'!$C$7/'Investment Calculator'!$F$4,"")</f>
        <v/>
      </c>
      <c r="F2527" s="27" t="str">
        <f>IFERROR(ABS(FV('Investment Calculator'!$C$7/'Investment Calculator'!$F$4,'SIP Schedule'!C2527,'SIP Schedule'!D2527,,1)),"")</f>
        <v/>
      </c>
    </row>
    <row r="2528" spans="3:6" x14ac:dyDescent="0.3">
      <c r="C2528" s="1" t="str">
        <f>IF(C2527&lt;'Investment Calculator'!$C$8*'Investment Calculator'!$F$4,'SIP Schedule'!C2527+1,"")</f>
        <v/>
      </c>
      <c r="D2528" s="27" t="str">
        <f>IF(C2528&lt;='Investment Calculator'!$C$8*'Investment Calculator'!$F$4,'Investment Calculator'!$C$6,"")</f>
        <v/>
      </c>
      <c r="E2528" s="27" t="str">
        <f>IFERROR((F2527+D2528)*'Investment Calculator'!$C$7/'Investment Calculator'!$F$4,"")</f>
        <v/>
      </c>
      <c r="F2528" s="27" t="str">
        <f>IFERROR(ABS(FV('Investment Calculator'!$C$7/'Investment Calculator'!$F$4,'SIP Schedule'!C2528,'SIP Schedule'!D2528,,1)),"")</f>
        <v/>
      </c>
    </row>
    <row r="2529" spans="3:6" x14ac:dyDescent="0.3">
      <c r="C2529" s="1" t="str">
        <f>IF(C2528&lt;'Investment Calculator'!$C$8*'Investment Calculator'!$F$4,'SIP Schedule'!C2528+1,"")</f>
        <v/>
      </c>
      <c r="D2529" s="27" t="str">
        <f>IF(C2529&lt;='Investment Calculator'!$C$8*'Investment Calculator'!$F$4,'Investment Calculator'!$C$6,"")</f>
        <v/>
      </c>
      <c r="E2529" s="27" t="str">
        <f>IFERROR((F2528+D2529)*'Investment Calculator'!$C$7/'Investment Calculator'!$F$4,"")</f>
        <v/>
      </c>
      <c r="F2529" s="27" t="str">
        <f>IFERROR(ABS(FV('Investment Calculator'!$C$7/'Investment Calculator'!$F$4,'SIP Schedule'!C2529,'SIP Schedule'!D2529,,1)),"")</f>
        <v/>
      </c>
    </row>
    <row r="2530" spans="3:6" x14ac:dyDescent="0.3">
      <c r="C2530" s="1" t="str">
        <f>IF(C2529&lt;'Investment Calculator'!$C$8*'Investment Calculator'!$F$4,'SIP Schedule'!C2529+1,"")</f>
        <v/>
      </c>
      <c r="D2530" s="27" t="str">
        <f>IF(C2530&lt;='Investment Calculator'!$C$8*'Investment Calculator'!$F$4,'Investment Calculator'!$C$6,"")</f>
        <v/>
      </c>
      <c r="E2530" s="27" t="str">
        <f>IFERROR((F2529+D2530)*'Investment Calculator'!$C$7/'Investment Calculator'!$F$4,"")</f>
        <v/>
      </c>
      <c r="F2530" s="27" t="str">
        <f>IFERROR(ABS(FV('Investment Calculator'!$C$7/'Investment Calculator'!$F$4,'SIP Schedule'!C2530,'SIP Schedule'!D2530,,1)),"")</f>
        <v/>
      </c>
    </row>
    <row r="2531" spans="3:6" x14ac:dyDescent="0.3">
      <c r="C2531" s="1" t="str">
        <f>IF(C2530&lt;'Investment Calculator'!$C$8*'Investment Calculator'!$F$4,'SIP Schedule'!C2530+1,"")</f>
        <v/>
      </c>
      <c r="D2531" s="27" t="str">
        <f>IF(C2531&lt;='Investment Calculator'!$C$8*'Investment Calculator'!$F$4,'Investment Calculator'!$C$6,"")</f>
        <v/>
      </c>
      <c r="E2531" s="27" t="str">
        <f>IFERROR((F2530+D2531)*'Investment Calculator'!$C$7/'Investment Calculator'!$F$4,"")</f>
        <v/>
      </c>
      <c r="F2531" s="27" t="str">
        <f>IFERROR(ABS(FV('Investment Calculator'!$C$7/'Investment Calculator'!$F$4,'SIP Schedule'!C2531,'SIP Schedule'!D2531,,1)),"")</f>
        <v/>
      </c>
    </row>
    <row r="2532" spans="3:6" x14ac:dyDescent="0.3">
      <c r="C2532" s="1" t="str">
        <f>IF(C2531&lt;'Investment Calculator'!$C$8*'Investment Calculator'!$F$4,'SIP Schedule'!C2531+1,"")</f>
        <v/>
      </c>
      <c r="D2532" s="27" t="str">
        <f>IF(C2532&lt;='Investment Calculator'!$C$8*'Investment Calculator'!$F$4,'Investment Calculator'!$C$6,"")</f>
        <v/>
      </c>
      <c r="E2532" s="27" t="str">
        <f>IFERROR((F2531+D2532)*'Investment Calculator'!$C$7/'Investment Calculator'!$F$4,"")</f>
        <v/>
      </c>
      <c r="F2532" s="27" t="str">
        <f>IFERROR(ABS(FV('Investment Calculator'!$C$7/'Investment Calculator'!$F$4,'SIP Schedule'!C2532,'SIP Schedule'!D2532,,1)),"")</f>
        <v/>
      </c>
    </row>
    <row r="2533" spans="3:6" x14ac:dyDescent="0.3">
      <c r="C2533" s="1" t="str">
        <f>IF(C2532&lt;'Investment Calculator'!$C$8*'Investment Calculator'!$F$4,'SIP Schedule'!C2532+1,"")</f>
        <v/>
      </c>
      <c r="D2533" s="27" t="str">
        <f>IF(C2533&lt;='Investment Calculator'!$C$8*'Investment Calculator'!$F$4,'Investment Calculator'!$C$6,"")</f>
        <v/>
      </c>
      <c r="E2533" s="27" t="str">
        <f>IFERROR((F2532+D2533)*'Investment Calculator'!$C$7/'Investment Calculator'!$F$4,"")</f>
        <v/>
      </c>
      <c r="F2533" s="27" t="str">
        <f>IFERROR(ABS(FV('Investment Calculator'!$C$7/'Investment Calculator'!$F$4,'SIP Schedule'!C2533,'SIP Schedule'!D2533,,1)),"")</f>
        <v/>
      </c>
    </row>
    <row r="2534" spans="3:6" x14ac:dyDescent="0.3">
      <c r="C2534" s="1" t="str">
        <f>IF(C2533&lt;'Investment Calculator'!$C$8*'Investment Calculator'!$F$4,'SIP Schedule'!C2533+1,"")</f>
        <v/>
      </c>
      <c r="D2534" s="27" t="str">
        <f>IF(C2534&lt;='Investment Calculator'!$C$8*'Investment Calculator'!$F$4,'Investment Calculator'!$C$6,"")</f>
        <v/>
      </c>
      <c r="E2534" s="27" t="str">
        <f>IFERROR((F2533+D2534)*'Investment Calculator'!$C$7/'Investment Calculator'!$F$4,"")</f>
        <v/>
      </c>
      <c r="F2534" s="27" t="str">
        <f>IFERROR(ABS(FV('Investment Calculator'!$C$7/'Investment Calculator'!$F$4,'SIP Schedule'!C2534,'SIP Schedule'!D2534,,1)),"")</f>
        <v/>
      </c>
    </row>
    <row r="2535" spans="3:6" x14ac:dyDescent="0.3">
      <c r="C2535" s="1" t="str">
        <f>IF(C2534&lt;'Investment Calculator'!$C$8*'Investment Calculator'!$F$4,'SIP Schedule'!C2534+1,"")</f>
        <v/>
      </c>
      <c r="D2535" s="27" t="str">
        <f>IF(C2535&lt;='Investment Calculator'!$C$8*'Investment Calculator'!$F$4,'Investment Calculator'!$C$6,"")</f>
        <v/>
      </c>
      <c r="E2535" s="27" t="str">
        <f>IFERROR((F2534+D2535)*'Investment Calculator'!$C$7/'Investment Calculator'!$F$4,"")</f>
        <v/>
      </c>
      <c r="F2535" s="27" t="str">
        <f>IFERROR(ABS(FV('Investment Calculator'!$C$7/'Investment Calculator'!$F$4,'SIP Schedule'!C2535,'SIP Schedule'!D2535,,1)),"")</f>
        <v/>
      </c>
    </row>
    <row r="2536" spans="3:6" x14ac:dyDescent="0.3">
      <c r="C2536" s="1" t="str">
        <f>IF(C2535&lt;'Investment Calculator'!$C$8*'Investment Calculator'!$F$4,'SIP Schedule'!C2535+1,"")</f>
        <v/>
      </c>
      <c r="D2536" s="27" t="str">
        <f>IF(C2536&lt;='Investment Calculator'!$C$8*'Investment Calculator'!$F$4,'Investment Calculator'!$C$6,"")</f>
        <v/>
      </c>
      <c r="E2536" s="27" t="str">
        <f>IFERROR((F2535+D2536)*'Investment Calculator'!$C$7/'Investment Calculator'!$F$4,"")</f>
        <v/>
      </c>
      <c r="F2536" s="27" t="str">
        <f>IFERROR(ABS(FV('Investment Calculator'!$C$7/'Investment Calculator'!$F$4,'SIP Schedule'!C2536,'SIP Schedule'!D2536,,1)),"")</f>
        <v/>
      </c>
    </row>
    <row r="2537" spans="3:6" x14ac:dyDescent="0.3">
      <c r="C2537" s="1" t="str">
        <f>IF(C2536&lt;'Investment Calculator'!$C$8*'Investment Calculator'!$F$4,'SIP Schedule'!C2536+1,"")</f>
        <v/>
      </c>
      <c r="D2537" s="27" t="str">
        <f>IF(C2537&lt;='Investment Calculator'!$C$8*'Investment Calculator'!$F$4,'Investment Calculator'!$C$6,"")</f>
        <v/>
      </c>
      <c r="E2537" s="27" t="str">
        <f>IFERROR((F2536+D2537)*'Investment Calculator'!$C$7/'Investment Calculator'!$F$4,"")</f>
        <v/>
      </c>
      <c r="F2537" s="27" t="str">
        <f>IFERROR(ABS(FV('Investment Calculator'!$C$7/'Investment Calculator'!$F$4,'SIP Schedule'!C2537,'SIP Schedule'!D2537,,1)),"")</f>
        <v/>
      </c>
    </row>
    <row r="2538" spans="3:6" x14ac:dyDescent="0.3">
      <c r="C2538" s="1" t="str">
        <f>IF(C2537&lt;'Investment Calculator'!$C$8*'Investment Calculator'!$F$4,'SIP Schedule'!C2537+1,"")</f>
        <v/>
      </c>
      <c r="D2538" s="27" t="str">
        <f>IF(C2538&lt;='Investment Calculator'!$C$8*'Investment Calculator'!$F$4,'Investment Calculator'!$C$6,"")</f>
        <v/>
      </c>
      <c r="E2538" s="27" t="str">
        <f>IFERROR((F2537+D2538)*'Investment Calculator'!$C$7/'Investment Calculator'!$F$4,"")</f>
        <v/>
      </c>
      <c r="F2538" s="27" t="str">
        <f>IFERROR(ABS(FV('Investment Calculator'!$C$7/'Investment Calculator'!$F$4,'SIP Schedule'!C2538,'SIP Schedule'!D2538,,1)),"")</f>
        <v/>
      </c>
    </row>
    <row r="2539" spans="3:6" x14ac:dyDescent="0.3">
      <c r="C2539" s="1" t="str">
        <f>IF(C2538&lt;'Investment Calculator'!$C$8*'Investment Calculator'!$F$4,'SIP Schedule'!C2538+1,"")</f>
        <v/>
      </c>
      <c r="D2539" s="27" t="str">
        <f>IF(C2539&lt;='Investment Calculator'!$C$8*'Investment Calculator'!$F$4,'Investment Calculator'!$C$6,"")</f>
        <v/>
      </c>
      <c r="E2539" s="27" t="str">
        <f>IFERROR((F2538+D2539)*'Investment Calculator'!$C$7/'Investment Calculator'!$F$4,"")</f>
        <v/>
      </c>
      <c r="F2539" s="27" t="str">
        <f>IFERROR(ABS(FV('Investment Calculator'!$C$7/'Investment Calculator'!$F$4,'SIP Schedule'!C2539,'SIP Schedule'!D2539,,1)),"")</f>
        <v/>
      </c>
    </row>
    <row r="2540" spans="3:6" x14ac:dyDescent="0.3">
      <c r="C2540" s="1" t="str">
        <f>IF(C2539&lt;'Investment Calculator'!$C$8*'Investment Calculator'!$F$4,'SIP Schedule'!C2539+1,"")</f>
        <v/>
      </c>
      <c r="D2540" s="27" t="str">
        <f>IF(C2540&lt;='Investment Calculator'!$C$8*'Investment Calculator'!$F$4,'Investment Calculator'!$C$6,"")</f>
        <v/>
      </c>
      <c r="E2540" s="27" t="str">
        <f>IFERROR((F2539+D2540)*'Investment Calculator'!$C$7/'Investment Calculator'!$F$4,"")</f>
        <v/>
      </c>
      <c r="F2540" s="27" t="str">
        <f>IFERROR(ABS(FV('Investment Calculator'!$C$7/'Investment Calculator'!$F$4,'SIP Schedule'!C2540,'SIP Schedule'!D2540,,1)),"")</f>
        <v/>
      </c>
    </row>
    <row r="2541" spans="3:6" x14ac:dyDescent="0.3">
      <c r="C2541" s="1" t="str">
        <f>IF(C2540&lt;'Investment Calculator'!$C$8*'Investment Calculator'!$F$4,'SIP Schedule'!C2540+1,"")</f>
        <v/>
      </c>
      <c r="D2541" s="27" t="str">
        <f>IF(C2541&lt;='Investment Calculator'!$C$8*'Investment Calculator'!$F$4,'Investment Calculator'!$C$6,"")</f>
        <v/>
      </c>
      <c r="E2541" s="27" t="str">
        <f>IFERROR((F2540+D2541)*'Investment Calculator'!$C$7/'Investment Calculator'!$F$4,"")</f>
        <v/>
      </c>
      <c r="F2541" s="27" t="str">
        <f>IFERROR(ABS(FV('Investment Calculator'!$C$7/'Investment Calculator'!$F$4,'SIP Schedule'!C2541,'SIP Schedule'!D2541,,1)),"")</f>
        <v/>
      </c>
    </row>
    <row r="2542" spans="3:6" x14ac:dyDescent="0.3">
      <c r="C2542" s="1" t="str">
        <f>IF(C2541&lt;'Investment Calculator'!$C$8*'Investment Calculator'!$F$4,'SIP Schedule'!C2541+1,"")</f>
        <v/>
      </c>
      <c r="D2542" s="27" t="str">
        <f>IF(C2542&lt;='Investment Calculator'!$C$8*'Investment Calculator'!$F$4,'Investment Calculator'!$C$6,"")</f>
        <v/>
      </c>
      <c r="E2542" s="27" t="str">
        <f>IFERROR((F2541+D2542)*'Investment Calculator'!$C$7/'Investment Calculator'!$F$4,"")</f>
        <v/>
      </c>
      <c r="F2542" s="27" t="str">
        <f>IFERROR(ABS(FV('Investment Calculator'!$C$7/'Investment Calculator'!$F$4,'SIP Schedule'!C2542,'SIP Schedule'!D2542,,1)),"")</f>
        <v/>
      </c>
    </row>
    <row r="2543" spans="3:6" x14ac:dyDescent="0.3">
      <c r="C2543" s="1" t="str">
        <f>IF(C2542&lt;'Investment Calculator'!$C$8*'Investment Calculator'!$F$4,'SIP Schedule'!C2542+1,"")</f>
        <v/>
      </c>
      <c r="D2543" s="27" t="str">
        <f>IF(C2543&lt;='Investment Calculator'!$C$8*'Investment Calculator'!$F$4,'Investment Calculator'!$C$6,"")</f>
        <v/>
      </c>
      <c r="E2543" s="27" t="str">
        <f>IFERROR((F2542+D2543)*'Investment Calculator'!$C$7/'Investment Calculator'!$F$4,"")</f>
        <v/>
      </c>
      <c r="F2543" s="27" t="str">
        <f>IFERROR(ABS(FV('Investment Calculator'!$C$7/'Investment Calculator'!$F$4,'SIP Schedule'!C2543,'SIP Schedule'!D2543,,1)),"")</f>
        <v/>
      </c>
    </row>
    <row r="2544" spans="3:6" x14ac:dyDescent="0.3">
      <c r="C2544" s="1" t="str">
        <f>IF(C2543&lt;'Investment Calculator'!$C$8*'Investment Calculator'!$F$4,'SIP Schedule'!C2543+1,"")</f>
        <v/>
      </c>
      <c r="D2544" s="27" t="str">
        <f>IF(C2544&lt;='Investment Calculator'!$C$8*'Investment Calculator'!$F$4,'Investment Calculator'!$C$6,"")</f>
        <v/>
      </c>
      <c r="E2544" s="27" t="str">
        <f>IFERROR((F2543+D2544)*'Investment Calculator'!$C$7/'Investment Calculator'!$F$4,"")</f>
        <v/>
      </c>
      <c r="F2544" s="27" t="str">
        <f>IFERROR(ABS(FV('Investment Calculator'!$C$7/'Investment Calculator'!$F$4,'SIP Schedule'!C2544,'SIP Schedule'!D2544,,1)),"")</f>
        <v/>
      </c>
    </row>
    <row r="2545" spans="3:6" x14ac:dyDescent="0.3">
      <c r="C2545" s="1" t="str">
        <f>IF(C2544&lt;'Investment Calculator'!$C$8*'Investment Calculator'!$F$4,'SIP Schedule'!C2544+1,"")</f>
        <v/>
      </c>
      <c r="D2545" s="27" t="str">
        <f>IF(C2545&lt;='Investment Calculator'!$C$8*'Investment Calculator'!$F$4,'Investment Calculator'!$C$6,"")</f>
        <v/>
      </c>
      <c r="E2545" s="27" t="str">
        <f>IFERROR((F2544+D2545)*'Investment Calculator'!$C$7/'Investment Calculator'!$F$4,"")</f>
        <v/>
      </c>
      <c r="F2545" s="27" t="str">
        <f>IFERROR(ABS(FV('Investment Calculator'!$C$7/'Investment Calculator'!$F$4,'SIP Schedule'!C2545,'SIP Schedule'!D2545,,1)),"")</f>
        <v/>
      </c>
    </row>
    <row r="2546" spans="3:6" x14ac:dyDescent="0.3">
      <c r="C2546" s="1" t="str">
        <f>IF(C2545&lt;'Investment Calculator'!$C$8*'Investment Calculator'!$F$4,'SIP Schedule'!C2545+1,"")</f>
        <v/>
      </c>
      <c r="D2546" s="27" t="str">
        <f>IF(C2546&lt;='Investment Calculator'!$C$8*'Investment Calculator'!$F$4,'Investment Calculator'!$C$6,"")</f>
        <v/>
      </c>
      <c r="E2546" s="27" t="str">
        <f>IFERROR((F2545+D2546)*'Investment Calculator'!$C$7/'Investment Calculator'!$F$4,"")</f>
        <v/>
      </c>
      <c r="F2546" s="27" t="str">
        <f>IFERROR(ABS(FV('Investment Calculator'!$C$7/'Investment Calculator'!$F$4,'SIP Schedule'!C2546,'SIP Schedule'!D2546,,1)),"")</f>
        <v/>
      </c>
    </row>
    <row r="2547" spans="3:6" x14ac:dyDescent="0.3">
      <c r="C2547" s="1" t="str">
        <f>IF(C2546&lt;'Investment Calculator'!$C$8*'Investment Calculator'!$F$4,'SIP Schedule'!C2546+1,"")</f>
        <v/>
      </c>
      <c r="D2547" s="27" t="str">
        <f>IF(C2547&lt;='Investment Calculator'!$C$8*'Investment Calculator'!$F$4,'Investment Calculator'!$C$6,"")</f>
        <v/>
      </c>
      <c r="E2547" s="27" t="str">
        <f>IFERROR((F2546+D2547)*'Investment Calculator'!$C$7/'Investment Calculator'!$F$4,"")</f>
        <v/>
      </c>
      <c r="F2547" s="27" t="str">
        <f>IFERROR(ABS(FV('Investment Calculator'!$C$7/'Investment Calculator'!$F$4,'SIP Schedule'!C2547,'SIP Schedule'!D2547,,1)),"")</f>
        <v/>
      </c>
    </row>
    <row r="2548" spans="3:6" x14ac:dyDescent="0.3">
      <c r="C2548" s="1" t="str">
        <f>IF(C2547&lt;'Investment Calculator'!$C$8*'Investment Calculator'!$F$4,'SIP Schedule'!C2547+1,"")</f>
        <v/>
      </c>
      <c r="D2548" s="27" t="str">
        <f>IF(C2548&lt;='Investment Calculator'!$C$8*'Investment Calculator'!$F$4,'Investment Calculator'!$C$6,"")</f>
        <v/>
      </c>
      <c r="E2548" s="27" t="str">
        <f>IFERROR((F2547+D2548)*'Investment Calculator'!$C$7/'Investment Calculator'!$F$4,"")</f>
        <v/>
      </c>
      <c r="F2548" s="27" t="str">
        <f>IFERROR(ABS(FV('Investment Calculator'!$C$7/'Investment Calculator'!$F$4,'SIP Schedule'!C2548,'SIP Schedule'!D2548,,1)),"")</f>
        <v/>
      </c>
    </row>
    <row r="2549" spans="3:6" x14ac:dyDescent="0.3">
      <c r="C2549" s="1" t="str">
        <f>IF(C2548&lt;'Investment Calculator'!$C$8*'Investment Calculator'!$F$4,'SIP Schedule'!C2548+1,"")</f>
        <v/>
      </c>
      <c r="D2549" s="27" t="str">
        <f>IF(C2549&lt;='Investment Calculator'!$C$8*'Investment Calculator'!$F$4,'Investment Calculator'!$C$6,"")</f>
        <v/>
      </c>
      <c r="E2549" s="27" t="str">
        <f>IFERROR((F2548+D2549)*'Investment Calculator'!$C$7/'Investment Calculator'!$F$4,"")</f>
        <v/>
      </c>
      <c r="F2549" s="27" t="str">
        <f>IFERROR(ABS(FV('Investment Calculator'!$C$7/'Investment Calculator'!$F$4,'SIP Schedule'!C2549,'SIP Schedule'!D2549,,1)),"")</f>
        <v/>
      </c>
    </row>
    <row r="2550" spans="3:6" x14ac:dyDescent="0.3">
      <c r="C2550" s="1" t="str">
        <f>IF(C2549&lt;'Investment Calculator'!$C$8*'Investment Calculator'!$F$4,'SIP Schedule'!C2549+1,"")</f>
        <v/>
      </c>
      <c r="D2550" s="27" t="str">
        <f>IF(C2550&lt;='Investment Calculator'!$C$8*'Investment Calculator'!$F$4,'Investment Calculator'!$C$6,"")</f>
        <v/>
      </c>
      <c r="E2550" s="27" t="str">
        <f>IFERROR((F2549+D2550)*'Investment Calculator'!$C$7/'Investment Calculator'!$F$4,"")</f>
        <v/>
      </c>
      <c r="F2550" s="27" t="str">
        <f>IFERROR(ABS(FV('Investment Calculator'!$C$7/'Investment Calculator'!$F$4,'SIP Schedule'!C2550,'SIP Schedule'!D2550,,1)),"")</f>
        <v/>
      </c>
    </row>
    <row r="2551" spans="3:6" x14ac:dyDescent="0.3">
      <c r="C2551" s="1" t="str">
        <f>IF(C2550&lt;'Investment Calculator'!$C$8*'Investment Calculator'!$F$4,'SIP Schedule'!C2550+1,"")</f>
        <v/>
      </c>
      <c r="D2551" s="27" t="str">
        <f>IF(C2551&lt;='Investment Calculator'!$C$8*'Investment Calculator'!$F$4,'Investment Calculator'!$C$6,"")</f>
        <v/>
      </c>
      <c r="E2551" s="27" t="str">
        <f>IFERROR((F2550+D2551)*'Investment Calculator'!$C$7/'Investment Calculator'!$F$4,"")</f>
        <v/>
      </c>
      <c r="F2551" s="27" t="str">
        <f>IFERROR(ABS(FV('Investment Calculator'!$C$7/'Investment Calculator'!$F$4,'SIP Schedule'!C2551,'SIP Schedule'!D2551,,1)),"")</f>
        <v/>
      </c>
    </row>
    <row r="2552" spans="3:6" x14ac:dyDescent="0.3">
      <c r="C2552" s="1" t="str">
        <f>IF(C2551&lt;'Investment Calculator'!$C$8*'Investment Calculator'!$F$4,'SIP Schedule'!C2551+1,"")</f>
        <v/>
      </c>
      <c r="D2552" s="27" t="str">
        <f>IF(C2552&lt;='Investment Calculator'!$C$8*'Investment Calculator'!$F$4,'Investment Calculator'!$C$6,"")</f>
        <v/>
      </c>
      <c r="E2552" s="27" t="str">
        <f>IFERROR((F2551+D2552)*'Investment Calculator'!$C$7/'Investment Calculator'!$F$4,"")</f>
        <v/>
      </c>
      <c r="F2552" s="27" t="str">
        <f>IFERROR(ABS(FV('Investment Calculator'!$C$7/'Investment Calculator'!$F$4,'SIP Schedule'!C2552,'SIP Schedule'!D2552,,1)),"")</f>
        <v/>
      </c>
    </row>
    <row r="2553" spans="3:6" x14ac:dyDescent="0.3">
      <c r="C2553" s="1" t="str">
        <f>IF(C2552&lt;'Investment Calculator'!$C$8*'Investment Calculator'!$F$4,'SIP Schedule'!C2552+1,"")</f>
        <v/>
      </c>
      <c r="D2553" s="27" t="str">
        <f>IF(C2553&lt;='Investment Calculator'!$C$8*'Investment Calculator'!$F$4,'Investment Calculator'!$C$6,"")</f>
        <v/>
      </c>
      <c r="E2553" s="27" t="str">
        <f>IFERROR((F2552+D2553)*'Investment Calculator'!$C$7/'Investment Calculator'!$F$4,"")</f>
        <v/>
      </c>
      <c r="F2553" s="27" t="str">
        <f>IFERROR(ABS(FV('Investment Calculator'!$C$7/'Investment Calculator'!$F$4,'SIP Schedule'!C2553,'SIP Schedule'!D2553,,1)),"")</f>
        <v/>
      </c>
    </row>
    <row r="2554" spans="3:6" x14ac:dyDescent="0.3">
      <c r="C2554" s="1" t="str">
        <f>IF(C2553&lt;'Investment Calculator'!$C$8*'Investment Calculator'!$F$4,'SIP Schedule'!C2553+1,"")</f>
        <v/>
      </c>
      <c r="D2554" s="27" t="str">
        <f>IF(C2554&lt;='Investment Calculator'!$C$8*'Investment Calculator'!$F$4,'Investment Calculator'!$C$6,"")</f>
        <v/>
      </c>
      <c r="E2554" s="27" t="str">
        <f>IFERROR((F2553+D2554)*'Investment Calculator'!$C$7/'Investment Calculator'!$F$4,"")</f>
        <v/>
      </c>
      <c r="F2554" s="27" t="str">
        <f>IFERROR(ABS(FV('Investment Calculator'!$C$7/'Investment Calculator'!$F$4,'SIP Schedule'!C2554,'SIP Schedule'!D2554,,1)),"")</f>
        <v/>
      </c>
    </row>
    <row r="2555" spans="3:6" x14ac:dyDescent="0.3">
      <c r="C2555" s="1" t="str">
        <f>IF(C2554&lt;'Investment Calculator'!$C$8*'Investment Calculator'!$F$4,'SIP Schedule'!C2554+1,"")</f>
        <v/>
      </c>
      <c r="D2555" s="27" t="str">
        <f>IF(C2555&lt;='Investment Calculator'!$C$8*'Investment Calculator'!$F$4,'Investment Calculator'!$C$6,"")</f>
        <v/>
      </c>
      <c r="E2555" s="27" t="str">
        <f>IFERROR((F2554+D2555)*'Investment Calculator'!$C$7/'Investment Calculator'!$F$4,"")</f>
        <v/>
      </c>
      <c r="F2555" s="27" t="str">
        <f>IFERROR(ABS(FV('Investment Calculator'!$C$7/'Investment Calculator'!$F$4,'SIP Schedule'!C2555,'SIP Schedule'!D2555,,1)),"")</f>
        <v/>
      </c>
    </row>
    <row r="2556" spans="3:6" x14ac:dyDescent="0.3">
      <c r="C2556" s="1" t="str">
        <f>IF(C2555&lt;'Investment Calculator'!$C$8*'Investment Calculator'!$F$4,'SIP Schedule'!C2555+1,"")</f>
        <v/>
      </c>
      <c r="D2556" s="27" t="str">
        <f>IF(C2556&lt;='Investment Calculator'!$C$8*'Investment Calculator'!$F$4,'Investment Calculator'!$C$6,"")</f>
        <v/>
      </c>
      <c r="E2556" s="27" t="str">
        <f>IFERROR((F2555+D2556)*'Investment Calculator'!$C$7/'Investment Calculator'!$F$4,"")</f>
        <v/>
      </c>
      <c r="F2556" s="27" t="str">
        <f>IFERROR(ABS(FV('Investment Calculator'!$C$7/'Investment Calculator'!$F$4,'SIP Schedule'!C2556,'SIP Schedule'!D2556,,1)),"")</f>
        <v/>
      </c>
    </row>
    <row r="2557" spans="3:6" x14ac:dyDescent="0.3">
      <c r="C2557" s="1" t="str">
        <f>IF(C2556&lt;'Investment Calculator'!$C$8*'Investment Calculator'!$F$4,'SIP Schedule'!C2556+1,"")</f>
        <v/>
      </c>
      <c r="D2557" s="27" t="str">
        <f>IF(C2557&lt;='Investment Calculator'!$C$8*'Investment Calculator'!$F$4,'Investment Calculator'!$C$6,"")</f>
        <v/>
      </c>
      <c r="E2557" s="27" t="str">
        <f>IFERROR((F2556+D2557)*'Investment Calculator'!$C$7/'Investment Calculator'!$F$4,"")</f>
        <v/>
      </c>
      <c r="F2557" s="27" t="str">
        <f>IFERROR(ABS(FV('Investment Calculator'!$C$7/'Investment Calculator'!$F$4,'SIP Schedule'!C2557,'SIP Schedule'!D2557,,1)),"")</f>
        <v/>
      </c>
    </row>
    <row r="2558" spans="3:6" x14ac:dyDescent="0.3">
      <c r="C2558" s="1" t="str">
        <f>IF(C2557&lt;'Investment Calculator'!$C$8*'Investment Calculator'!$F$4,'SIP Schedule'!C2557+1,"")</f>
        <v/>
      </c>
      <c r="D2558" s="27" t="str">
        <f>IF(C2558&lt;='Investment Calculator'!$C$8*'Investment Calculator'!$F$4,'Investment Calculator'!$C$6,"")</f>
        <v/>
      </c>
      <c r="E2558" s="27" t="str">
        <f>IFERROR((F2557+D2558)*'Investment Calculator'!$C$7/'Investment Calculator'!$F$4,"")</f>
        <v/>
      </c>
      <c r="F2558" s="27" t="str">
        <f>IFERROR(ABS(FV('Investment Calculator'!$C$7/'Investment Calculator'!$F$4,'SIP Schedule'!C2558,'SIP Schedule'!D2558,,1)),"")</f>
        <v/>
      </c>
    </row>
    <row r="2559" spans="3:6" x14ac:dyDescent="0.3">
      <c r="C2559" s="1" t="str">
        <f>IF(C2558&lt;'Investment Calculator'!$C$8*'Investment Calculator'!$F$4,'SIP Schedule'!C2558+1,"")</f>
        <v/>
      </c>
      <c r="D2559" s="27" t="str">
        <f>IF(C2559&lt;='Investment Calculator'!$C$8*'Investment Calculator'!$F$4,'Investment Calculator'!$C$6,"")</f>
        <v/>
      </c>
      <c r="E2559" s="27" t="str">
        <f>IFERROR((F2558+D2559)*'Investment Calculator'!$C$7/'Investment Calculator'!$F$4,"")</f>
        <v/>
      </c>
      <c r="F2559" s="27" t="str">
        <f>IFERROR(ABS(FV('Investment Calculator'!$C$7/'Investment Calculator'!$F$4,'SIP Schedule'!C2559,'SIP Schedule'!D2559,,1)),"")</f>
        <v/>
      </c>
    </row>
    <row r="2560" spans="3:6" x14ac:dyDescent="0.3">
      <c r="C2560" s="1" t="str">
        <f>IF(C2559&lt;'Investment Calculator'!$C$8*'Investment Calculator'!$F$4,'SIP Schedule'!C2559+1,"")</f>
        <v/>
      </c>
      <c r="D2560" s="27" t="str">
        <f>IF(C2560&lt;='Investment Calculator'!$C$8*'Investment Calculator'!$F$4,'Investment Calculator'!$C$6,"")</f>
        <v/>
      </c>
      <c r="E2560" s="27" t="str">
        <f>IFERROR((F2559+D2560)*'Investment Calculator'!$C$7/'Investment Calculator'!$F$4,"")</f>
        <v/>
      </c>
      <c r="F2560" s="27" t="str">
        <f>IFERROR(ABS(FV('Investment Calculator'!$C$7/'Investment Calculator'!$F$4,'SIP Schedule'!C2560,'SIP Schedule'!D2560,,1)),"")</f>
        <v/>
      </c>
    </row>
    <row r="2561" spans="3:6" x14ac:dyDescent="0.3">
      <c r="C2561" s="1" t="str">
        <f>IF(C2560&lt;'Investment Calculator'!$C$8*'Investment Calculator'!$F$4,'SIP Schedule'!C2560+1,"")</f>
        <v/>
      </c>
      <c r="D2561" s="27" t="str">
        <f>IF(C2561&lt;='Investment Calculator'!$C$8*'Investment Calculator'!$F$4,'Investment Calculator'!$C$6,"")</f>
        <v/>
      </c>
      <c r="E2561" s="27" t="str">
        <f>IFERROR((F2560+D2561)*'Investment Calculator'!$C$7/'Investment Calculator'!$F$4,"")</f>
        <v/>
      </c>
      <c r="F2561" s="27" t="str">
        <f>IFERROR(ABS(FV('Investment Calculator'!$C$7/'Investment Calculator'!$F$4,'SIP Schedule'!C2561,'SIP Schedule'!D2561,,1)),"")</f>
        <v/>
      </c>
    </row>
    <row r="2562" spans="3:6" x14ac:dyDescent="0.3">
      <c r="C2562" s="1" t="str">
        <f>IF(C2561&lt;'Investment Calculator'!$C$8*'Investment Calculator'!$F$4,'SIP Schedule'!C2561+1,"")</f>
        <v/>
      </c>
      <c r="D2562" s="27" t="str">
        <f>IF(C2562&lt;='Investment Calculator'!$C$8*'Investment Calculator'!$F$4,'Investment Calculator'!$C$6,"")</f>
        <v/>
      </c>
      <c r="E2562" s="27" t="str">
        <f>IFERROR((F2561+D2562)*'Investment Calculator'!$C$7/'Investment Calculator'!$F$4,"")</f>
        <v/>
      </c>
      <c r="F2562" s="27" t="str">
        <f>IFERROR(ABS(FV('Investment Calculator'!$C$7/'Investment Calculator'!$F$4,'SIP Schedule'!C2562,'SIP Schedule'!D2562,,1)),"")</f>
        <v/>
      </c>
    </row>
    <row r="2563" spans="3:6" x14ac:dyDescent="0.3">
      <c r="C2563" s="1" t="str">
        <f>IF(C2562&lt;'Investment Calculator'!$C$8*'Investment Calculator'!$F$4,'SIP Schedule'!C2562+1,"")</f>
        <v/>
      </c>
      <c r="D2563" s="27" t="str">
        <f>IF(C2563&lt;='Investment Calculator'!$C$8*'Investment Calculator'!$F$4,'Investment Calculator'!$C$6,"")</f>
        <v/>
      </c>
      <c r="E2563" s="27" t="str">
        <f>IFERROR((F2562+D2563)*'Investment Calculator'!$C$7/'Investment Calculator'!$F$4,"")</f>
        <v/>
      </c>
      <c r="F2563" s="27" t="str">
        <f>IFERROR(ABS(FV('Investment Calculator'!$C$7/'Investment Calculator'!$F$4,'SIP Schedule'!C2563,'SIP Schedule'!D2563,,1)),"")</f>
        <v/>
      </c>
    </row>
    <row r="2564" spans="3:6" x14ac:dyDescent="0.3">
      <c r="C2564" s="1" t="str">
        <f>IF(C2563&lt;'Investment Calculator'!$C$8*'Investment Calculator'!$F$4,'SIP Schedule'!C2563+1,"")</f>
        <v/>
      </c>
      <c r="D2564" s="27" t="str">
        <f>IF(C2564&lt;='Investment Calculator'!$C$8*'Investment Calculator'!$F$4,'Investment Calculator'!$C$6,"")</f>
        <v/>
      </c>
      <c r="E2564" s="27" t="str">
        <f>IFERROR((F2563+D2564)*'Investment Calculator'!$C$7/'Investment Calculator'!$F$4,"")</f>
        <v/>
      </c>
      <c r="F2564" s="27" t="str">
        <f>IFERROR(ABS(FV('Investment Calculator'!$C$7/'Investment Calculator'!$F$4,'SIP Schedule'!C2564,'SIP Schedule'!D2564,,1)),"")</f>
        <v/>
      </c>
    </row>
    <row r="2565" spans="3:6" x14ac:dyDescent="0.3">
      <c r="C2565" s="1" t="str">
        <f>IF(C2564&lt;'Investment Calculator'!$C$8*'Investment Calculator'!$F$4,'SIP Schedule'!C2564+1,"")</f>
        <v/>
      </c>
      <c r="D2565" s="27" t="str">
        <f>IF(C2565&lt;='Investment Calculator'!$C$8*'Investment Calculator'!$F$4,'Investment Calculator'!$C$6,"")</f>
        <v/>
      </c>
      <c r="E2565" s="27" t="str">
        <f>IFERROR((F2564+D2565)*'Investment Calculator'!$C$7/'Investment Calculator'!$F$4,"")</f>
        <v/>
      </c>
      <c r="F2565" s="27" t="str">
        <f>IFERROR(ABS(FV('Investment Calculator'!$C$7/'Investment Calculator'!$F$4,'SIP Schedule'!C2565,'SIP Schedule'!D2565,,1)),"")</f>
        <v/>
      </c>
    </row>
    <row r="2566" spans="3:6" x14ac:dyDescent="0.3">
      <c r="C2566" s="1" t="str">
        <f>IF(C2565&lt;'Investment Calculator'!$C$8*'Investment Calculator'!$F$4,'SIP Schedule'!C2565+1,"")</f>
        <v/>
      </c>
      <c r="D2566" s="27" t="str">
        <f>IF(C2566&lt;='Investment Calculator'!$C$8*'Investment Calculator'!$F$4,'Investment Calculator'!$C$6,"")</f>
        <v/>
      </c>
      <c r="E2566" s="27" t="str">
        <f>IFERROR((F2565+D2566)*'Investment Calculator'!$C$7/'Investment Calculator'!$F$4,"")</f>
        <v/>
      </c>
      <c r="F2566" s="27" t="str">
        <f>IFERROR(ABS(FV('Investment Calculator'!$C$7/'Investment Calculator'!$F$4,'SIP Schedule'!C2566,'SIP Schedule'!D2566,,1)),"")</f>
        <v/>
      </c>
    </row>
    <row r="2567" spans="3:6" x14ac:dyDescent="0.3">
      <c r="C2567" s="1" t="str">
        <f>IF(C2566&lt;'Investment Calculator'!$C$8*'Investment Calculator'!$F$4,'SIP Schedule'!C2566+1,"")</f>
        <v/>
      </c>
      <c r="D2567" s="27" t="str">
        <f>IF(C2567&lt;='Investment Calculator'!$C$8*'Investment Calculator'!$F$4,'Investment Calculator'!$C$6,"")</f>
        <v/>
      </c>
      <c r="E2567" s="27" t="str">
        <f>IFERROR((F2566+D2567)*'Investment Calculator'!$C$7/'Investment Calculator'!$F$4,"")</f>
        <v/>
      </c>
      <c r="F2567" s="27" t="str">
        <f>IFERROR(ABS(FV('Investment Calculator'!$C$7/'Investment Calculator'!$F$4,'SIP Schedule'!C2567,'SIP Schedule'!D2567,,1)),"")</f>
        <v/>
      </c>
    </row>
    <row r="2568" spans="3:6" x14ac:dyDescent="0.3">
      <c r="C2568" s="1" t="str">
        <f>IF(C2567&lt;'Investment Calculator'!$C$8*'Investment Calculator'!$F$4,'SIP Schedule'!C2567+1,"")</f>
        <v/>
      </c>
      <c r="D2568" s="27" t="str">
        <f>IF(C2568&lt;='Investment Calculator'!$C$8*'Investment Calculator'!$F$4,'Investment Calculator'!$C$6,"")</f>
        <v/>
      </c>
      <c r="E2568" s="27" t="str">
        <f>IFERROR((F2567+D2568)*'Investment Calculator'!$C$7/'Investment Calculator'!$F$4,"")</f>
        <v/>
      </c>
      <c r="F2568" s="27" t="str">
        <f>IFERROR(ABS(FV('Investment Calculator'!$C$7/'Investment Calculator'!$F$4,'SIP Schedule'!C2568,'SIP Schedule'!D2568,,1)),"")</f>
        <v/>
      </c>
    </row>
    <row r="2569" spans="3:6" x14ac:dyDescent="0.3">
      <c r="C2569" s="1" t="str">
        <f>IF(C2568&lt;'Investment Calculator'!$C$8*'Investment Calculator'!$F$4,'SIP Schedule'!C2568+1,"")</f>
        <v/>
      </c>
      <c r="D2569" s="27" t="str">
        <f>IF(C2569&lt;='Investment Calculator'!$C$8*'Investment Calculator'!$F$4,'Investment Calculator'!$C$6,"")</f>
        <v/>
      </c>
      <c r="E2569" s="27" t="str">
        <f>IFERROR((F2568+D2569)*'Investment Calculator'!$C$7/'Investment Calculator'!$F$4,"")</f>
        <v/>
      </c>
      <c r="F2569" s="27" t="str">
        <f>IFERROR(ABS(FV('Investment Calculator'!$C$7/'Investment Calculator'!$F$4,'SIP Schedule'!C2569,'SIP Schedule'!D2569,,1)),"")</f>
        <v/>
      </c>
    </row>
    <row r="2570" spans="3:6" x14ac:dyDescent="0.3">
      <c r="C2570" s="1" t="str">
        <f>IF(C2569&lt;'Investment Calculator'!$C$8*'Investment Calculator'!$F$4,'SIP Schedule'!C2569+1,"")</f>
        <v/>
      </c>
      <c r="D2570" s="27" t="str">
        <f>IF(C2570&lt;='Investment Calculator'!$C$8*'Investment Calculator'!$F$4,'Investment Calculator'!$C$6,"")</f>
        <v/>
      </c>
      <c r="E2570" s="27" t="str">
        <f>IFERROR((F2569+D2570)*'Investment Calculator'!$C$7/'Investment Calculator'!$F$4,"")</f>
        <v/>
      </c>
      <c r="F2570" s="27" t="str">
        <f>IFERROR(ABS(FV('Investment Calculator'!$C$7/'Investment Calculator'!$F$4,'SIP Schedule'!C2570,'SIP Schedule'!D2570,,1)),"")</f>
        <v/>
      </c>
    </row>
    <row r="2571" spans="3:6" x14ac:dyDescent="0.3">
      <c r="C2571" s="1" t="str">
        <f>IF(C2570&lt;'Investment Calculator'!$C$8*'Investment Calculator'!$F$4,'SIP Schedule'!C2570+1,"")</f>
        <v/>
      </c>
      <c r="D2571" s="27" t="str">
        <f>IF(C2571&lt;='Investment Calculator'!$C$8*'Investment Calculator'!$F$4,'Investment Calculator'!$C$6,"")</f>
        <v/>
      </c>
      <c r="E2571" s="27" t="str">
        <f>IFERROR((F2570+D2571)*'Investment Calculator'!$C$7/'Investment Calculator'!$F$4,"")</f>
        <v/>
      </c>
      <c r="F2571" s="27" t="str">
        <f>IFERROR(ABS(FV('Investment Calculator'!$C$7/'Investment Calculator'!$F$4,'SIP Schedule'!C2571,'SIP Schedule'!D2571,,1)),"")</f>
        <v/>
      </c>
    </row>
    <row r="2572" spans="3:6" x14ac:dyDescent="0.3">
      <c r="C2572" s="1" t="str">
        <f>IF(C2571&lt;'Investment Calculator'!$C$8*'Investment Calculator'!$F$4,'SIP Schedule'!C2571+1,"")</f>
        <v/>
      </c>
      <c r="D2572" s="27" t="str">
        <f>IF(C2572&lt;='Investment Calculator'!$C$8*'Investment Calculator'!$F$4,'Investment Calculator'!$C$6,"")</f>
        <v/>
      </c>
      <c r="E2572" s="27" t="str">
        <f>IFERROR((F2571+D2572)*'Investment Calculator'!$C$7/'Investment Calculator'!$F$4,"")</f>
        <v/>
      </c>
      <c r="F2572" s="27" t="str">
        <f>IFERROR(ABS(FV('Investment Calculator'!$C$7/'Investment Calculator'!$F$4,'SIP Schedule'!C2572,'SIP Schedule'!D2572,,1)),"")</f>
        <v/>
      </c>
    </row>
    <row r="2573" spans="3:6" x14ac:dyDescent="0.3">
      <c r="C2573" s="1" t="str">
        <f>IF(C2572&lt;'Investment Calculator'!$C$8*'Investment Calculator'!$F$4,'SIP Schedule'!C2572+1,"")</f>
        <v/>
      </c>
      <c r="D2573" s="27" t="str">
        <f>IF(C2573&lt;='Investment Calculator'!$C$8*'Investment Calculator'!$F$4,'Investment Calculator'!$C$6,"")</f>
        <v/>
      </c>
      <c r="E2573" s="27" t="str">
        <f>IFERROR((F2572+D2573)*'Investment Calculator'!$C$7/'Investment Calculator'!$F$4,"")</f>
        <v/>
      </c>
      <c r="F2573" s="27" t="str">
        <f>IFERROR(ABS(FV('Investment Calculator'!$C$7/'Investment Calculator'!$F$4,'SIP Schedule'!C2573,'SIP Schedule'!D2573,,1)),"")</f>
        <v/>
      </c>
    </row>
    <row r="2574" spans="3:6" x14ac:dyDescent="0.3">
      <c r="C2574" s="1" t="str">
        <f>IF(C2573&lt;'Investment Calculator'!$C$8*'Investment Calculator'!$F$4,'SIP Schedule'!C2573+1,"")</f>
        <v/>
      </c>
      <c r="D2574" s="27" t="str">
        <f>IF(C2574&lt;='Investment Calculator'!$C$8*'Investment Calculator'!$F$4,'Investment Calculator'!$C$6,"")</f>
        <v/>
      </c>
      <c r="E2574" s="27" t="str">
        <f>IFERROR((F2573+D2574)*'Investment Calculator'!$C$7/'Investment Calculator'!$F$4,"")</f>
        <v/>
      </c>
      <c r="F2574" s="27" t="str">
        <f>IFERROR(ABS(FV('Investment Calculator'!$C$7/'Investment Calculator'!$F$4,'SIP Schedule'!C2574,'SIP Schedule'!D2574,,1)),"")</f>
        <v/>
      </c>
    </row>
    <row r="2575" spans="3:6" x14ac:dyDescent="0.3">
      <c r="C2575" s="1" t="str">
        <f>IF(C2574&lt;'Investment Calculator'!$C$8*'Investment Calculator'!$F$4,'SIP Schedule'!C2574+1,"")</f>
        <v/>
      </c>
      <c r="D2575" s="27" t="str">
        <f>IF(C2575&lt;='Investment Calculator'!$C$8*'Investment Calculator'!$F$4,'Investment Calculator'!$C$6,"")</f>
        <v/>
      </c>
      <c r="E2575" s="27" t="str">
        <f>IFERROR((F2574+D2575)*'Investment Calculator'!$C$7/'Investment Calculator'!$F$4,"")</f>
        <v/>
      </c>
      <c r="F2575" s="27" t="str">
        <f>IFERROR(ABS(FV('Investment Calculator'!$C$7/'Investment Calculator'!$F$4,'SIP Schedule'!C2575,'SIP Schedule'!D2575,,1)),"")</f>
        <v/>
      </c>
    </row>
    <row r="2576" spans="3:6" x14ac:dyDescent="0.3">
      <c r="C2576" s="1" t="str">
        <f>IF(C2575&lt;'Investment Calculator'!$C$8*'Investment Calculator'!$F$4,'SIP Schedule'!C2575+1,"")</f>
        <v/>
      </c>
      <c r="D2576" s="27" t="str">
        <f>IF(C2576&lt;='Investment Calculator'!$C$8*'Investment Calculator'!$F$4,'Investment Calculator'!$C$6,"")</f>
        <v/>
      </c>
      <c r="E2576" s="27" t="str">
        <f>IFERROR((F2575+D2576)*'Investment Calculator'!$C$7/'Investment Calculator'!$F$4,"")</f>
        <v/>
      </c>
      <c r="F2576" s="27" t="str">
        <f>IFERROR(ABS(FV('Investment Calculator'!$C$7/'Investment Calculator'!$F$4,'SIP Schedule'!C2576,'SIP Schedule'!D2576,,1)),"")</f>
        <v/>
      </c>
    </row>
    <row r="2577" spans="3:6" x14ac:dyDescent="0.3">
      <c r="C2577" s="1" t="str">
        <f>IF(C2576&lt;'Investment Calculator'!$C$8*'Investment Calculator'!$F$4,'SIP Schedule'!C2576+1,"")</f>
        <v/>
      </c>
      <c r="D2577" s="27" t="str">
        <f>IF(C2577&lt;='Investment Calculator'!$C$8*'Investment Calculator'!$F$4,'Investment Calculator'!$C$6,"")</f>
        <v/>
      </c>
      <c r="E2577" s="27" t="str">
        <f>IFERROR((F2576+D2577)*'Investment Calculator'!$C$7/'Investment Calculator'!$F$4,"")</f>
        <v/>
      </c>
      <c r="F2577" s="27" t="str">
        <f>IFERROR(ABS(FV('Investment Calculator'!$C$7/'Investment Calculator'!$F$4,'SIP Schedule'!C2577,'SIP Schedule'!D2577,,1)),"")</f>
        <v/>
      </c>
    </row>
    <row r="2578" spans="3:6" x14ac:dyDescent="0.3">
      <c r="C2578" s="1" t="str">
        <f>IF(C2577&lt;'Investment Calculator'!$C$8*'Investment Calculator'!$F$4,'SIP Schedule'!C2577+1,"")</f>
        <v/>
      </c>
      <c r="D2578" s="27" t="str">
        <f>IF(C2578&lt;='Investment Calculator'!$C$8*'Investment Calculator'!$F$4,'Investment Calculator'!$C$6,"")</f>
        <v/>
      </c>
      <c r="E2578" s="27" t="str">
        <f>IFERROR((F2577+D2578)*'Investment Calculator'!$C$7/'Investment Calculator'!$F$4,"")</f>
        <v/>
      </c>
      <c r="F2578" s="27" t="str">
        <f>IFERROR(ABS(FV('Investment Calculator'!$C$7/'Investment Calculator'!$F$4,'SIP Schedule'!C2578,'SIP Schedule'!D2578,,1)),"")</f>
        <v/>
      </c>
    </row>
    <row r="2579" spans="3:6" x14ac:dyDescent="0.3">
      <c r="C2579" s="1" t="str">
        <f>IF(C2578&lt;'Investment Calculator'!$C$8*'Investment Calculator'!$F$4,'SIP Schedule'!C2578+1,"")</f>
        <v/>
      </c>
      <c r="D2579" s="27" t="str">
        <f>IF(C2579&lt;='Investment Calculator'!$C$8*'Investment Calculator'!$F$4,'Investment Calculator'!$C$6,"")</f>
        <v/>
      </c>
      <c r="E2579" s="27" t="str">
        <f>IFERROR((F2578+D2579)*'Investment Calculator'!$C$7/'Investment Calculator'!$F$4,"")</f>
        <v/>
      </c>
      <c r="F2579" s="27" t="str">
        <f>IFERROR(ABS(FV('Investment Calculator'!$C$7/'Investment Calculator'!$F$4,'SIP Schedule'!C2579,'SIP Schedule'!D2579,,1)),"")</f>
        <v/>
      </c>
    </row>
    <row r="2580" spans="3:6" x14ac:dyDescent="0.3">
      <c r="C2580" s="1" t="str">
        <f>IF(C2579&lt;'Investment Calculator'!$C$8*'Investment Calculator'!$F$4,'SIP Schedule'!C2579+1,"")</f>
        <v/>
      </c>
      <c r="D2580" s="27" t="str">
        <f>IF(C2580&lt;='Investment Calculator'!$C$8*'Investment Calculator'!$F$4,'Investment Calculator'!$C$6,"")</f>
        <v/>
      </c>
      <c r="E2580" s="27" t="str">
        <f>IFERROR((F2579+D2580)*'Investment Calculator'!$C$7/'Investment Calculator'!$F$4,"")</f>
        <v/>
      </c>
      <c r="F2580" s="27" t="str">
        <f>IFERROR(ABS(FV('Investment Calculator'!$C$7/'Investment Calculator'!$F$4,'SIP Schedule'!C2580,'SIP Schedule'!D2580,,1)),"")</f>
        <v/>
      </c>
    </row>
    <row r="2581" spans="3:6" x14ac:dyDescent="0.3">
      <c r="C2581" s="1" t="str">
        <f>IF(C2580&lt;'Investment Calculator'!$C$8*'Investment Calculator'!$F$4,'SIP Schedule'!C2580+1,"")</f>
        <v/>
      </c>
      <c r="D2581" s="27" t="str">
        <f>IF(C2581&lt;='Investment Calculator'!$C$8*'Investment Calculator'!$F$4,'Investment Calculator'!$C$6,"")</f>
        <v/>
      </c>
      <c r="E2581" s="27" t="str">
        <f>IFERROR((F2580+D2581)*'Investment Calculator'!$C$7/'Investment Calculator'!$F$4,"")</f>
        <v/>
      </c>
      <c r="F2581" s="27" t="str">
        <f>IFERROR(ABS(FV('Investment Calculator'!$C$7/'Investment Calculator'!$F$4,'SIP Schedule'!C2581,'SIP Schedule'!D2581,,1)),"")</f>
        <v/>
      </c>
    </row>
    <row r="2582" spans="3:6" x14ac:dyDescent="0.3">
      <c r="C2582" s="1" t="str">
        <f>IF(C2581&lt;'Investment Calculator'!$C$8*'Investment Calculator'!$F$4,'SIP Schedule'!C2581+1,"")</f>
        <v/>
      </c>
      <c r="D2582" s="27" t="str">
        <f>IF(C2582&lt;='Investment Calculator'!$C$8*'Investment Calculator'!$F$4,'Investment Calculator'!$C$6,"")</f>
        <v/>
      </c>
      <c r="E2582" s="27" t="str">
        <f>IFERROR((F2581+D2582)*'Investment Calculator'!$C$7/'Investment Calculator'!$F$4,"")</f>
        <v/>
      </c>
      <c r="F2582" s="27" t="str">
        <f>IFERROR(ABS(FV('Investment Calculator'!$C$7/'Investment Calculator'!$F$4,'SIP Schedule'!C2582,'SIP Schedule'!D2582,,1)),"")</f>
        <v/>
      </c>
    </row>
    <row r="2583" spans="3:6" x14ac:dyDescent="0.3">
      <c r="C2583" s="1" t="str">
        <f>IF(C2582&lt;'Investment Calculator'!$C$8*'Investment Calculator'!$F$4,'SIP Schedule'!C2582+1,"")</f>
        <v/>
      </c>
      <c r="D2583" s="27" t="str">
        <f>IF(C2583&lt;='Investment Calculator'!$C$8*'Investment Calculator'!$F$4,'Investment Calculator'!$C$6,"")</f>
        <v/>
      </c>
      <c r="E2583" s="27" t="str">
        <f>IFERROR((F2582+D2583)*'Investment Calculator'!$C$7/'Investment Calculator'!$F$4,"")</f>
        <v/>
      </c>
      <c r="F2583" s="27" t="str">
        <f>IFERROR(ABS(FV('Investment Calculator'!$C$7/'Investment Calculator'!$F$4,'SIP Schedule'!C2583,'SIP Schedule'!D2583,,1)),"")</f>
        <v/>
      </c>
    </row>
    <row r="2584" spans="3:6" x14ac:dyDescent="0.3">
      <c r="C2584" s="1" t="str">
        <f>IF(C2583&lt;'Investment Calculator'!$C$8*'Investment Calculator'!$F$4,'SIP Schedule'!C2583+1,"")</f>
        <v/>
      </c>
      <c r="D2584" s="27" t="str">
        <f>IF(C2584&lt;='Investment Calculator'!$C$8*'Investment Calculator'!$F$4,'Investment Calculator'!$C$6,"")</f>
        <v/>
      </c>
      <c r="E2584" s="27" t="str">
        <f>IFERROR((F2583+D2584)*'Investment Calculator'!$C$7/'Investment Calculator'!$F$4,"")</f>
        <v/>
      </c>
      <c r="F2584" s="27" t="str">
        <f>IFERROR(ABS(FV('Investment Calculator'!$C$7/'Investment Calculator'!$F$4,'SIP Schedule'!C2584,'SIP Schedule'!D2584,,1)),"")</f>
        <v/>
      </c>
    </row>
    <row r="2585" spans="3:6" x14ac:dyDescent="0.3">
      <c r="C2585" s="1" t="str">
        <f>IF(C2584&lt;'Investment Calculator'!$C$8*'Investment Calculator'!$F$4,'SIP Schedule'!C2584+1,"")</f>
        <v/>
      </c>
      <c r="D2585" s="27" t="str">
        <f>IF(C2585&lt;='Investment Calculator'!$C$8*'Investment Calculator'!$F$4,'Investment Calculator'!$C$6,"")</f>
        <v/>
      </c>
      <c r="E2585" s="27" t="str">
        <f>IFERROR((F2584+D2585)*'Investment Calculator'!$C$7/'Investment Calculator'!$F$4,"")</f>
        <v/>
      </c>
      <c r="F2585" s="27" t="str">
        <f>IFERROR(ABS(FV('Investment Calculator'!$C$7/'Investment Calculator'!$F$4,'SIP Schedule'!C2585,'SIP Schedule'!D2585,,1)),"")</f>
        <v/>
      </c>
    </row>
    <row r="2586" spans="3:6" x14ac:dyDescent="0.3">
      <c r="C2586" s="1" t="str">
        <f>IF(C2585&lt;'Investment Calculator'!$C$8*'Investment Calculator'!$F$4,'SIP Schedule'!C2585+1,"")</f>
        <v/>
      </c>
      <c r="D2586" s="27" t="str">
        <f>IF(C2586&lt;='Investment Calculator'!$C$8*'Investment Calculator'!$F$4,'Investment Calculator'!$C$6,"")</f>
        <v/>
      </c>
      <c r="E2586" s="27" t="str">
        <f>IFERROR((F2585+D2586)*'Investment Calculator'!$C$7/'Investment Calculator'!$F$4,"")</f>
        <v/>
      </c>
      <c r="F2586" s="27" t="str">
        <f>IFERROR(ABS(FV('Investment Calculator'!$C$7/'Investment Calculator'!$F$4,'SIP Schedule'!C2586,'SIP Schedule'!D2586,,1)),"")</f>
        <v/>
      </c>
    </row>
    <row r="2587" spans="3:6" x14ac:dyDescent="0.3">
      <c r="C2587" s="1" t="str">
        <f>IF(C2586&lt;'Investment Calculator'!$C$8*'Investment Calculator'!$F$4,'SIP Schedule'!C2586+1,"")</f>
        <v/>
      </c>
      <c r="D2587" s="27" t="str">
        <f>IF(C2587&lt;='Investment Calculator'!$C$8*'Investment Calculator'!$F$4,'Investment Calculator'!$C$6,"")</f>
        <v/>
      </c>
      <c r="E2587" s="27" t="str">
        <f>IFERROR((F2586+D2587)*'Investment Calculator'!$C$7/'Investment Calculator'!$F$4,"")</f>
        <v/>
      </c>
      <c r="F2587" s="27" t="str">
        <f>IFERROR(ABS(FV('Investment Calculator'!$C$7/'Investment Calculator'!$F$4,'SIP Schedule'!C2587,'SIP Schedule'!D2587,,1)),"")</f>
        <v/>
      </c>
    </row>
    <row r="2588" spans="3:6" x14ac:dyDescent="0.3">
      <c r="C2588" s="1" t="str">
        <f>IF(C2587&lt;'Investment Calculator'!$C$8*'Investment Calculator'!$F$4,'SIP Schedule'!C2587+1,"")</f>
        <v/>
      </c>
      <c r="D2588" s="27" t="str">
        <f>IF(C2588&lt;='Investment Calculator'!$C$8*'Investment Calculator'!$F$4,'Investment Calculator'!$C$6,"")</f>
        <v/>
      </c>
      <c r="E2588" s="27" t="str">
        <f>IFERROR((F2587+D2588)*'Investment Calculator'!$C$7/'Investment Calculator'!$F$4,"")</f>
        <v/>
      </c>
      <c r="F2588" s="27" t="str">
        <f>IFERROR(ABS(FV('Investment Calculator'!$C$7/'Investment Calculator'!$F$4,'SIP Schedule'!C2588,'SIP Schedule'!D2588,,1)),"")</f>
        <v/>
      </c>
    </row>
    <row r="2589" spans="3:6" x14ac:dyDescent="0.3">
      <c r="C2589" s="1" t="str">
        <f>IF(C2588&lt;'Investment Calculator'!$C$8*'Investment Calculator'!$F$4,'SIP Schedule'!C2588+1,"")</f>
        <v/>
      </c>
      <c r="D2589" s="27" t="str">
        <f>IF(C2589&lt;='Investment Calculator'!$C$8*'Investment Calculator'!$F$4,'Investment Calculator'!$C$6,"")</f>
        <v/>
      </c>
      <c r="E2589" s="27" t="str">
        <f>IFERROR((F2588+D2589)*'Investment Calculator'!$C$7/'Investment Calculator'!$F$4,"")</f>
        <v/>
      </c>
      <c r="F2589" s="27" t="str">
        <f>IFERROR(ABS(FV('Investment Calculator'!$C$7/'Investment Calculator'!$F$4,'SIP Schedule'!C2589,'SIP Schedule'!D2589,,1)),"")</f>
        <v/>
      </c>
    </row>
    <row r="2590" spans="3:6" x14ac:dyDescent="0.3">
      <c r="C2590" s="1" t="str">
        <f>IF(C2589&lt;'Investment Calculator'!$C$8*'Investment Calculator'!$F$4,'SIP Schedule'!C2589+1,"")</f>
        <v/>
      </c>
      <c r="D2590" s="27" t="str">
        <f>IF(C2590&lt;='Investment Calculator'!$C$8*'Investment Calculator'!$F$4,'Investment Calculator'!$C$6,"")</f>
        <v/>
      </c>
      <c r="E2590" s="27" t="str">
        <f>IFERROR((F2589+D2590)*'Investment Calculator'!$C$7/'Investment Calculator'!$F$4,"")</f>
        <v/>
      </c>
      <c r="F2590" s="27" t="str">
        <f>IFERROR(ABS(FV('Investment Calculator'!$C$7/'Investment Calculator'!$F$4,'SIP Schedule'!C2590,'SIP Schedule'!D2590,,1)),"")</f>
        <v/>
      </c>
    </row>
    <row r="2591" spans="3:6" x14ac:dyDescent="0.3">
      <c r="C2591" s="1" t="str">
        <f>IF(C2590&lt;'Investment Calculator'!$C$8*'Investment Calculator'!$F$4,'SIP Schedule'!C2590+1,"")</f>
        <v/>
      </c>
      <c r="D2591" s="27" t="str">
        <f>IF(C2591&lt;='Investment Calculator'!$C$8*'Investment Calculator'!$F$4,'Investment Calculator'!$C$6,"")</f>
        <v/>
      </c>
      <c r="E2591" s="27" t="str">
        <f>IFERROR((F2590+D2591)*'Investment Calculator'!$C$7/'Investment Calculator'!$F$4,"")</f>
        <v/>
      </c>
      <c r="F2591" s="27" t="str">
        <f>IFERROR(ABS(FV('Investment Calculator'!$C$7/'Investment Calculator'!$F$4,'SIP Schedule'!C2591,'SIP Schedule'!D2591,,1)),"")</f>
        <v/>
      </c>
    </row>
    <row r="2592" spans="3:6" x14ac:dyDescent="0.3">
      <c r="C2592" s="1" t="str">
        <f>IF(C2591&lt;'Investment Calculator'!$C$8*'Investment Calculator'!$F$4,'SIP Schedule'!C2591+1,"")</f>
        <v/>
      </c>
      <c r="D2592" s="27" t="str">
        <f>IF(C2592&lt;='Investment Calculator'!$C$8*'Investment Calculator'!$F$4,'Investment Calculator'!$C$6,"")</f>
        <v/>
      </c>
      <c r="E2592" s="27" t="str">
        <f>IFERROR((F2591+D2592)*'Investment Calculator'!$C$7/'Investment Calculator'!$F$4,"")</f>
        <v/>
      </c>
      <c r="F2592" s="27" t="str">
        <f>IFERROR(ABS(FV('Investment Calculator'!$C$7/'Investment Calculator'!$F$4,'SIP Schedule'!C2592,'SIP Schedule'!D2592,,1)),"")</f>
        <v/>
      </c>
    </row>
    <row r="2593" spans="3:6" x14ac:dyDescent="0.3">
      <c r="C2593" s="1" t="str">
        <f>IF(C2592&lt;'Investment Calculator'!$C$8*'Investment Calculator'!$F$4,'SIP Schedule'!C2592+1,"")</f>
        <v/>
      </c>
      <c r="D2593" s="27" t="str">
        <f>IF(C2593&lt;='Investment Calculator'!$C$8*'Investment Calculator'!$F$4,'Investment Calculator'!$C$6,"")</f>
        <v/>
      </c>
      <c r="E2593" s="27" t="str">
        <f>IFERROR((F2592+D2593)*'Investment Calculator'!$C$7/'Investment Calculator'!$F$4,"")</f>
        <v/>
      </c>
      <c r="F2593" s="27" t="str">
        <f>IFERROR(ABS(FV('Investment Calculator'!$C$7/'Investment Calculator'!$F$4,'SIP Schedule'!C2593,'SIP Schedule'!D2593,,1)),"")</f>
        <v/>
      </c>
    </row>
    <row r="2594" spans="3:6" x14ac:dyDescent="0.3">
      <c r="C2594" s="1" t="str">
        <f>IF(C2593&lt;'Investment Calculator'!$C$8*'Investment Calculator'!$F$4,'SIP Schedule'!C2593+1,"")</f>
        <v/>
      </c>
      <c r="D2594" s="27" t="str">
        <f>IF(C2594&lt;='Investment Calculator'!$C$8*'Investment Calculator'!$F$4,'Investment Calculator'!$C$6,"")</f>
        <v/>
      </c>
      <c r="E2594" s="27" t="str">
        <f>IFERROR((F2593+D2594)*'Investment Calculator'!$C$7/'Investment Calculator'!$F$4,"")</f>
        <v/>
      </c>
      <c r="F2594" s="27" t="str">
        <f>IFERROR(ABS(FV('Investment Calculator'!$C$7/'Investment Calculator'!$F$4,'SIP Schedule'!C2594,'SIP Schedule'!D2594,,1)),"")</f>
        <v/>
      </c>
    </row>
    <row r="2595" spans="3:6" x14ac:dyDescent="0.3">
      <c r="C2595" s="1" t="str">
        <f>IF(C2594&lt;'Investment Calculator'!$C$8*'Investment Calculator'!$F$4,'SIP Schedule'!C2594+1,"")</f>
        <v/>
      </c>
      <c r="D2595" s="27" t="str">
        <f>IF(C2595&lt;='Investment Calculator'!$C$8*'Investment Calculator'!$F$4,'Investment Calculator'!$C$6,"")</f>
        <v/>
      </c>
      <c r="E2595" s="27" t="str">
        <f>IFERROR((F2594+D2595)*'Investment Calculator'!$C$7/'Investment Calculator'!$F$4,"")</f>
        <v/>
      </c>
      <c r="F2595" s="27" t="str">
        <f>IFERROR(ABS(FV('Investment Calculator'!$C$7/'Investment Calculator'!$F$4,'SIP Schedule'!C2595,'SIP Schedule'!D2595,,1)),"")</f>
        <v/>
      </c>
    </row>
    <row r="2596" spans="3:6" x14ac:dyDescent="0.3">
      <c r="C2596" s="1" t="str">
        <f>IF(C2595&lt;'Investment Calculator'!$C$8*'Investment Calculator'!$F$4,'SIP Schedule'!C2595+1,"")</f>
        <v/>
      </c>
      <c r="D2596" s="27" t="str">
        <f>IF(C2596&lt;='Investment Calculator'!$C$8*'Investment Calculator'!$F$4,'Investment Calculator'!$C$6,"")</f>
        <v/>
      </c>
      <c r="E2596" s="27" t="str">
        <f>IFERROR((F2595+D2596)*'Investment Calculator'!$C$7/'Investment Calculator'!$F$4,"")</f>
        <v/>
      </c>
      <c r="F2596" s="27" t="str">
        <f>IFERROR(ABS(FV('Investment Calculator'!$C$7/'Investment Calculator'!$F$4,'SIP Schedule'!C2596,'SIP Schedule'!D2596,,1)),"")</f>
        <v/>
      </c>
    </row>
    <row r="2597" spans="3:6" x14ac:dyDescent="0.3">
      <c r="C2597" s="1" t="str">
        <f>IF(C2596&lt;'Investment Calculator'!$C$8*'Investment Calculator'!$F$4,'SIP Schedule'!C2596+1,"")</f>
        <v/>
      </c>
      <c r="D2597" s="27" t="str">
        <f>IF(C2597&lt;='Investment Calculator'!$C$8*'Investment Calculator'!$F$4,'Investment Calculator'!$C$6,"")</f>
        <v/>
      </c>
      <c r="E2597" s="27" t="str">
        <f>IFERROR((F2596+D2597)*'Investment Calculator'!$C$7/'Investment Calculator'!$F$4,"")</f>
        <v/>
      </c>
      <c r="F2597" s="27" t="str">
        <f>IFERROR(ABS(FV('Investment Calculator'!$C$7/'Investment Calculator'!$F$4,'SIP Schedule'!C2597,'SIP Schedule'!D2597,,1)),"")</f>
        <v/>
      </c>
    </row>
    <row r="2598" spans="3:6" x14ac:dyDescent="0.3">
      <c r="C2598" s="1" t="str">
        <f>IF(C2597&lt;'Investment Calculator'!$C$8*'Investment Calculator'!$F$4,'SIP Schedule'!C2597+1,"")</f>
        <v/>
      </c>
      <c r="D2598" s="27" t="str">
        <f>IF(C2598&lt;='Investment Calculator'!$C$8*'Investment Calculator'!$F$4,'Investment Calculator'!$C$6,"")</f>
        <v/>
      </c>
      <c r="E2598" s="27" t="str">
        <f>IFERROR((F2597+D2598)*'Investment Calculator'!$C$7/'Investment Calculator'!$F$4,"")</f>
        <v/>
      </c>
      <c r="F2598" s="27" t="str">
        <f>IFERROR(ABS(FV('Investment Calculator'!$C$7/'Investment Calculator'!$F$4,'SIP Schedule'!C2598,'SIP Schedule'!D2598,,1)),"")</f>
        <v/>
      </c>
    </row>
    <row r="2599" spans="3:6" x14ac:dyDescent="0.3">
      <c r="C2599" s="1" t="str">
        <f>IF(C2598&lt;'Investment Calculator'!$C$8*'Investment Calculator'!$F$4,'SIP Schedule'!C2598+1,"")</f>
        <v/>
      </c>
      <c r="D2599" s="27" t="str">
        <f>IF(C2599&lt;='Investment Calculator'!$C$8*'Investment Calculator'!$F$4,'Investment Calculator'!$C$6,"")</f>
        <v/>
      </c>
      <c r="E2599" s="27" t="str">
        <f>IFERROR((F2598+D2599)*'Investment Calculator'!$C$7/'Investment Calculator'!$F$4,"")</f>
        <v/>
      </c>
      <c r="F2599" s="27" t="str">
        <f>IFERROR(ABS(FV('Investment Calculator'!$C$7/'Investment Calculator'!$F$4,'SIP Schedule'!C2599,'SIP Schedule'!D2599,,1)),"")</f>
        <v/>
      </c>
    </row>
    <row r="2600" spans="3:6" x14ac:dyDescent="0.3">
      <c r="C2600" s="1" t="str">
        <f>IF(C2599&lt;'Investment Calculator'!$C$8*'Investment Calculator'!$F$4,'SIP Schedule'!C2599+1,"")</f>
        <v/>
      </c>
      <c r="D2600" s="27" t="str">
        <f>IF(C2600&lt;='Investment Calculator'!$C$8*'Investment Calculator'!$F$4,'Investment Calculator'!$C$6,"")</f>
        <v/>
      </c>
      <c r="E2600" s="27" t="str">
        <f>IFERROR((F2599+D2600)*'Investment Calculator'!$C$7/'Investment Calculator'!$F$4,"")</f>
        <v/>
      </c>
      <c r="F2600" s="27" t="str">
        <f>IFERROR(ABS(FV('Investment Calculator'!$C$7/'Investment Calculator'!$F$4,'SIP Schedule'!C2600,'SIP Schedule'!D2600,,1)),"")</f>
        <v/>
      </c>
    </row>
    <row r="2601" spans="3:6" x14ac:dyDescent="0.3">
      <c r="C2601" s="1" t="str">
        <f>IF(C2600&lt;'Investment Calculator'!$C$8*'Investment Calculator'!$F$4,'SIP Schedule'!C2600+1,"")</f>
        <v/>
      </c>
      <c r="D2601" s="27" t="str">
        <f>IF(C2601&lt;='Investment Calculator'!$C$8*'Investment Calculator'!$F$4,'Investment Calculator'!$C$6,"")</f>
        <v/>
      </c>
      <c r="E2601" s="27" t="str">
        <f>IFERROR((F2600+D2601)*'Investment Calculator'!$C$7/'Investment Calculator'!$F$4,"")</f>
        <v/>
      </c>
      <c r="F2601" s="27" t="str">
        <f>IFERROR(ABS(FV('Investment Calculator'!$C$7/'Investment Calculator'!$F$4,'SIP Schedule'!C2601,'SIP Schedule'!D2601,,1)),"")</f>
        <v/>
      </c>
    </row>
    <row r="2602" spans="3:6" x14ac:dyDescent="0.3">
      <c r="C2602" s="1" t="str">
        <f>IF(C2601&lt;'Investment Calculator'!$C$8*'Investment Calculator'!$F$4,'SIP Schedule'!C2601+1,"")</f>
        <v/>
      </c>
      <c r="D2602" s="27" t="str">
        <f>IF(C2602&lt;='Investment Calculator'!$C$8*'Investment Calculator'!$F$4,'Investment Calculator'!$C$6,"")</f>
        <v/>
      </c>
      <c r="E2602" s="27" t="str">
        <f>IFERROR((F2601+D2602)*'Investment Calculator'!$C$7/'Investment Calculator'!$F$4,"")</f>
        <v/>
      </c>
      <c r="F2602" s="27" t="str">
        <f>IFERROR(ABS(FV('Investment Calculator'!$C$7/'Investment Calculator'!$F$4,'SIP Schedule'!C2602,'SIP Schedule'!D2602,,1)),"")</f>
        <v/>
      </c>
    </row>
    <row r="2603" spans="3:6" x14ac:dyDescent="0.3">
      <c r="C2603" s="1" t="str">
        <f>IF(C2602&lt;'Investment Calculator'!$C$8*'Investment Calculator'!$F$4,'SIP Schedule'!C2602+1,"")</f>
        <v/>
      </c>
      <c r="D2603" s="27" t="str">
        <f>IF(C2603&lt;='Investment Calculator'!$C$8*'Investment Calculator'!$F$4,'Investment Calculator'!$C$6,"")</f>
        <v/>
      </c>
      <c r="E2603" s="27" t="str">
        <f>IFERROR((F2602+D2603)*'Investment Calculator'!$C$7/'Investment Calculator'!$F$4,"")</f>
        <v/>
      </c>
      <c r="F2603" s="27" t="str">
        <f>IFERROR(ABS(FV('Investment Calculator'!$C$7/'Investment Calculator'!$F$4,'SIP Schedule'!C2603,'SIP Schedule'!D2603,,1)),"")</f>
        <v/>
      </c>
    </row>
    <row r="2604" spans="3:6" x14ac:dyDescent="0.3">
      <c r="C2604" s="1" t="str">
        <f>IF(C2603&lt;'Investment Calculator'!$C$8*'Investment Calculator'!$F$4,'SIP Schedule'!C2603+1,"")</f>
        <v/>
      </c>
      <c r="D2604" s="27" t="str">
        <f>IF(C2604&lt;='Investment Calculator'!$C$8*'Investment Calculator'!$F$4,'Investment Calculator'!$C$6,"")</f>
        <v/>
      </c>
      <c r="E2604" s="27" t="str">
        <f>IFERROR((F2603+D2604)*'Investment Calculator'!$C$7/'Investment Calculator'!$F$4,"")</f>
        <v/>
      </c>
      <c r="F2604" s="27" t="str">
        <f>IFERROR(ABS(FV('Investment Calculator'!$C$7/'Investment Calculator'!$F$4,'SIP Schedule'!C2604,'SIP Schedule'!D2604,,1)),"")</f>
        <v/>
      </c>
    </row>
    <row r="2605" spans="3:6" x14ac:dyDescent="0.3">
      <c r="C2605" s="1" t="str">
        <f>IF(C2604&lt;'Investment Calculator'!$C$8*'Investment Calculator'!$F$4,'SIP Schedule'!C2604+1,"")</f>
        <v/>
      </c>
      <c r="D2605" s="27" t="str">
        <f>IF(C2605&lt;='Investment Calculator'!$C$8*'Investment Calculator'!$F$4,'Investment Calculator'!$C$6,"")</f>
        <v/>
      </c>
      <c r="E2605" s="27" t="str">
        <f>IFERROR((F2604+D2605)*'Investment Calculator'!$C$7/'Investment Calculator'!$F$4,"")</f>
        <v/>
      </c>
      <c r="F2605" s="27" t="str">
        <f>IFERROR(ABS(FV('Investment Calculator'!$C$7/'Investment Calculator'!$F$4,'SIP Schedule'!C2605,'SIP Schedule'!D2605,,1)),"")</f>
        <v/>
      </c>
    </row>
    <row r="2606" spans="3:6" x14ac:dyDescent="0.3">
      <c r="C2606" s="1" t="str">
        <f>IF(C2605&lt;'Investment Calculator'!$C$8*'Investment Calculator'!$F$4,'SIP Schedule'!C2605+1,"")</f>
        <v/>
      </c>
      <c r="D2606" s="27" t="str">
        <f>IF(C2606&lt;='Investment Calculator'!$C$8*'Investment Calculator'!$F$4,'Investment Calculator'!$C$6,"")</f>
        <v/>
      </c>
      <c r="E2606" s="27" t="str">
        <f>IFERROR((F2605+D2606)*'Investment Calculator'!$C$7/'Investment Calculator'!$F$4,"")</f>
        <v/>
      </c>
      <c r="F2606" s="27" t="str">
        <f>IFERROR(ABS(FV('Investment Calculator'!$C$7/'Investment Calculator'!$F$4,'SIP Schedule'!C2606,'SIP Schedule'!D2606,,1)),"")</f>
        <v/>
      </c>
    </row>
    <row r="2607" spans="3:6" x14ac:dyDescent="0.3">
      <c r="C2607" s="1" t="str">
        <f>IF(C2606&lt;'Investment Calculator'!$C$8*'Investment Calculator'!$F$4,'SIP Schedule'!C2606+1,"")</f>
        <v/>
      </c>
      <c r="D2607" s="27" t="str">
        <f>IF(C2607&lt;='Investment Calculator'!$C$8*'Investment Calculator'!$F$4,'Investment Calculator'!$C$6,"")</f>
        <v/>
      </c>
      <c r="E2607" s="27" t="str">
        <f>IFERROR((F2606+D2607)*'Investment Calculator'!$C$7/'Investment Calculator'!$F$4,"")</f>
        <v/>
      </c>
      <c r="F2607" s="27" t="str">
        <f>IFERROR(ABS(FV('Investment Calculator'!$C$7/'Investment Calculator'!$F$4,'SIP Schedule'!C2607,'SIP Schedule'!D2607,,1)),"")</f>
        <v/>
      </c>
    </row>
    <row r="2608" spans="3:6" x14ac:dyDescent="0.3">
      <c r="C2608" s="1" t="str">
        <f>IF(C2607&lt;'Investment Calculator'!$C$8*'Investment Calculator'!$F$4,'SIP Schedule'!C2607+1,"")</f>
        <v/>
      </c>
      <c r="D2608" s="27" t="str">
        <f>IF(C2608&lt;='Investment Calculator'!$C$8*'Investment Calculator'!$F$4,'Investment Calculator'!$C$6,"")</f>
        <v/>
      </c>
      <c r="E2608" s="27" t="str">
        <f>IFERROR((F2607+D2608)*'Investment Calculator'!$C$7/'Investment Calculator'!$F$4,"")</f>
        <v/>
      </c>
      <c r="F2608" s="27" t="str">
        <f>IFERROR(ABS(FV('Investment Calculator'!$C$7/'Investment Calculator'!$F$4,'SIP Schedule'!C2608,'SIP Schedule'!D2608,,1)),"")</f>
        <v/>
      </c>
    </row>
    <row r="2609" spans="3:6" x14ac:dyDescent="0.3">
      <c r="C2609" s="1" t="str">
        <f>IF(C2608&lt;'Investment Calculator'!$C$8*'Investment Calculator'!$F$4,'SIP Schedule'!C2608+1,"")</f>
        <v/>
      </c>
      <c r="D2609" s="27" t="str">
        <f>IF(C2609&lt;='Investment Calculator'!$C$8*'Investment Calculator'!$F$4,'Investment Calculator'!$C$6,"")</f>
        <v/>
      </c>
      <c r="E2609" s="27" t="str">
        <f>IFERROR((F2608+D2609)*'Investment Calculator'!$C$7/'Investment Calculator'!$F$4,"")</f>
        <v/>
      </c>
      <c r="F2609" s="27" t="str">
        <f>IFERROR(ABS(FV('Investment Calculator'!$C$7/'Investment Calculator'!$F$4,'SIP Schedule'!C2609,'SIP Schedule'!D2609,,1)),"")</f>
        <v/>
      </c>
    </row>
    <row r="2610" spans="3:6" x14ac:dyDescent="0.3">
      <c r="C2610" s="1" t="str">
        <f>IF(C2609&lt;'Investment Calculator'!$C$8*'Investment Calculator'!$F$4,'SIP Schedule'!C2609+1,"")</f>
        <v/>
      </c>
      <c r="D2610" s="27" t="str">
        <f>IF(C2610&lt;='Investment Calculator'!$C$8*'Investment Calculator'!$F$4,'Investment Calculator'!$C$6,"")</f>
        <v/>
      </c>
      <c r="E2610" s="27" t="str">
        <f>IFERROR((F2609+D2610)*'Investment Calculator'!$C$7/'Investment Calculator'!$F$4,"")</f>
        <v/>
      </c>
      <c r="F2610" s="27" t="str">
        <f>IFERROR(ABS(FV('Investment Calculator'!$C$7/'Investment Calculator'!$F$4,'SIP Schedule'!C2610,'SIP Schedule'!D2610,,1)),"")</f>
        <v/>
      </c>
    </row>
    <row r="2611" spans="3:6" x14ac:dyDescent="0.3">
      <c r="C2611" s="1" t="str">
        <f>IF(C2610&lt;'Investment Calculator'!$C$8*'Investment Calculator'!$F$4,'SIP Schedule'!C2610+1,"")</f>
        <v/>
      </c>
      <c r="D2611" s="27" t="str">
        <f>IF(C2611&lt;='Investment Calculator'!$C$8*'Investment Calculator'!$F$4,'Investment Calculator'!$C$6,"")</f>
        <v/>
      </c>
      <c r="E2611" s="27" t="str">
        <f>IFERROR((F2610+D2611)*'Investment Calculator'!$C$7/'Investment Calculator'!$F$4,"")</f>
        <v/>
      </c>
      <c r="F2611" s="27" t="str">
        <f>IFERROR(ABS(FV('Investment Calculator'!$C$7/'Investment Calculator'!$F$4,'SIP Schedule'!C2611,'SIP Schedule'!D2611,,1)),"")</f>
        <v/>
      </c>
    </row>
    <row r="2612" spans="3:6" x14ac:dyDescent="0.3">
      <c r="C2612" s="1" t="str">
        <f>IF(C2611&lt;'Investment Calculator'!$C$8*'Investment Calculator'!$F$4,'SIP Schedule'!C2611+1,"")</f>
        <v/>
      </c>
      <c r="D2612" s="27" t="str">
        <f>IF(C2612&lt;='Investment Calculator'!$C$8*'Investment Calculator'!$F$4,'Investment Calculator'!$C$6,"")</f>
        <v/>
      </c>
      <c r="E2612" s="27" t="str">
        <f>IFERROR((F2611+D2612)*'Investment Calculator'!$C$7/'Investment Calculator'!$F$4,"")</f>
        <v/>
      </c>
      <c r="F2612" s="27" t="str">
        <f>IFERROR(ABS(FV('Investment Calculator'!$C$7/'Investment Calculator'!$F$4,'SIP Schedule'!C2612,'SIP Schedule'!D2612,,1)),"")</f>
        <v/>
      </c>
    </row>
    <row r="2613" spans="3:6" x14ac:dyDescent="0.3">
      <c r="C2613" s="1" t="str">
        <f>IF(C2612&lt;'Investment Calculator'!$C$8*'Investment Calculator'!$F$4,'SIP Schedule'!C2612+1,"")</f>
        <v/>
      </c>
      <c r="D2613" s="27" t="str">
        <f>IF(C2613&lt;='Investment Calculator'!$C$8*'Investment Calculator'!$F$4,'Investment Calculator'!$C$6,"")</f>
        <v/>
      </c>
      <c r="E2613" s="27" t="str">
        <f>IFERROR((F2612+D2613)*'Investment Calculator'!$C$7/'Investment Calculator'!$F$4,"")</f>
        <v/>
      </c>
      <c r="F2613" s="27" t="str">
        <f>IFERROR(ABS(FV('Investment Calculator'!$C$7/'Investment Calculator'!$F$4,'SIP Schedule'!C2613,'SIP Schedule'!D2613,,1)),"")</f>
        <v/>
      </c>
    </row>
    <row r="2614" spans="3:6" x14ac:dyDescent="0.3">
      <c r="C2614" s="1" t="str">
        <f>IF(C2613&lt;'Investment Calculator'!$C$8*'Investment Calculator'!$F$4,'SIP Schedule'!C2613+1,"")</f>
        <v/>
      </c>
      <c r="D2614" s="27" t="str">
        <f>IF(C2614&lt;='Investment Calculator'!$C$8*'Investment Calculator'!$F$4,'Investment Calculator'!$C$6,"")</f>
        <v/>
      </c>
      <c r="E2614" s="27" t="str">
        <f>IFERROR((F2613+D2614)*'Investment Calculator'!$C$7/'Investment Calculator'!$F$4,"")</f>
        <v/>
      </c>
      <c r="F2614" s="27" t="str">
        <f>IFERROR(ABS(FV('Investment Calculator'!$C$7/'Investment Calculator'!$F$4,'SIP Schedule'!C2614,'SIP Schedule'!D2614,,1)),"")</f>
        <v/>
      </c>
    </row>
    <row r="2615" spans="3:6" x14ac:dyDescent="0.3">
      <c r="C2615" s="1" t="str">
        <f>IF(C2614&lt;'Investment Calculator'!$C$8*'Investment Calculator'!$F$4,'SIP Schedule'!C2614+1,"")</f>
        <v/>
      </c>
      <c r="D2615" s="27" t="str">
        <f>IF(C2615&lt;='Investment Calculator'!$C$8*'Investment Calculator'!$F$4,'Investment Calculator'!$C$6,"")</f>
        <v/>
      </c>
      <c r="E2615" s="27" t="str">
        <f>IFERROR((F2614+D2615)*'Investment Calculator'!$C$7/'Investment Calculator'!$F$4,"")</f>
        <v/>
      </c>
      <c r="F2615" s="27" t="str">
        <f>IFERROR(ABS(FV('Investment Calculator'!$C$7/'Investment Calculator'!$F$4,'SIP Schedule'!C2615,'SIP Schedule'!D2615,,1)),"")</f>
        <v/>
      </c>
    </row>
    <row r="2616" spans="3:6" x14ac:dyDescent="0.3">
      <c r="C2616" s="1" t="str">
        <f>IF(C2615&lt;'Investment Calculator'!$C$8*'Investment Calculator'!$F$4,'SIP Schedule'!C2615+1,"")</f>
        <v/>
      </c>
      <c r="D2616" s="27" t="str">
        <f>IF(C2616&lt;='Investment Calculator'!$C$8*'Investment Calculator'!$F$4,'Investment Calculator'!$C$6,"")</f>
        <v/>
      </c>
      <c r="E2616" s="27" t="str">
        <f>IFERROR((F2615+D2616)*'Investment Calculator'!$C$7/'Investment Calculator'!$F$4,"")</f>
        <v/>
      </c>
      <c r="F2616" s="27" t="str">
        <f>IFERROR(ABS(FV('Investment Calculator'!$C$7/'Investment Calculator'!$F$4,'SIP Schedule'!C2616,'SIP Schedule'!D2616,,1)),"")</f>
        <v/>
      </c>
    </row>
    <row r="2617" spans="3:6" x14ac:dyDescent="0.3">
      <c r="C2617" s="1" t="str">
        <f>IF(C2616&lt;'Investment Calculator'!$C$8*'Investment Calculator'!$F$4,'SIP Schedule'!C2616+1,"")</f>
        <v/>
      </c>
      <c r="D2617" s="27" t="str">
        <f>IF(C2617&lt;='Investment Calculator'!$C$8*'Investment Calculator'!$F$4,'Investment Calculator'!$C$6,"")</f>
        <v/>
      </c>
      <c r="E2617" s="27" t="str">
        <f>IFERROR((F2616+D2617)*'Investment Calculator'!$C$7/'Investment Calculator'!$F$4,"")</f>
        <v/>
      </c>
      <c r="F2617" s="27" t="str">
        <f>IFERROR(ABS(FV('Investment Calculator'!$C$7/'Investment Calculator'!$F$4,'SIP Schedule'!C2617,'SIP Schedule'!D2617,,1)),"")</f>
        <v/>
      </c>
    </row>
    <row r="2618" spans="3:6" x14ac:dyDescent="0.3">
      <c r="C2618" s="1" t="str">
        <f>IF(C2617&lt;'Investment Calculator'!$C$8*'Investment Calculator'!$F$4,'SIP Schedule'!C2617+1,"")</f>
        <v/>
      </c>
      <c r="D2618" s="27" t="str">
        <f>IF(C2618&lt;='Investment Calculator'!$C$8*'Investment Calculator'!$F$4,'Investment Calculator'!$C$6,"")</f>
        <v/>
      </c>
      <c r="E2618" s="27" t="str">
        <f>IFERROR((F2617+D2618)*'Investment Calculator'!$C$7/'Investment Calculator'!$F$4,"")</f>
        <v/>
      </c>
      <c r="F2618" s="27" t="str">
        <f>IFERROR(ABS(FV('Investment Calculator'!$C$7/'Investment Calculator'!$F$4,'SIP Schedule'!C2618,'SIP Schedule'!D2618,,1)),"")</f>
        <v/>
      </c>
    </row>
    <row r="2619" spans="3:6" x14ac:dyDescent="0.3">
      <c r="C2619" s="1" t="str">
        <f>IF(C2618&lt;'Investment Calculator'!$C$8*'Investment Calculator'!$F$4,'SIP Schedule'!C2618+1,"")</f>
        <v/>
      </c>
      <c r="D2619" s="27" t="str">
        <f>IF(C2619&lt;='Investment Calculator'!$C$8*'Investment Calculator'!$F$4,'Investment Calculator'!$C$6,"")</f>
        <v/>
      </c>
      <c r="E2619" s="27" t="str">
        <f>IFERROR((F2618+D2619)*'Investment Calculator'!$C$7/'Investment Calculator'!$F$4,"")</f>
        <v/>
      </c>
      <c r="F2619" s="27" t="str">
        <f>IFERROR(ABS(FV('Investment Calculator'!$C$7/'Investment Calculator'!$F$4,'SIP Schedule'!C2619,'SIP Schedule'!D2619,,1)),"")</f>
        <v/>
      </c>
    </row>
    <row r="2620" spans="3:6" x14ac:dyDescent="0.3">
      <c r="C2620" s="1" t="str">
        <f>IF(C2619&lt;'Investment Calculator'!$C$8*'Investment Calculator'!$F$4,'SIP Schedule'!C2619+1,"")</f>
        <v/>
      </c>
      <c r="D2620" s="27" t="str">
        <f>IF(C2620&lt;='Investment Calculator'!$C$8*'Investment Calculator'!$F$4,'Investment Calculator'!$C$6,"")</f>
        <v/>
      </c>
      <c r="E2620" s="27" t="str">
        <f>IFERROR((F2619+D2620)*'Investment Calculator'!$C$7/'Investment Calculator'!$F$4,"")</f>
        <v/>
      </c>
      <c r="F2620" s="27" t="str">
        <f>IFERROR(ABS(FV('Investment Calculator'!$C$7/'Investment Calculator'!$F$4,'SIP Schedule'!C2620,'SIP Schedule'!D2620,,1)),"")</f>
        <v/>
      </c>
    </row>
    <row r="2621" spans="3:6" x14ac:dyDescent="0.3">
      <c r="C2621" s="1" t="str">
        <f>IF(C2620&lt;'Investment Calculator'!$C$8*'Investment Calculator'!$F$4,'SIP Schedule'!C2620+1,"")</f>
        <v/>
      </c>
      <c r="D2621" s="27" t="str">
        <f>IF(C2621&lt;='Investment Calculator'!$C$8*'Investment Calculator'!$F$4,'Investment Calculator'!$C$6,"")</f>
        <v/>
      </c>
      <c r="E2621" s="27" t="str">
        <f>IFERROR((F2620+D2621)*'Investment Calculator'!$C$7/'Investment Calculator'!$F$4,"")</f>
        <v/>
      </c>
      <c r="F2621" s="27" t="str">
        <f>IFERROR(ABS(FV('Investment Calculator'!$C$7/'Investment Calculator'!$F$4,'SIP Schedule'!C2621,'SIP Schedule'!D2621,,1)),"")</f>
        <v/>
      </c>
    </row>
    <row r="2622" spans="3:6" x14ac:dyDescent="0.3">
      <c r="C2622" s="1" t="str">
        <f>IF(C2621&lt;'Investment Calculator'!$C$8*'Investment Calculator'!$F$4,'SIP Schedule'!C2621+1,"")</f>
        <v/>
      </c>
      <c r="D2622" s="27" t="str">
        <f>IF(C2622&lt;='Investment Calculator'!$C$8*'Investment Calculator'!$F$4,'Investment Calculator'!$C$6,"")</f>
        <v/>
      </c>
      <c r="E2622" s="27" t="str">
        <f>IFERROR((F2621+D2622)*'Investment Calculator'!$C$7/'Investment Calculator'!$F$4,"")</f>
        <v/>
      </c>
      <c r="F2622" s="27" t="str">
        <f>IFERROR(ABS(FV('Investment Calculator'!$C$7/'Investment Calculator'!$F$4,'SIP Schedule'!C2622,'SIP Schedule'!D2622,,1)),"")</f>
        <v/>
      </c>
    </row>
    <row r="2623" spans="3:6" x14ac:dyDescent="0.3">
      <c r="C2623" s="1" t="str">
        <f>IF(C2622&lt;'Investment Calculator'!$C$8*'Investment Calculator'!$F$4,'SIP Schedule'!C2622+1,"")</f>
        <v/>
      </c>
      <c r="D2623" s="27" t="str">
        <f>IF(C2623&lt;='Investment Calculator'!$C$8*'Investment Calculator'!$F$4,'Investment Calculator'!$C$6,"")</f>
        <v/>
      </c>
      <c r="E2623" s="27" t="str">
        <f>IFERROR((F2622+D2623)*'Investment Calculator'!$C$7/'Investment Calculator'!$F$4,"")</f>
        <v/>
      </c>
      <c r="F2623" s="27" t="str">
        <f>IFERROR(ABS(FV('Investment Calculator'!$C$7/'Investment Calculator'!$F$4,'SIP Schedule'!C2623,'SIP Schedule'!D2623,,1)),"")</f>
        <v/>
      </c>
    </row>
    <row r="2624" spans="3:6" x14ac:dyDescent="0.3">
      <c r="C2624" s="1" t="str">
        <f>IF(C2623&lt;'Investment Calculator'!$C$8*'Investment Calculator'!$F$4,'SIP Schedule'!C2623+1,"")</f>
        <v/>
      </c>
      <c r="D2624" s="27" t="str">
        <f>IF(C2624&lt;='Investment Calculator'!$C$8*'Investment Calculator'!$F$4,'Investment Calculator'!$C$6,"")</f>
        <v/>
      </c>
      <c r="E2624" s="27" t="str">
        <f>IFERROR((F2623+D2624)*'Investment Calculator'!$C$7/'Investment Calculator'!$F$4,"")</f>
        <v/>
      </c>
      <c r="F2624" s="27" t="str">
        <f>IFERROR(ABS(FV('Investment Calculator'!$C$7/'Investment Calculator'!$F$4,'SIP Schedule'!C2624,'SIP Schedule'!D2624,,1)),"")</f>
        <v/>
      </c>
    </row>
    <row r="2625" spans="3:6" x14ac:dyDescent="0.3">
      <c r="C2625" s="1" t="str">
        <f>IF(C2624&lt;'Investment Calculator'!$C$8*'Investment Calculator'!$F$4,'SIP Schedule'!C2624+1,"")</f>
        <v/>
      </c>
      <c r="D2625" s="27" t="str">
        <f>IF(C2625&lt;='Investment Calculator'!$C$8*'Investment Calculator'!$F$4,'Investment Calculator'!$C$6,"")</f>
        <v/>
      </c>
      <c r="E2625" s="27" t="str">
        <f>IFERROR((F2624+D2625)*'Investment Calculator'!$C$7/'Investment Calculator'!$F$4,"")</f>
        <v/>
      </c>
      <c r="F2625" s="27" t="str">
        <f>IFERROR(ABS(FV('Investment Calculator'!$C$7/'Investment Calculator'!$F$4,'SIP Schedule'!C2625,'SIP Schedule'!D2625,,1)),"")</f>
        <v/>
      </c>
    </row>
    <row r="2626" spans="3:6" x14ac:dyDescent="0.3">
      <c r="C2626" s="1" t="str">
        <f>IF(C2625&lt;'Investment Calculator'!$C$8*'Investment Calculator'!$F$4,'SIP Schedule'!C2625+1,"")</f>
        <v/>
      </c>
      <c r="D2626" s="27" t="str">
        <f>IF(C2626&lt;='Investment Calculator'!$C$8*'Investment Calculator'!$F$4,'Investment Calculator'!$C$6,"")</f>
        <v/>
      </c>
      <c r="E2626" s="27" t="str">
        <f>IFERROR((F2625+D2626)*'Investment Calculator'!$C$7/'Investment Calculator'!$F$4,"")</f>
        <v/>
      </c>
      <c r="F2626" s="27" t="str">
        <f>IFERROR(ABS(FV('Investment Calculator'!$C$7/'Investment Calculator'!$F$4,'SIP Schedule'!C2626,'SIP Schedule'!D2626,,1)),"")</f>
        <v/>
      </c>
    </row>
    <row r="2627" spans="3:6" x14ac:dyDescent="0.3">
      <c r="C2627" s="1" t="str">
        <f>IF(C2626&lt;'Investment Calculator'!$C$8*'Investment Calculator'!$F$4,'SIP Schedule'!C2626+1,"")</f>
        <v/>
      </c>
      <c r="D2627" s="27" t="str">
        <f>IF(C2627&lt;='Investment Calculator'!$C$8*'Investment Calculator'!$F$4,'Investment Calculator'!$C$6,"")</f>
        <v/>
      </c>
      <c r="E2627" s="27" t="str">
        <f>IFERROR((F2626+D2627)*'Investment Calculator'!$C$7/'Investment Calculator'!$F$4,"")</f>
        <v/>
      </c>
      <c r="F2627" s="27" t="str">
        <f>IFERROR(ABS(FV('Investment Calculator'!$C$7/'Investment Calculator'!$F$4,'SIP Schedule'!C2627,'SIP Schedule'!D2627,,1)),"")</f>
        <v/>
      </c>
    </row>
    <row r="2628" spans="3:6" x14ac:dyDescent="0.3">
      <c r="C2628" s="1" t="str">
        <f>IF(C2627&lt;'Investment Calculator'!$C$8*'Investment Calculator'!$F$4,'SIP Schedule'!C2627+1,"")</f>
        <v/>
      </c>
      <c r="D2628" s="27" t="str">
        <f>IF(C2628&lt;='Investment Calculator'!$C$8*'Investment Calculator'!$F$4,'Investment Calculator'!$C$6,"")</f>
        <v/>
      </c>
      <c r="E2628" s="27" t="str">
        <f>IFERROR((F2627+D2628)*'Investment Calculator'!$C$7/'Investment Calculator'!$F$4,"")</f>
        <v/>
      </c>
      <c r="F2628" s="27" t="str">
        <f>IFERROR(ABS(FV('Investment Calculator'!$C$7/'Investment Calculator'!$F$4,'SIP Schedule'!C2628,'SIP Schedule'!D2628,,1)),"")</f>
        <v/>
      </c>
    </row>
    <row r="2629" spans="3:6" x14ac:dyDescent="0.3">
      <c r="C2629" s="1" t="str">
        <f>IF(C2628&lt;'Investment Calculator'!$C$8*'Investment Calculator'!$F$4,'SIP Schedule'!C2628+1,"")</f>
        <v/>
      </c>
      <c r="D2629" s="27" t="str">
        <f>IF(C2629&lt;='Investment Calculator'!$C$8*'Investment Calculator'!$F$4,'Investment Calculator'!$C$6,"")</f>
        <v/>
      </c>
      <c r="E2629" s="27" t="str">
        <f>IFERROR((F2628+D2629)*'Investment Calculator'!$C$7/'Investment Calculator'!$F$4,"")</f>
        <v/>
      </c>
      <c r="F2629" s="27" t="str">
        <f>IFERROR(ABS(FV('Investment Calculator'!$C$7/'Investment Calculator'!$F$4,'SIP Schedule'!C2629,'SIP Schedule'!D2629,,1)),"")</f>
        <v/>
      </c>
    </row>
    <row r="2630" spans="3:6" x14ac:dyDescent="0.3">
      <c r="C2630" s="1" t="str">
        <f>IF(C2629&lt;'Investment Calculator'!$C$8*'Investment Calculator'!$F$4,'SIP Schedule'!C2629+1,"")</f>
        <v/>
      </c>
      <c r="D2630" s="27" t="str">
        <f>IF(C2630&lt;='Investment Calculator'!$C$8*'Investment Calculator'!$F$4,'Investment Calculator'!$C$6,"")</f>
        <v/>
      </c>
      <c r="E2630" s="27" t="str">
        <f>IFERROR((F2629+D2630)*'Investment Calculator'!$C$7/'Investment Calculator'!$F$4,"")</f>
        <v/>
      </c>
      <c r="F2630" s="27" t="str">
        <f>IFERROR(ABS(FV('Investment Calculator'!$C$7/'Investment Calculator'!$F$4,'SIP Schedule'!C2630,'SIP Schedule'!D2630,,1)),"")</f>
        <v/>
      </c>
    </row>
    <row r="2631" spans="3:6" x14ac:dyDescent="0.3">
      <c r="C2631" s="1" t="str">
        <f>IF(C2630&lt;'Investment Calculator'!$C$8*'Investment Calculator'!$F$4,'SIP Schedule'!C2630+1,"")</f>
        <v/>
      </c>
      <c r="D2631" s="27" t="str">
        <f>IF(C2631&lt;='Investment Calculator'!$C$8*'Investment Calculator'!$F$4,'Investment Calculator'!$C$6,"")</f>
        <v/>
      </c>
      <c r="E2631" s="27" t="str">
        <f>IFERROR((F2630+D2631)*'Investment Calculator'!$C$7/'Investment Calculator'!$F$4,"")</f>
        <v/>
      </c>
      <c r="F2631" s="27" t="str">
        <f>IFERROR(ABS(FV('Investment Calculator'!$C$7/'Investment Calculator'!$F$4,'SIP Schedule'!C2631,'SIP Schedule'!D2631,,1)),"")</f>
        <v/>
      </c>
    </row>
    <row r="2632" spans="3:6" x14ac:dyDescent="0.3">
      <c r="C2632" s="1" t="str">
        <f>IF(C2631&lt;'Investment Calculator'!$C$8*'Investment Calculator'!$F$4,'SIP Schedule'!C2631+1,"")</f>
        <v/>
      </c>
      <c r="D2632" s="27" t="str">
        <f>IF(C2632&lt;='Investment Calculator'!$C$8*'Investment Calculator'!$F$4,'Investment Calculator'!$C$6,"")</f>
        <v/>
      </c>
      <c r="E2632" s="27" t="str">
        <f>IFERROR((F2631+D2632)*'Investment Calculator'!$C$7/'Investment Calculator'!$F$4,"")</f>
        <v/>
      </c>
      <c r="F2632" s="27" t="str">
        <f>IFERROR(ABS(FV('Investment Calculator'!$C$7/'Investment Calculator'!$F$4,'SIP Schedule'!C2632,'SIP Schedule'!D2632,,1)),"")</f>
        <v/>
      </c>
    </row>
    <row r="2633" spans="3:6" x14ac:dyDescent="0.3">
      <c r="C2633" s="1" t="str">
        <f>IF(C2632&lt;'Investment Calculator'!$C$8*'Investment Calculator'!$F$4,'SIP Schedule'!C2632+1,"")</f>
        <v/>
      </c>
      <c r="D2633" s="27" t="str">
        <f>IF(C2633&lt;='Investment Calculator'!$C$8*'Investment Calculator'!$F$4,'Investment Calculator'!$C$6,"")</f>
        <v/>
      </c>
      <c r="E2633" s="27" t="str">
        <f>IFERROR((F2632+D2633)*'Investment Calculator'!$C$7/'Investment Calculator'!$F$4,"")</f>
        <v/>
      </c>
      <c r="F2633" s="27" t="str">
        <f>IFERROR(ABS(FV('Investment Calculator'!$C$7/'Investment Calculator'!$F$4,'SIP Schedule'!C2633,'SIP Schedule'!D2633,,1)),"")</f>
        <v/>
      </c>
    </row>
    <row r="2634" spans="3:6" x14ac:dyDescent="0.3">
      <c r="C2634" s="1" t="str">
        <f>IF(C2633&lt;'Investment Calculator'!$C$8*'Investment Calculator'!$F$4,'SIP Schedule'!C2633+1,"")</f>
        <v/>
      </c>
      <c r="D2634" s="27" t="str">
        <f>IF(C2634&lt;='Investment Calculator'!$C$8*'Investment Calculator'!$F$4,'Investment Calculator'!$C$6,"")</f>
        <v/>
      </c>
      <c r="E2634" s="27" t="str">
        <f>IFERROR((F2633+D2634)*'Investment Calculator'!$C$7/'Investment Calculator'!$F$4,"")</f>
        <v/>
      </c>
      <c r="F2634" s="27" t="str">
        <f>IFERROR(ABS(FV('Investment Calculator'!$C$7/'Investment Calculator'!$F$4,'SIP Schedule'!C2634,'SIP Schedule'!D2634,,1)),"")</f>
        <v/>
      </c>
    </row>
    <row r="2635" spans="3:6" x14ac:dyDescent="0.3">
      <c r="C2635" s="1" t="str">
        <f>IF(C2634&lt;'Investment Calculator'!$C$8*'Investment Calculator'!$F$4,'SIP Schedule'!C2634+1,"")</f>
        <v/>
      </c>
      <c r="D2635" s="27" t="str">
        <f>IF(C2635&lt;='Investment Calculator'!$C$8*'Investment Calculator'!$F$4,'Investment Calculator'!$C$6,"")</f>
        <v/>
      </c>
      <c r="E2635" s="27" t="str">
        <f>IFERROR((F2634+D2635)*'Investment Calculator'!$C$7/'Investment Calculator'!$F$4,"")</f>
        <v/>
      </c>
      <c r="F2635" s="27" t="str">
        <f>IFERROR(ABS(FV('Investment Calculator'!$C$7/'Investment Calculator'!$F$4,'SIP Schedule'!C2635,'SIP Schedule'!D2635,,1)),"")</f>
        <v/>
      </c>
    </row>
    <row r="2636" spans="3:6" x14ac:dyDescent="0.3">
      <c r="C2636" s="1" t="str">
        <f>IF(C2635&lt;'Investment Calculator'!$C$8*'Investment Calculator'!$F$4,'SIP Schedule'!C2635+1,"")</f>
        <v/>
      </c>
      <c r="D2636" s="27" t="str">
        <f>IF(C2636&lt;='Investment Calculator'!$C$8*'Investment Calculator'!$F$4,'Investment Calculator'!$C$6,"")</f>
        <v/>
      </c>
      <c r="E2636" s="27" t="str">
        <f>IFERROR((F2635+D2636)*'Investment Calculator'!$C$7/'Investment Calculator'!$F$4,"")</f>
        <v/>
      </c>
      <c r="F2636" s="27" t="str">
        <f>IFERROR(ABS(FV('Investment Calculator'!$C$7/'Investment Calculator'!$F$4,'SIP Schedule'!C2636,'SIP Schedule'!D2636,,1)),"")</f>
        <v/>
      </c>
    </row>
    <row r="2637" spans="3:6" x14ac:dyDescent="0.3">
      <c r="C2637" s="1" t="str">
        <f>IF(C2636&lt;'Investment Calculator'!$C$8*'Investment Calculator'!$F$4,'SIP Schedule'!C2636+1,"")</f>
        <v/>
      </c>
      <c r="D2637" s="27" t="str">
        <f>IF(C2637&lt;='Investment Calculator'!$C$8*'Investment Calculator'!$F$4,'Investment Calculator'!$C$6,"")</f>
        <v/>
      </c>
      <c r="E2637" s="27" t="str">
        <f>IFERROR((F2636+D2637)*'Investment Calculator'!$C$7/'Investment Calculator'!$F$4,"")</f>
        <v/>
      </c>
      <c r="F2637" s="27" t="str">
        <f>IFERROR(ABS(FV('Investment Calculator'!$C$7/'Investment Calculator'!$F$4,'SIP Schedule'!C2637,'SIP Schedule'!D2637,,1)),"")</f>
        <v/>
      </c>
    </row>
    <row r="2638" spans="3:6" x14ac:dyDescent="0.3">
      <c r="C2638" s="1" t="str">
        <f>IF(C2637&lt;'Investment Calculator'!$C$8*'Investment Calculator'!$F$4,'SIP Schedule'!C2637+1,"")</f>
        <v/>
      </c>
      <c r="D2638" s="27" t="str">
        <f>IF(C2638&lt;='Investment Calculator'!$C$8*'Investment Calculator'!$F$4,'Investment Calculator'!$C$6,"")</f>
        <v/>
      </c>
      <c r="E2638" s="27" t="str">
        <f>IFERROR((F2637+D2638)*'Investment Calculator'!$C$7/'Investment Calculator'!$F$4,"")</f>
        <v/>
      </c>
      <c r="F2638" s="27" t="str">
        <f>IFERROR(ABS(FV('Investment Calculator'!$C$7/'Investment Calculator'!$F$4,'SIP Schedule'!C2638,'SIP Schedule'!D2638,,1)),"")</f>
        <v/>
      </c>
    </row>
    <row r="2639" spans="3:6" x14ac:dyDescent="0.3">
      <c r="C2639" s="1" t="str">
        <f>IF(C2638&lt;'Investment Calculator'!$C$8*'Investment Calculator'!$F$4,'SIP Schedule'!C2638+1,"")</f>
        <v/>
      </c>
      <c r="D2639" s="27" t="str">
        <f>IF(C2639&lt;='Investment Calculator'!$C$8*'Investment Calculator'!$F$4,'Investment Calculator'!$C$6,"")</f>
        <v/>
      </c>
      <c r="E2639" s="27" t="str">
        <f>IFERROR((F2638+D2639)*'Investment Calculator'!$C$7/'Investment Calculator'!$F$4,"")</f>
        <v/>
      </c>
      <c r="F2639" s="27" t="str">
        <f>IFERROR(ABS(FV('Investment Calculator'!$C$7/'Investment Calculator'!$F$4,'SIP Schedule'!C2639,'SIP Schedule'!D2639,,1)),"")</f>
        <v/>
      </c>
    </row>
    <row r="2640" spans="3:6" x14ac:dyDescent="0.3">
      <c r="C2640" s="1" t="str">
        <f>IF(C2639&lt;'Investment Calculator'!$C$8*'Investment Calculator'!$F$4,'SIP Schedule'!C2639+1,"")</f>
        <v/>
      </c>
      <c r="D2640" s="27" t="str">
        <f>IF(C2640&lt;='Investment Calculator'!$C$8*'Investment Calculator'!$F$4,'Investment Calculator'!$C$6,"")</f>
        <v/>
      </c>
      <c r="E2640" s="27" t="str">
        <f>IFERROR((F2639+D2640)*'Investment Calculator'!$C$7/'Investment Calculator'!$F$4,"")</f>
        <v/>
      </c>
      <c r="F2640" s="27" t="str">
        <f>IFERROR(ABS(FV('Investment Calculator'!$C$7/'Investment Calculator'!$F$4,'SIP Schedule'!C2640,'SIP Schedule'!D2640,,1)),"")</f>
        <v/>
      </c>
    </row>
    <row r="2641" spans="3:6" x14ac:dyDescent="0.3">
      <c r="C2641" s="1" t="str">
        <f>IF(C2640&lt;'Investment Calculator'!$C$8*'Investment Calculator'!$F$4,'SIP Schedule'!C2640+1,"")</f>
        <v/>
      </c>
      <c r="D2641" s="27" t="str">
        <f>IF(C2641&lt;='Investment Calculator'!$C$8*'Investment Calculator'!$F$4,'Investment Calculator'!$C$6,"")</f>
        <v/>
      </c>
      <c r="E2641" s="27" t="str">
        <f>IFERROR((F2640+D2641)*'Investment Calculator'!$C$7/'Investment Calculator'!$F$4,"")</f>
        <v/>
      </c>
      <c r="F2641" s="27" t="str">
        <f>IFERROR(ABS(FV('Investment Calculator'!$C$7/'Investment Calculator'!$F$4,'SIP Schedule'!C2641,'SIP Schedule'!D2641,,1)),"")</f>
        <v/>
      </c>
    </row>
    <row r="2642" spans="3:6" x14ac:dyDescent="0.3">
      <c r="C2642" s="1" t="str">
        <f>IF(C2641&lt;'Investment Calculator'!$C$8*'Investment Calculator'!$F$4,'SIP Schedule'!C2641+1,"")</f>
        <v/>
      </c>
      <c r="D2642" s="27" t="str">
        <f>IF(C2642&lt;='Investment Calculator'!$C$8*'Investment Calculator'!$F$4,'Investment Calculator'!$C$6,"")</f>
        <v/>
      </c>
      <c r="E2642" s="27" t="str">
        <f>IFERROR((F2641+D2642)*'Investment Calculator'!$C$7/'Investment Calculator'!$F$4,"")</f>
        <v/>
      </c>
      <c r="F2642" s="27" t="str">
        <f>IFERROR(ABS(FV('Investment Calculator'!$C$7/'Investment Calculator'!$F$4,'SIP Schedule'!C2642,'SIP Schedule'!D2642,,1)),"")</f>
        <v/>
      </c>
    </row>
    <row r="2643" spans="3:6" x14ac:dyDescent="0.3">
      <c r="C2643" s="1" t="str">
        <f>IF(C2642&lt;'Investment Calculator'!$C$8*'Investment Calculator'!$F$4,'SIP Schedule'!C2642+1,"")</f>
        <v/>
      </c>
      <c r="D2643" s="27" t="str">
        <f>IF(C2643&lt;='Investment Calculator'!$C$8*'Investment Calculator'!$F$4,'Investment Calculator'!$C$6,"")</f>
        <v/>
      </c>
      <c r="E2643" s="27" t="str">
        <f>IFERROR((F2642+D2643)*'Investment Calculator'!$C$7/'Investment Calculator'!$F$4,"")</f>
        <v/>
      </c>
      <c r="F2643" s="27" t="str">
        <f>IFERROR(ABS(FV('Investment Calculator'!$C$7/'Investment Calculator'!$F$4,'SIP Schedule'!C2643,'SIP Schedule'!D2643,,1)),"")</f>
        <v/>
      </c>
    </row>
    <row r="2644" spans="3:6" x14ac:dyDescent="0.3">
      <c r="C2644" s="1" t="str">
        <f>IF(C2643&lt;'Investment Calculator'!$C$8*'Investment Calculator'!$F$4,'SIP Schedule'!C2643+1,"")</f>
        <v/>
      </c>
      <c r="D2644" s="27" t="str">
        <f>IF(C2644&lt;='Investment Calculator'!$C$8*'Investment Calculator'!$F$4,'Investment Calculator'!$C$6,"")</f>
        <v/>
      </c>
      <c r="E2644" s="27" t="str">
        <f>IFERROR((F2643+D2644)*'Investment Calculator'!$C$7/'Investment Calculator'!$F$4,"")</f>
        <v/>
      </c>
      <c r="F2644" s="27" t="str">
        <f>IFERROR(ABS(FV('Investment Calculator'!$C$7/'Investment Calculator'!$F$4,'SIP Schedule'!C2644,'SIP Schedule'!D2644,,1)),"")</f>
        <v/>
      </c>
    </row>
    <row r="2645" spans="3:6" x14ac:dyDescent="0.3">
      <c r="C2645" s="1" t="str">
        <f>IF(C2644&lt;'Investment Calculator'!$C$8*'Investment Calculator'!$F$4,'SIP Schedule'!C2644+1,"")</f>
        <v/>
      </c>
      <c r="D2645" s="27" t="str">
        <f>IF(C2645&lt;='Investment Calculator'!$C$8*'Investment Calculator'!$F$4,'Investment Calculator'!$C$6,"")</f>
        <v/>
      </c>
      <c r="E2645" s="27" t="str">
        <f>IFERROR((F2644+D2645)*'Investment Calculator'!$C$7/'Investment Calculator'!$F$4,"")</f>
        <v/>
      </c>
      <c r="F2645" s="27" t="str">
        <f>IFERROR(ABS(FV('Investment Calculator'!$C$7/'Investment Calculator'!$F$4,'SIP Schedule'!C2645,'SIP Schedule'!D2645,,1)),"")</f>
        <v/>
      </c>
    </row>
    <row r="2646" spans="3:6" x14ac:dyDescent="0.3">
      <c r="C2646" s="1" t="str">
        <f>IF(C2645&lt;'Investment Calculator'!$C$8*'Investment Calculator'!$F$4,'SIP Schedule'!C2645+1,"")</f>
        <v/>
      </c>
      <c r="D2646" s="27" t="str">
        <f>IF(C2646&lt;='Investment Calculator'!$C$8*'Investment Calculator'!$F$4,'Investment Calculator'!$C$6,"")</f>
        <v/>
      </c>
      <c r="E2646" s="27" t="str">
        <f>IFERROR((F2645+D2646)*'Investment Calculator'!$C$7/'Investment Calculator'!$F$4,"")</f>
        <v/>
      </c>
      <c r="F2646" s="27" t="str">
        <f>IFERROR(ABS(FV('Investment Calculator'!$C$7/'Investment Calculator'!$F$4,'SIP Schedule'!C2646,'SIP Schedule'!D2646,,1)),"")</f>
        <v/>
      </c>
    </row>
    <row r="2647" spans="3:6" x14ac:dyDescent="0.3">
      <c r="C2647" s="1" t="str">
        <f>IF(C2646&lt;'Investment Calculator'!$C$8*'Investment Calculator'!$F$4,'SIP Schedule'!C2646+1,"")</f>
        <v/>
      </c>
      <c r="D2647" s="27" t="str">
        <f>IF(C2647&lt;='Investment Calculator'!$C$8*'Investment Calculator'!$F$4,'Investment Calculator'!$C$6,"")</f>
        <v/>
      </c>
      <c r="E2647" s="27" t="str">
        <f>IFERROR((F2646+D2647)*'Investment Calculator'!$C$7/'Investment Calculator'!$F$4,"")</f>
        <v/>
      </c>
      <c r="F2647" s="27" t="str">
        <f>IFERROR(ABS(FV('Investment Calculator'!$C$7/'Investment Calculator'!$F$4,'SIP Schedule'!C2647,'SIP Schedule'!D2647,,1)),"")</f>
        <v/>
      </c>
    </row>
    <row r="2648" spans="3:6" x14ac:dyDescent="0.3">
      <c r="C2648" s="1" t="str">
        <f>IF(C2647&lt;'Investment Calculator'!$C$8*'Investment Calculator'!$F$4,'SIP Schedule'!C2647+1,"")</f>
        <v/>
      </c>
      <c r="D2648" s="27" t="str">
        <f>IF(C2648&lt;='Investment Calculator'!$C$8*'Investment Calculator'!$F$4,'Investment Calculator'!$C$6,"")</f>
        <v/>
      </c>
      <c r="E2648" s="27" t="str">
        <f>IFERROR((F2647+D2648)*'Investment Calculator'!$C$7/'Investment Calculator'!$F$4,"")</f>
        <v/>
      </c>
      <c r="F2648" s="27" t="str">
        <f>IFERROR(ABS(FV('Investment Calculator'!$C$7/'Investment Calculator'!$F$4,'SIP Schedule'!C2648,'SIP Schedule'!D2648,,1)),"")</f>
        <v/>
      </c>
    </row>
    <row r="2649" spans="3:6" x14ac:dyDescent="0.3">
      <c r="C2649" s="1" t="str">
        <f>IF(C2648&lt;'Investment Calculator'!$C$8*'Investment Calculator'!$F$4,'SIP Schedule'!C2648+1,"")</f>
        <v/>
      </c>
      <c r="D2649" s="27" t="str">
        <f>IF(C2649&lt;='Investment Calculator'!$C$8*'Investment Calculator'!$F$4,'Investment Calculator'!$C$6,"")</f>
        <v/>
      </c>
      <c r="E2649" s="27" t="str">
        <f>IFERROR((F2648+D2649)*'Investment Calculator'!$C$7/'Investment Calculator'!$F$4,"")</f>
        <v/>
      </c>
      <c r="F2649" s="27" t="str">
        <f>IFERROR(ABS(FV('Investment Calculator'!$C$7/'Investment Calculator'!$F$4,'SIP Schedule'!C2649,'SIP Schedule'!D2649,,1)),"")</f>
        <v/>
      </c>
    </row>
    <row r="2650" spans="3:6" x14ac:dyDescent="0.3">
      <c r="C2650" s="1" t="str">
        <f>IF(C2649&lt;'Investment Calculator'!$C$8*'Investment Calculator'!$F$4,'SIP Schedule'!C2649+1,"")</f>
        <v/>
      </c>
      <c r="D2650" s="27" t="str">
        <f>IF(C2650&lt;='Investment Calculator'!$C$8*'Investment Calculator'!$F$4,'Investment Calculator'!$C$6,"")</f>
        <v/>
      </c>
      <c r="E2650" s="27" t="str">
        <f>IFERROR((F2649+D2650)*'Investment Calculator'!$C$7/'Investment Calculator'!$F$4,"")</f>
        <v/>
      </c>
      <c r="F2650" s="27" t="str">
        <f>IFERROR(ABS(FV('Investment Calculator'!$C$7/'Investment Calculator'!$F$4,'SIP Schedule'!C2650,'SIP Schedule'!D2650,,1)),"")</f>
        <v/>
      </c>
    </row>
    <row r="2651" spans="3:6" x14ac:dyDescent="0.3">
      <c r="C2651" s="1" t="str">
        <f>IF(C2650&lt;'Investment Calculator'!$C$8*'Investment Calculator'!$F$4,'SIP Schedule'!C2650+1,"")</f>
        <v/>
      </c>
      <c r="D2651" s="27" t="str">
        <f>IF(C2651&lt;='Investment Calculator'!$C$8*'Investment Calculator'!$F$4,'Investment Calculator'!$C$6,"")</f>
        <v/>
      </c>
      <c r="E2651" s="27" t="str">
        <f>IFERROR((F2650+D2651)*'Investment Calculator'!$C$7/'Investment Calculator'!$F$4,"")</f>
        <v/>
      </c>
      <c r="F2651" s="27" t="str">
        <f>IFERROR(ABS(FV('Investment Calculator'!$C$7/'Investment Calculator'!$F$4,'SIP Schedule'!C2651,'SIP Schedule'!D2651,,1)),"")</f>
        <v/>
      </c>
    </row>
    <row r="2652" spans="3:6" x14ac:dyDescent="0.3">
      <c r="C2652" s="1" t="str">
        <f>IF(C2651&lt;'Investment Calculator'!$C$8*'Investment Calculator'!$F$4,'SIP Schedule'!C2651+1,"")</f>
        <v/>
      </c>
      <c r="D2652" s="27" t="str">
        <f>IF(C2652&lt;='Investment Calculator'!$C$8*'Investment Calculator'!$F$4,'Investment Calculator'!$C$6,"")</f>
        <v/>
      </c>
      <c r="E2652" s="27" t="str">
        <f>IFERROR((F2651+D2652)*'Investment Calculator'!$C$7/'Investment Calculator'!$F$4,"")</f>
        <v/>
      </c>
      <c r="F2652" s="27" t="str">
        <f>IFERROR(ABS(FV('Investment Calculator'!$C$7/'Investment Calculator'!$F$4,'SIP Schedule'!C2652,'SIP Schedule'!D2652,,1)),"")</f>
        <v/>
      </c>
    </row>
    <row r="2653" spans="3:6" x14ac:dyDescent="0.3">
      <c r="C2653" s="1" t="str">
        <f>IF(C2652&lt;'Investment Calculator'!$C$8*'Investment Calculator'!$F$4,'SIP Schedule'!C2652+1,"")</f>
        <v/>
      </c>
      <c r="D2653" s="27" t="str">
        <f>IF(C2653&lt;='Investment Calculator'!$C$8*'Investment Calculator'!$F$4,'Investment Calculator'!$C$6,"")</f>
        <v/>
      </c>
      <c r="E2653" s="27" t="str">
        <f>IFERROR((F2652+D2653)*'Investment Calculator'!$C$7/'Investment Calculator'!$F$4,"")</f>
        <v/>
      </c>
      <c r="F2653" s="27" t="str">
        <f>IFERROR(ABS(FV('Investment Calculator'!$C$7/'Investment Calculator'!$F$4,'SIP Schedule'!C2653,'SIP Schedule'!D2653,,1)),"")</f>
        <v/>
      </c>
    </row>
    <row r="2654" spans="3:6" x14ac:dyDescent="0.3">
      <c r="C2654" s="1" t="str">
        <f>IF(C2653&lt;'Investment Calculator'!$C$8*'Investment Calculator'!$F$4,'SIP Schedule'!C2653+1,"")</f>
        <v/>
      </c>
      <c r="D2654" s="27" t="str">
        <f>IF(C2654&lt;='Investment Calculator'!$C$8*'Investment Calculator'!$F$4,'Investment Calculator'!$C$6,"")</f>
        <v/>
      </c>
      <c r="E2654" s="27" t="str">
        <f>IFERROR((F2653+D2654)*'Investment Calculator'!$C$7/'Investment Calculator'!$F$4,"")</f>
        <v/>
      </c>
      <c r="F2654" s="27" t="str">
        <f>IFERROR(ABS(FV('Investment Calculator'!$C$7/'Investment Calculator'!$F$4,'SIP Schedule'!C2654,'SIP Schedule'!D2654,,1)),"")</f>
        <v/>
      </c>
    </row>
    <row r="2655" spans="3:6" x14ac:dyDescent="0.3">
      <c r="C2655" s="1" t="str">
        <f>IF(C2654&lt;'Investment Calculator'!$C$8*'Investment Calculator'!$F$4,'SIP Schedule'!C2654+1,"")</f>
        <v/>
      </c>
      <c r="D2655" s="27" t="str">
        <f>IF(C2655&lt;='Investment Calculator'!$C$8*'Investment Calculator'!$F$4,'Investment Calculator'!$C$6,"")</f>
        <v/>
      </c>
      <c r="E2655" s="27" t="str">
        <f>IFERROR((F2654+D2655)*'Investment Calculator'!$C$7/'Investment Calculator'!$F$4,"")</f>
        <v/>
      </c>
      <c r="F2655" s="27" t="str">
        <f>IFERROR(ABS(FV('Investment Calculator'!$C$7/'Investment Calculator'!$F$4,'SIP Schedule'!C2655,'SIP Schedule'!D2655,,1)),"")</f>
        <v/>
      </c>
    </row>
    <row r="2656" spans="3:6" x14ac:dyDescent="0.3">
      <c r="C2656" s="1" t="str">
        <f>IF(C2655&lt;'Investment Calculator'!$C$8*'Investment Calculator'!$F$4,'SIP Schedule'!C2655+1,"")</f>
        <v/>
      </c>
      <c r="D2656" s="27" t="str">
        <f>IF(C2656&lt;='Investment Calculator'!$C$8*'Investment Calculator'!$F$4,'Investment Calculator'!$C$6,"")</f>
        <v/>
      </c>
      <c r="E2656" s="27" t="str">
        <f>IFERROR((F2655+D2656)*'Investment Calculator'!$C$7/'Investment Calculator'!$F$4,"")</f>
        <v/>
      </c>
      <c r="F2656" s="27" t="str">
        <f>IFERROR(ABS(FV('Investment Calculator'!$C$7/'Investment Calculator'!$F$4,'SIP Schedule'!C2656,'SIP Schedule'!D2656,,1)),"")</f>
        <v/>
      </c>
    </row>
    <row r="2657" spans="3:6" x14ac:dyDescent="0.3">
      <c r="C2657" s="1" t="str">
        <f>IF(C2656&lt;'Investment Calculator'!$C$8*'Investment Calculator'!$F$4,'SIP Schedule'!C2656+1,"")</f>
        <v/>
      </c>
      <c r="D2657" s="27" t="str">
        <f>IF(C2657&lt;='Investment Calculator'!$C$8*'Investment Calculator'!$F$4,'Investment Calculator'!$C$6,"")</f>
        <v/>
      </c>
      <c r="E2657" s="27" t="str">
        <f>IFERROR((F2656+D2657)*'Investment Calculator'!$C$7/'Investment Calculator'!$F$4,"")</f>
        <v/>
      </c>
      <c r="F2657" s="27" t="str">
        <f>IFERROR(ABS(FV('Investment Calculator'!$C$7/'Investment Calculator'!$F$4,'SIP Schedule'!C2657,'SIP Schedule'!D2657,,1)),"")</f>
        <v/>
      </c>
    </row>
    <row r="2658" spans="3:6" x14ac:dyDescent="0.3">
      <c r="C2658" s="1" t="str">
        <f>IF(C2657&lt;'Investment Calculator'!$C$8*'Investment Calculator'!$F$4,'SIP Schedule'!C2657+1,"")</f>
        <v/>
      </c>
      <c r="D2658" s="27" t="str">
        <f>IF(C2658&lt;='Investment Calculator'!$C$8*'Investment Calculator'!$F$4,'Investment Calculator'!$C$6,"")</f>
        <v/>
      </c>
      <c r="E2658" s="27" t="str">
        <f>IFERROR((F2657+D2658)*'Investment Calculator'!$C$7/'Investment Calculator'!$F$4,"")</f>
        <v/>
      </c>
      <c r="F2658" s="27" t="str">
        <f>IFERROR(ABS(FV('Investment Calculator'!$C$7/'Investment Calculator'!$F$4,'SIP Schedule'!C2658,'SIP Schedule'!D2658,,1)),"")</f>
        <v/>
      </c>
    </row>
    <row r="2659" spans="3:6" x14ac:dyDescent="0.3">
      <c r="C2659" s="1" t="str">
        <f>IF(C2658&lt;'Investment Calculator'!$C$8*'Investment Calculator'!$F$4,'SIP Schedule'!C2658+1,"")</f>
        <v/>
      </c>
      <c r="D2659" s="27" t="str">
        <f>IF(C2659&lt;='Investment Calculator'!$C$8*'Investment Calculator'!$F$4,'Investment Calculator'!$C$6,"")</f>
        <v/>
      </c>
      <c r="E2659" s="27" t="str">
        <f>IFERROR((F2658+D2659)*'Investment Calculator'!$C$7/'Investment Calculator'!$F$4,"")</f>
        <v/>
      </c>
      <c r="F2659" s="27" t="str">
        <f>IFERROR(ABS(FV('Investment Calculator'!$C$7/'Investment Calculator'!$F$4,'SIP Schedule'!C2659,'SIP Schedule'!D2659,,1)),"")</f>
        <v/>
      </c>
    </row>
    <row r="2660" spans="3:6" x14ac:dyDescent="0.3">
      <c r="C2660" s="1" t="str">
        <f>IF(C2659&lt;'Investment Calculator'!$C$8*'Investment Calculator'!$F$4,'SIP Schedule'!C2659+1,"")</f>
        <v/>
      </c>
      <c r="D2660" s="27" t="str">
        <f>IF(C2660&lt;='Investment Calculator'!$C$8*'Investment Calculator'!$F$4,'Investment Calculator'!$C$6,"")</f>
        <v/>
      </c>
      <c r="E2660" s="27" t="str">
        <f>IFERROR((F2659+D2660)*'Investment Calculator'!$C$7/'Investment Calculator'!$F$4,"")</f>
        <v/>
      </c>
      <c r="F2660" s="27" t="str">
        <f>IFERROR(ABS(FV('Investment Calculator'!$C$7/'Investment Calculator'!$F$4,'SIP Schedule'!C2660,'SIP Schedule'!D2660,,1)),"")</f>
        <v/>
      </c>
    </row>
    <row r="2661" spans="3:6" x14ac:dyDescent="0.3">
      <c r="C2661" s="1" t="str">
        <f>IF(C2660&lt;'Investment Calculator'!$C$8*'Investment Calculator'!$F$4,'SIP Schedule'!C2660+1,"")</f>
        <v/>
      </c>
      <c r="D2661" s="27" t="str">
        <f>IF(C2661&lt;='Investment Calculator'!$C$8*'Investment Calculator'!$F$4,'Investment Calculator'!$C$6,"")</f>
        <v/>
      </c>
      <c r="E2661" s="27" t="str">
        <f>IFERROR((F2660+D2661)*'Investment Calculator'!$C$7/'Investment Calculator'!$F$4,"")</f>
        <v/>
      </c>
      <c r="F2661" s="27" t="str">
        <f>IFERROR(ABS(FV('Investment Calculator'!$C$7/'Investment Calculator'!$F$4,'SIP Schedule'!C2661,'SIP Schedule'!D2661,,1)),"")</f>
        <v/>
      </c>
    </row>
    <row r="2662" spans="3:6" x14ac:dyDescent="0.3">
      <c r="C2662" s="1" t="str">
        <f>IF(C2661&lt;'Investment Calculator'!$C$8*'Investment Calculator'!$F$4,'SIP Schedule'!C2661+1,"")</f>
        <v/>
      </c>
      <c r="D2662" s="27" t="str">
        <f>IF(C2662&lt;='Investment Calculator'!$C$8*'Investment Calculator'!$F$4,'Investment Calculator'!$C$6,"")</f>
        <v/>
      </c>
      <c r="E2662" s="27" t="str">
        <f>IFERROR((F2661+D2662)*'Investment Calculator'!$C$7/'Investment Calculator'!$F$4,"")</f>
        <v/>
      </c>
      <c r="F2662" s="27" t="str">
        <f>IFERROR(ABS(FV('Investment Calculator'!$C$7/'Investment Calculator'!$F$4,'SIP Schedule'!C2662,'SIP Schedule'!D2662,,1)),"")</f>
        <v/>
      </c>
    </row>
    <row r="2663" spans="3:6" x14ac:dyDescent="0.3">
      <c r="C2663" s="1" t="str">
        <f>IF(C2662&lt;'Investment Calculator'!$C$8*'Investment Calculator'!$F$4,'SIP Schedule'!C2662+1,"")</f>
        <v/>
      </c>
      <c r="D2663" s="27" t="str">
        <f>IF(C2663&lt;='Investment Calculator'!$C$8*'Investment Calculator'!$F$4,'Investment Calculator'!$C$6,"")</f>
        <v/>
      </c>
      <c r="E2663" s="27" t="str">
        <f>IFERROR((F2662+D2663)*'Investment Calculator'!$C$7/'Investment Calculator'!$F$4,"")</f>
        <v/>
      </c>
      <c r="F2663" s="27" t="str">
        <f>IFERROR(ABS(FV('Investment Calculator'!$C$7/'Investment Calculator'!$F$4,'SIP Schedule'!C2663,'SIP Schedule'!D2663,,1)),"")</f>
        <v/>
      </c>
    </row>
    <row r="2664" spans="3:6" x14ac:dyDescent="0.3">
      <c r="C2664" s="1" t="str">
        <f>IF(C2663&lt;'Investment Calculator'!$C$8*'Investment Calculator'!$F$4,'SIP Schedule'!C2663+1,"")</f>
        <v/>
      </c>
      <c r="D2664" s="27" t="str">
        <f>IF(C2664&lt;='Investment Calculator'!$C$8*'Investment Calculator'!$F$4,'Investment Calculator'!$C$6,"")</f>
        <v/>
      </c>
      <c r="E2664" s="27" t="str">
        <f>IFERROR((F2663+D2664)*'Investment Calculator'!$C$7/'Investment Calculator'!$F$4,"")</f>
        <v/>
      </c>
      <c r="F2664" s="27" t="str">
        <f>IFERROR(ABS(FV('Investment Calculator'!$C$7/'Investment Calculator'!$F$4,'SIP Schedule'!C2664,'SIP Schedule'!D2664,,1)),"")</f>
        <v/>
      </c>
    </row>
    <row r="2665" spans="3:6" x14ac:dyDescent="0.3">
      <c r="C2665" s="1" t="str">
        <f>IF(C2664&lt;'Investment Calculator'!$C$8*'Investment Calculator'!$F$4,'SIP Schedule'!C2664+1,"")</f>
        <v/>
      </c>
      <c r="D2665" s="27" t="str">
        <f>IF(C2665&lt;='Investment Calculator'!$C$8*'Investment Calculator'!$F$4,'Investment Calculator'!$C$6,"")</f>
        <v/>
      </c>
      <c r="E2665" s="27" t="str">
        <f>IFERROR((F2664+D2665)*'Investment Calculator'!$C$7/'Investment Calculator'!$F$4,"")</f>
        <v/>
      </c>
      <c r="F2665" s="27" t="str">
        <f>IFERROR(ABS(FV('Investment Calculator'!$C$7/'Investment Calculator'!$F$4,'SIP Schedule'!C2665,'SIP Schedule'!D2665,,1)),"")</f>
        <v/>
      </c>
    </row>
    <row r="2666" spans="3:6" x14ac:dyDescent="0.3">
      <c r="C2666" s="1" t="str">
        <f>IF(C2665&lt;'Investment Calculator'!$C$8*'Investment Calculator'!$F$4,'SIP Schedule'!C2665+1,"")</f>
        <v/>
      </c>
      <c r="D2666" s="27" t="str">
        <f>IF(C2666&lt;='Investment Calculator'!$C$8*'Investment Calculator'!$F$4,'Investment Calculator'!$C$6,"")</f>
        <v/>
      </c>
      <c r="E2666" s="27" t="str">
        <f>IFERROR((F2665+D2666)*'Investment Calculator'!$C$7/'Investment Calculator'!$F$4,"")</f>
        <v/>
      </c>
      <c r="F2666" s="27" t="str">
        <f>IFERROR(ABS(FV('Investment Calculator'!$C$7/'Investment Calculator'!$F$4,'SIP Schedule'!C2666,'SIP Schedule'!D2666,,1)),"")</f>
        <v/>
      </c>
    </row>
    <row r="2667" spans="3:6" x14ac:dyDescent="0.3">
      <c r="C2667" s="1" t="str">
        <f>IF(C2666&lt;'Investment Calculator'!$C$8*'Investment Calculator'!$F$4,'SIP Schedule'!C2666+1,"")</f>
        <v/>
      </c>
      <c r="D2667" s="27" t="str">
        <f>IF(C2667&lt;='Investment Calculator'!$C$8*'Investment Calculator'!$F$4,'Investment Calculator'!$C$6,"")</f>
        <v/>
      </c>
      <c r="E2667" s="27" t="str">
        <f>IFERROR((F2666+D2667)*'Investment Calculator'!$C$7/'Investment Calculator'!$F$4,"")</f>
        <v/>
      </c>
      <c r="F2667" s="27" t="str">
        <f>IFERROR(ABS(FV('Investment Calculator'!$C$7/'Investment Calculator'!$F$4,'SIP Schedule'!C2667,'SIP Schedule'!D2667,,1)),"")</f>
        <v/>
      </c>
    </row>
    <row r="2668" spans="3:6" x14ac:dyDescent="0.3">
      <c r="C2668" s="1" t="str">
        <f>IF(C2667&lt;'Investment Calculator'!$C$8*'Investment Calculator'!$F$4,'SIP Schedule'!C2667+1,"")</f>
        <v/>
      </c>
      <c r="D2668" s="27" t="str">
        <f>IF(C2668&lt;='Investment Calculator'!$C$8*'Investment Calculator'!$F$4,'Investment Calculator'!$C$6,"")</f>
        <v/>
      </c>
      <c r="E2668" s="27" t="str">
        <f>IFERROR((F2667+D2668)*'Investment Calculator'!$C$7/'Investment Calculator'!$F$4,"")</f>
        <v/>
      </c>
      <c r="F2668" s="27" t="str">
        <f>IFERROR(ABS(FV('Investment Calculator'!$C$7/'Investment Calculator'!$F$4,'SIP Schedule'!C2668,'SIP Schedule'!D2668,,1)),"")</f>
        <v/>
      </c>
    </row>
    <row r="2669" spans="3:6" x14ac:dyDescent="0.3">
      <c r="C2669" s="1" t="str">
        <f>IF(C2668&lt;'Investment Calculator'!$C$8*'Investment Calculator'!$F$4,'SIP Schedule'!C2668+1,"")</f>
        <v/>
      </c>
      <c r="D2669" s="27" t="str">
        <f>IF(C2669&lt;='Investment Calculator'!$C$8*'Investment Calculator'!$F$4,'Investment Calculator'!$C$6,"")</f>
        <v/>
      </c>
      <c r="E2669" s="27" t="str">
        <f>IFERROR((F2668+D2669)*'Investment Calculator'!$C$7/'Investment Calculator'!$F$4,"")</f>
        <v/>
      </c>
      <c r="F2669" s="27" t="str">
        <f>IFERROR(ABS(FV('Investment Calculator'!$C$7/'Investment Calculator'!$F$4,'SIP Schedule'!C2669,'SIP Schedule'!D2669,,1)),"")</f>
        <v/>
      </c>
    </row>
    <row r="2670" spans="3:6" x14ac:dyDescent="0.3">
      <c r="C2670" s="1" t="str">
        <f>IF(C2669&lt;'Investment Calculator'!$C$8*'Investment Calculator'!$F$4,'SIP Schedule'!C2669+1,"")</f>
        <v/>
      </c>
      <c r="D2670" s="27" t="str">
        <f>IF(C2670&lt;='Investment Calculator'!$C$8*'Investment Calculator'!$F$4,'Investment Calculator'!$C$6,"")</f>
        <v/>
      </c>
      <c r="E2670" s="27" t="str">
        <f>IFERROR((F2669+D2670)*'Investment Calculator'!$C$7/'Investment Calculator'!$F$4,"")</f>
        <v/>
      </c>
      <c r="F2670" s="27" t="str">
        <f>IFERROR(ABS(FV('Investment Calculator'!$C$7/'Investment Calculator'!$F$4,'SIP Schedule'!C2670,'SIP Schedule'!D2670,,1)),"")</f>
        <v/>
      </c>
    </row>
    <row r="2671" spans="3:6" x14ac:dyDescent="0.3">
      <c r="C2671" s="1" t="str">
        <f>IF(C2670&lt;'Investment Calculator'!$C$8*'Investment Calculator'!$F$4,'SIP Schedule'!C2670+1,"")</f>
        <v/>
      </c>
      <c r="D2671" s="27" t="str">
        <f>IF(C2671&lt;='Investment Calculator'!$C$8*'Investment Calculator'!$F$4,'Investment Calculator'!$C$6,"")</f>
        <v/>
      </c>
      <c r="E2671" s="27" t="str">
        <f>IFERROR((F2670+D2671)*'Investment Calculator'!$C$7/'Investment Calculator'!$F$4,"")</f>
        <v/>
      </c>
      <c r="F2671" s="27" t="str">
        <f>IFERROR(ABS(FV('Investment Calculator'!$C$7/'Investment Calculator'!$F$4,'SIP Schedule'!C2671,'SIP Schedule'!D2671,,1)),"")</f>
        <v/>
      </c>
    </row>
    <row r="2672" spans="3:6" x14ac:dyDescent="0.3">
      <c r="C2672" s="1" t="str">
        <f>IF(C2671&lt;'Investment Calculator'!$C$8*'Investment Calculator'!$F$4,'SIP Schedule'!C2671+1,"")</f>
        <v/>
      </c>
      <c r="D2672" s="27" t="str">
        <f>IF(C2672&lt;='Investment Calculator'!$C$8*'Investment Calculator'!$F$4,'Investment Calculator'!$C$6,"")</f>
        <v/>
      </c>
      <c r="E2672" s="27" t="str">
        <f>IFERROR((F2671+D2672)*'Investment Calculator'!$C$7/'Investment Calculator'!$F$4,"")</f>
        <v/>
      </c>
      <c r="F2672" s="27" t="str">
        <f>IFERROR(ABS(FV('Investment Calculator'!$C$7/'Investment Calculator'!$F$4,'SIP Schedule'!C2672,'SIP Schedule'!D2672,,1)),"")</f>
        <v/>
      </c>
    </row>
    <row r="2673" spans="3:6" x14ac:dyDescent="0.3">
      <c r="C2673" s="1" t="str">
        <f>IF(C2672&lt;'Investment Calculator'!$C$8*'Investment Calculator'!$F$4,'SIP Schedule'!C2672+1,"")</f>
        <v/>
      </c>
      <c r="D2673" s="27" t="str">
        <f>IF(C2673&lt;='Investment Calculator'!$C$8*'Investment Calculator'!$F$4,'Investment Calculator'!$C$6,"")</f>
        <v/>
      </c>
      <c r="E2673" s="27" t="str">
        <f>IFERROR((F2672+D2673)*'Investment Calculator'!$C$7/'Investment Calculator'!$F$4,"")</f>
        <v/>
      </c>
      <c r="F2673" s="27" t="str">
        <f>IFERROR(ABS(FV('Investment Calculator'!$C$7/'Investment Calculator'!$F$4,'SIP Schedule'!C2673,'SIP Schedule'!D2673,,1)),"")</f>
        <v/>
      </c>
    </row>
    <row r="2674" spans="3:6" x14ac:dyDescent="0.3">
      <c r="C2674" s="1" t="str">
        <f>IF(C2673&lt;'Investment Calculator'!$C$8*'Investment Calculator'!$F$4,'SIP Schedule'!C2673+1,"")</f>
        <v/>
      </c>
      <c r="D2674" s="27" t="str">
        <f>IF(C2674&lt;='Investment Calculator'!$C$8*'Investment Calculator'!$F$4,'Investment Calculator'!$C$6,"")</f>
        <v/>
      </c>
      <c r="E2674" s="27" t="str">
        <f>IFERROR((F2673+D2674)*'Investment Calculator'!$C$7/'Investment Calculator'!$F$4,"")</f>
        <v/>
      </c>
      <c r="F2674" s="27" t="str">
        <f>IFERROR(ABS(FV('Investment Calculator'!$C$7/'Investment Calculator'!$F$4,'SIP Schedule'!C2674,'SIP Schedule'!D2674,,1)),"")</f>
        <v/>
      </c>
    </row>
    <row r="2675" spans="3:6" x14ac:dyDescent="0.3">
      <c r="C2675" s="1" t="str">
        <f>IF(C2674&lt;'Investment Calculator'!$C$8*'Investment Calculator'!$F$4,'SIP Schedule'!C2674+1,"")</f>
        <v/>
      </c>
      <c r="D2675" s="27" t="str">
        <f>IF(C2675&lt;='Investment Calculator'!$C$8*'Investment Calculator'!$F$4,'Investment Calculator'!$C$6,"")</f>
        <v/>
      </c>
      <c r="E2675" s="27" t="str">
        <f>IFERROR((F2674+D2675)*'Investment Calculator'!$C$7/'Investment Calculator'!$F$4,"")</f>
        <v/>
      </c>
      <c r="F2675" s="27" t="str">
        <f>IFERROR(ABS(FV('Investment Calculator'!$C$7/'Investment Calculator'!$F$4,'SIP Schedule'!C2675,'SIP Schedule'!D2675,,1)),"")</f>
        <v/>
      </c>
    </row>
    <row r="2676" spans="3:6" x14ac:dyDescent="0.3">
      <c r="C2676" s="1" t="str">
        <f>IF(C2675&lt;'Investment Calculator'!$C$8*'Investment Calculator'!$F$4,'SIP Schedule'!C2675+1,"")</f>
        <v/>
      </c>
      <c r="D2676" s="27" t="str">
        <f>IF(C2676&lt;='Investment Calculator'!$C$8*'Investment Calculator'!$F$4,'Investment Calculator'!$C$6,"")</f>
        <v/>
      </c>
      <c r="E2676" s="27" t="str">
        <f>IFERROR((F2675+D2676)*'Investment Calculator'!$C$7/'Investment Calculator'!$F$4,"")</f>
        <v/>
      </c>
      <c r="F2676" s="27" t="str">
        <f>IFERROR(ABS(FV('Investment Calculator'!$C$7/'Investment Calculator'!$F$4,'SIP Schedule'!C2676,'SIP Schedule'!D2676,,1)),"")</f>
        <v/>
      </c>
    </row>
    <row r="2677" spans="3:6" x14ac:dyDescent="0.3">
      <c r="C2677" s="1" t="str">
        <f>IF(C2676&lt;'Investment Calculator'!$C$8*'Investment Calculator'!$F$4,'SIP Schedule'!C2676+1,"")</f>
        <v/>
      </c>
      <c r="D2677" s="27" t="str">
        <f>IF(C2677&lt;='Investment Calculator'!$C$8*'Investment Calculator'!$F$4,'Investment Calculator'!$C$6,"")</f>
        <v/>
      </c>
      <c r="E2677" s="27" t="str">
        <f>IFERROR((F2676+D2677)*'Investment Calculator'!$C$7/'Investment Calculator'!$F$4,"")</f>
        <v/>
      </c>
      <c r="F2677" s="27" t="str">
        <f>IFERROR(ABS(FV('Investment Calculator'!$C$7/'Investment Calculator'!$F$4,'SIP Schedule'!C2677,'SIP Schedule'!D2677,,1)),"")</f>
        <v/>
      </c>
    </row>
    <row r="2678" spans="3:6" x14ac:dyDescent="0.3">
      <c r="C2678" s="1" t="str">
        <f>IF(C2677&lt;'Investment Calculator'!$C$8*'Investment Calculator'!$F$4,'SIP Schedule'!C2677+1,"")</f>
        <v/>
      </c>
      <c r="D2678" s="27" t="str">
        <f>IF(C2678&lt;='Investment Calculator'!$C$8*'Investment Calculator'!$F$4,'Investment Calculator'!$C$6,"")</f>
        <v/>
      </c>
      <c r="E2678" s="27" t="str">
        <f>IFERROR((F2677+D2678)*'Investment Calculator'!$C$7/'Investment Calculator'!$F$4,"")</f>
        <v/>
      </c>
      <c r="F2678" s="27" t="str">
        <f>IFERROR(ABS(FV('Investment Calculator'!$C$7/'Investment Calculator'!$F$4,'SIP Schedule'!C2678,'SIP Schedule'!D2678,,1)),"")</f>
        <v/>
      </c>
    </row>
    <row r="2679" spans="3:6" x14ac:dyDescent="0.3">
      <c r="C2679" s="1" t="str">
        <f>IF(C2678&lt;'Investment Calculator'!$C$8*'Investment Calculator'!$F$4,'SIP Schedule'!C2678+1,"")</f>
        <v/>
      </c>
      <c r="D2679" s="27" t="str">
        <f>IF(C2679&lt;='Investment Calculator'!$C$8*'Investment Calculator'!$F$4,'Investment Calculator'!$C$6,"")</f>
        <v/>
      </c>
      <c r="E2679" s="27" t="str">
        <f>IFERROR((F2678+D2679)*'Investment Calculator'!$C$7/'Investment Calculator'!$F$4,"")</f>
        <v/>
      </c>
      <c r="F2679" s="27" t="str">
        <f>IFERROR(ABS(FV('Investment Calculator'!$C$7/'Investment Calculator'!$F$4,'SIP Schedule'!C2679,'SIP Schedule'!D2679,,1)),"")</f>
        <v/>
      </c>
    </row>
    <row r="2680" spans="3:6" x14ac:dyDescent="0.3">
      <c r="C2680" s="1" t="str">
        <f>IF(C2679&lt;'Investment Calculator'!$C$8*'Investment Calculator'!$F$4,'SIP Schedule'!C2679+1,"")</f>
        <v/>
      </c>
      <c r="D2680" s="27" t="str">
        <f>IF(C2680&lt;='Investment Calculator'!$C$8*'Investment Calculator'!$F$4,'Investment Calculator'!$C$6,"")</f>
        <v/>
      </c>
      <c r="E2680" s="27" t="str">
        <f>IFERROR((F2679+D2680)*'Investment Calculator'!$C$7/'Investment Calculator'!$F$4,"")</f>
        <v/>
      </c>
      <c r="F2680" s="27" t="str">
        <f>IFERROR(ABS(FV('Investment Calculator'!$C$7/'Investment Calculator'!$F$4,'SIP Schedule'!C2680,'SIP Schedule'!D2680,,1)),"")</f>
        <v/>
      </c>
    </row>
    <row r="2681" spans="3:6" x14ac:dyDescent="0.3">
      <c r="C2681" s="1" t="str">
        <f>IF(C2680&lt;'Investment Calculator'!$C$8*'Investment Calculator'!$F$4,'SIP Schedule'!C2680+1,"")</f>
        <v/>
      </c>
      <c r="D2681" s="27" t="str">
        <f>IF(C2681&lt;='Investment Calculator'!$C$8*'Investment Calculator'!$F$4,'Investment Calculator'!$C$6,"")</f>
        <v/>
      </c>
      <c r="E2681" s="27" t="str">
        <f>IFERROR((F2680+D2681)*'Investment Calculator'!$C$7/'Investment Calculator'!$F$4,"")</f>
        <v/>
      </c>
      <c r="F2681" s="27" t="str">
        <f>IFERROR(ABS(FV('Investment Calculator'!$C$7/'Investment Calculator'!$F$4,'SIP Schedule'!C2681,'SIP Schedule'!D2681,,1)),"")</f>
        <v/>
      </c>
    </row>
    <row r="2682" spans="3:6" x14ac:dyDescent="0.3">
      <c r="C2682" s="1" t="str">
        <f>IF(C2681&lt;'Investment Calculator'!$C$8*'Investment Calculator'!$F$4,'SIP Schedule'!C2681+1,"")</f>
        <v/>
      </c>
      <c r="D2682" s="27" t="str">
        <f>IF(C2682&lt;='Investment Calculator'!$C$8*'Investment Calculator'!$F$4,'Investment Calculator'!$C$6,"")</f>
        <v/>
      </c>
      <c r="E2682" s="27" t="str">
        <f>IFERROR((F2681+D2682)*'Investment Calculator'!$C$7/'Investment Calculator'!$F$4,"")</f>
        <v/>
      </c>
      <c r="F2682" s="27" t="str">
        <f>IFERROR(ABS(FV('Investment Calculator'!$C$7/'Investment Calculator'!$F$4,'SIP Schedule'!C2682,'SIP Schedule'!D2682,,1)),"")</f>
        <v/>
      </c>
    </row>
    <row r="2683" spans="3:6" x14ac:dyDescent="0.3">
      <c r="C2683" s="1" t="str">
        <f>IF(C2682&lt;'Investment Calculator'!$C$8*'Investment Calculator'!$F$4,'SIP Schedule'!C2682+1,"")</f>
        <v/>
      </c>
      <c r="D2683" s="27" t="str">
        <f>IF(C2683&lt;='Investment Calculator'!$C$8*'Investment Calculator'!$F$4,'Investment Calculator'!$C$6,"")</f>
        <v/>
      </c>
      <c r="E2683" s="27" t="str">
        <f>IFERROR((F2682+D2683)*'Investment Calculator'!$C$7/'Investment Calculator'!$F$4,"")</f>
        <v/>
      </c>
      <c r="F2683" s="27" t="str">
        <f>IFERROR(ABS(FV('Investment Calculator'!$C$7/'Investment Calculator'!$F$4,'SIP Schedule'!C2683,'SIP Schedule'!D2683,,1)),"")</f>
        <v/>
      </c>
    </row>
    <row r="2684" spans="3:6" x14ac:dyDescent="0.3">
      <c r="C2684" s="1" t="str">
        <f>IF(C2683&lt;'Investment Calculator'!$C$8*'Investment Calculator'!$F$4,'SIP Schedule'!C2683+1,"")</f>
        <v/>
      </c>
      <c r="D2684" s="27" t="str">
        <f>IF(C2684&lt;='Investment Calculator'!$C$8*'Investment Calculator'!$F$4,'Investment Calculator'!$C$6,"")</f>
        <v/>
      </c>
      <c r="E2684" s="27" t="str">
        <f>IFERROR((F2683+D2684)*'Investment Calculator'!$C$7/'Investment Calculator'!$F$4,"")</f>
        <v/>
      </c>
      <c r="F2684" s="27" t="str">
        <f>IFERROR(ABS(FV('Investment Calculator'!$C$7/'Investment Calculator'!$F$4,'SIP Schedule'!C2684,'SIP Schedule'!D2684,,1)),"")</f>
        <v/>
      </c>
    </row>
    <row r="2685" spans="3:6" x14ac:dyDescent="0.3">
      <c r="C2685" s="1" t="str">
        <f>IF(C2684&lt;'Investment Calculator'!$C$8*'Investment Calculator'!$F$4,'SIP Schedule'!C2684+1,"")</f>
        <v/>
      </c>
      <c r="D2685" s="27" t="str">
        <f>IF(C2685&lt;='Investment Calculator'!$C$8*'Investment Calculator'!$F$4,'Investment Calculator'!$C$6,"")</f>
        <v/>
      </c>
      <c r="E2685" s="27" t="str">
        <f>IFERROR((F2684+D2685)*'Investment Calculator'!$C$7/'Investment Calculator'!$F$4,"")</f>
        <v/>
      </c>
      <c r="F2685" s="27" t="str">
        <f>IFERROR(ABS(FV('Investment Calculator'!$C$7/'Investment Calculator'!$F$4,'SIP Schedule'!C2685,'SIP Schedule'!D2685,,1)),"")</f>
        <v/>
      </c>
    </row>
    <row r="2686" spans="3:6" x14ac:dyDescent="0.3">
      <c r="C2686" s="1" t="str">
        <f>IF(C2685&lt;'Investment Calculator'!$C$8*'Investment Calculator'!$F$4,'SIP Schedule'!C2685+1,"")</f>
        <v/>
      </c>
      <c r="D2686" s="27" t="str">
        <f>IF(C2686&lt;='Investment Calculator'!$C$8*'Investment Calculator'!$F$4,'Investment Calculator'!$C$6,"")</f>
        <v/>
      </c>
      <c r="E2686" s="27" t="str">
        <f>IFERROR((F2685+D2686)*'Investment Calculator'!$C$7/'Investment Calculator'!$F$4,"")</f>
        <v/>
      </c>
      <c r="F2686" s="27" t="str">
        <f>IFERROR(ABS(FV('Investment Calculator'!$C$7/'Investment Calculator'!$F$4,'SIP Schedule'!C2686,'SIP Schedule'!D2686,,1)),"")</f>
        <v/>
      </c>
    </row>
    <row r="2687" spans="3:6" x14ac:dyDescent="0.3">
      <c r="C2687" s="1" t="str">
        <f>IF(C2686&lt;'Investment Calculator'!$C$8*'Investment Calculator'!$F$4,'SIP Schedule'!C2686+1,"")</f>
        <v/>
      </c>
      <c r="D2687" s="27" t="str">
        <f>IF(C2687&lt;='Investment Calculator'!$C$8*'Investment Calculator'!$F$4,'Investment Calculator'!$C$6,"")</f>
        <v/>
      </c>
      <c r="E2687" s="27" t="str">
        <f>IFERROR((F2686+D2687)*'Investment Calculator'!$C$7/'Investment Calculator'!$F$4,"")</f>
        <v/>
      </c>
      <c r="F2687" s="27" t="str">
        <f>IFERROR(ABS(FV('Investment Calculator'!$C$7/'Investment Calculator'!$F$4,'SIP Schedule'!C2687,'SIP Schedule'!D2687,,1)),"")</f>
        <v/>
      </c>
    </row>
    <row r="2688" spans="3:6" x14ac:dyDescent="0.3">
      <c r="C2688" s="1" t="str">
        <f>IF(C2687&lt;'Investment Calculator'!$C$8*'Investment Calculator'!$F$4,'SIP Schedule'!C2687+1,"")</f>
        <v/>
      </c>
      <c r="D2688" s="27" t="str">
        <f>IF(C2688&lt;='Investment Calculator'!$C$8*'Investment Calculator'!$F$4,'Investment Calculator'!$C$6,"")</f>
        <v/>
      </c>
      <c r="E2688" s="27" t="str">
        <f>IFERROR((F2687+D2688)*'Investment Calculator'!$C$7/'Investment Calculator'!$F$4,"")</f>
        <v/>
      </c>
      <c r="F2688" s="27" t="str">
        <f>IFERROR(ABS(FV('Investment Calculator'!$C$7/'Investment Calculator'!$F$4,'SIP Schedule'!C2688,'SIP Schedule'!D2688,,1)),"")</f>
        <v/>
      </c>
    </row>
    <row r="2689" spans="3:6" x14ac:dyDescent="0.3">
      <c r="C2689" s="1" t="str">
        <f>IF(C2688&lt;'Investment Calculator'!$C$8*'Investment Calculator'!$F$4,'SIP Schedule'!C2688+1,"")</f>
        <v/>
      </c>
      <c r="D2689" s="27" t="str">
        <f>IF(C2689&lt;='Investment Calculator'!$C$8*'Investment Calculator'!$F$4,'Investment Calculator'!$C$6,"")</f>
        <v/>
      </c>
      <c r="E2689" s="27" t="str">
        <f>IFERROR((F2688+D2689)*'Investment Calculator'!$C$7/'Investment Calculator'!$F$4,"")</f>
        <v/>
      </c>
      <c r="F2689" s="27" t="str">
        <f>IFERROR(ABS(FV('Investment Calculator'!$C$7/'Investment Calculator'!$F$4,'SIP Schedule'!C2689,'SIP Schedule'!D2689,,1)),"")</f>
        <v/>
      </c>
    </row>
    <row r="2690" spans="3:6" x14ac:dyDescent="0.3">
      <c r="C2690" s="1" t="str">
        <f>IF(C2689&lt;'Investment Calculator'!$C$8*'Investment Calculator'!$F$4,'SIP Schedule'!C2689+1,"")</f>
        <v/>
      </c>
      <c r="D2690" s="27" t="str">
        <f>IF(C2690&lt;='Investment Calculator'!$C$8*'Investment Calculator'!$F$4,'Investment Calculator'!$C$6,"")</f>
        <v/>
      </c>
      <c r="E2690" s="27" t="str">
        <f>IFERROR((F2689+D2690)*'Investment Calculator'!$C$7/'Investment Calculator'!$F$4,"")</f>
        <v/>
      </c>
      <c r="F2690" s="27" t="str">
        <f>IFERROR(ABS(FV('Investment Calculator'!$C$7/'Investment Calculator'!$F$4,'SIP Schedule'!C2690,'SIP Schedule'!D2690,,1)),"")</f>
        <v/>
      </c>
    </row>
    <row r="2691" spans="3:6" x14ac:dyDescent="0.3">
      <c r="C2691" s="1" t="str">
        <f>IF(C2690&lt;'Investment Calculator'!$C$8*'Investment Calculator'!$F$4,'SIP Schedule'!C2690+1,"")</f>
        <v/>
      </c>
      <c r="D2691" s="27" t="str">
        <f>IF(C2691&lt;='Investment Calculator'!$C$8*'Investment Calculator'!$F$4,'Investment Calculator'!$C$6,"")</f>
        <v/>
      </c>
      <c r="E2691" s="27" t="str">
        <f>IFERROR((F2690+D2691)*'Investment Calculator'!$C$7/'Investment Calculator'!$F$4,"")</f>
        <v/>
      </c>
      <c r="F2691" s="27" t="str">
        <f>IFERROR(ABS(FV('Investment Calculator'!$C$7/'Investment Calculator'!$F$4,'SIP Schedule'!C2691,'SIP Schedule'!D2691,,1)),"")</f>
        <v/>
      </c>
    </row>
    <row r="2692" spans="3:6" x14ac:dyDescent="0.3">
      <c r="C2692" s="1" t="str">
        <f>IF(C2691&lt;'Investment Calculator'!$C$8*'Investment Calculator'!$F$4,'SIP Schedule'!C2691+1,"")</f>
        <v/>
      </c>
      <c r="D2692" s="27" t="str">
        <f>IF(C2692&lt;='Investment Calculator'!$C$8*'Investment Calculator'!$F$4,'Investment Calculator'!$C$6,"")</f>
        <v/>
      </c>
      <c r="E2692" s="27" t="str">
        <f>IFERROR((F2691+D2692)*'Investment Calculator'!$C$7/'Investment Calculator'!$F$4,"")</f>
        <v/>
      </c>
      <c r="F2692" s="27" t="str">
        <f>IFERROR(ABS(FV('Investment Calculator'!$C$7/'Investment Calculator'!$F$4,'SIP Schedule'!C2692,'SIP Schedule'!D2692,,1)),"")</f>
        <v/>
      </c>
    </row>
    <row r="2693" spans="3:6" x14ac:dyDescent="0.3">
      <c r="C2693" s="1" t="str">
        <f>IF(C2692&lt;'Investment Calculator'!$C$8*'Investment Calculator'!$F$4,'SIP Schedule'!C2692+1,"")</f>
        <v/>
      </c>
      <c r="D2693" s="27" t="str">
        <f>IF(C2693&lt;='Investment Calculator'!$C$8*'Investment Calculator'!$F$4,'Investment Calculator'!$C$6,"")</f>
        <v/>
      </c>
      <c r="E2693" s="27" t="str">
        <f>IFERROR((F2692+D2693)*'Investment Calculator'!$C$7/'Investment Calculator'!$F$4,"")</f>
        <v/>
      </c>
      <c r="F2693" s="27" t="str">
        <f>IFERROR(ABS(FV('Investment Calculator'!$C$7/'Investment Calculator'!$F$4,'SIP Schedule'!C2693,'SIP Schedule'!D2693,,1)),"")</f>
        <v/>
      </c>
    </row>
    <row r="2694" spans="3:6" x14ac:dyDescent="0.3">
      <c r="C2694" s="1" t="str">
        <f>IF(C2693&lt;'Investment Calculator'!$C$8*'Investment Calculator'!$F$4,'SIP Schedule'!C2693+1,"")</f>
        <v/>
      </c>
      <c r="D2694" s="27" t="str">
        <f>IF(C2694&lt;='Investment Calculator'!$C$8*'Investment Calculator'!$F$4,'Investment Calculator'!$C$6,"")</f>
        <v/>
      </c>
      <c r="E2694" s="27" t="str">
        <f>IFERROR((F2693+D2694)*'Investment Calculator'!$C$7/'Investment Calculator'!$F$4,"")</f>
        <v/>
      </c>
      <c r="F2694" s="27" t="str">
        <f>IFERROR(ABS(FV('Investment Calculator'!$C$7/'Investment Calculator'!$F$4,'SIP Schedule'!C2694,'SIP Schedule'!D2694,,1)),"")</f>
        <v/>
      </c>
    </row>
    <row r="2695" spans="3:6" x14ac:dyDescent="0.3">
      <c r="C2695" s="1" t="str">
        <f>IF(C2694&lt;'Investment Calculator'!$C$8*'Investment Calculator'!$F$4,'SIP Schedule'!C2694+1,"")</f>
        <v/>
      </c>
      <c r="D2695" s="27" t="str">
        <f>IF(C2695&lt;='Investment Calculator'!$C$8*'Investment Calculator'!$F$4,'Investment Calculator'!$C$6,"")</f>
        <v/>
      </c>
      <c r="E2695" s="27" t="str">
        <f>IFERROR((F2694+D2695)*'Investment Calculator'!$C$7/'Investment Calculator'!$F$4,"")</f>
        <v/>
      </c>
      <c r="F2695" s="27" t="str">
        <f>IFERROR(ABS(FV('Investment Calculator'!$C$7/'Investment Calculator'!$F$4,'SIP Schedule'!C2695,'SIP Schedule'!D2695,,1)),"")</f>
        <v/>
      </c>
    </row>
    <row r="2696" spans="3:6" x14ac:dyDescent="0.3">
      <c r="C2696" s="1" t="str">
        <f>IF(C2695&lt;'Investment Calculator'!$C$8*'Investment Calculator'!$F$4,'SIP Schedule'!C2695+1,"")</f>
        <v/>
      </c>
      <c r="D2696" s="27" t="str">
        <f>IF(C2696&lt;='Investment Calculator'!$C$8*'Investment Calculator'!$F$4,'Investment Calculator'!$C$6,"")</f>
        <v/>
      </c>
      <c r="E2696" s="27" t="str">
        <f>IFERROR((F2695+D2696)*'Investment Calculator'!$C$7/'Investment Calculator'!$F$4,"")</f>
        <v/>
      </c>
      <c r="F2696" s="27" t="str">
        <f>IFERROR(ABS(FV('Investment Calculator'!$C$7/'Investment Calculator'!$F$4,'SIP Schedule'!C2696,'SIP Schedule'!D2696,,1)),"")</f>
        <v/>
      </c>
    </row>
    <row r="2697" spans="3:6" x14ac:dyDescent="0.3">
      <c r="C2697" s="1" t="str">
        <f>IF(C2696&lt;'Investment Calculator'!$C$8*'Investment Calculator'!$F$4,'SIP Schedule'!C2696+1,"")</f>
        <v/>
      </c>
      <c r="D2697" s="27" t="str">
        <f>IF(C2697&lt;='Investment Calculator'!$C$8*'Investment Calculator'!$F$4,'Investment Calculator'!$C$6,"")</f>
        <v/>
      </c>
      <c r="E2697" s="27" t="str">
        <f>IFERROR((F2696+D2697)*'Investment Calculator'!$C$7/'Investment Calculator'!$F$4,"")</f>
        <v/>
      </c>
      <c r="F2697" s="27" t="str">
        <f>IFERROR(ABS(FV('Investment Calculator'!$C$7/'Investment Calculator'!$F$4,'SIP Schedule'!C2697,'SIP Schedule'!D2697,,1)),"")</f>
        <v/>
      </c>
    </row>
    <row r="2698" spans="3:6" x14ac:dyDescent="0.3">
      <c r="C2698" s="1" t="str">
        <f>IF(C2697&lt;'Investment Calculator'!$C$8*'Investment Calculator'!$F$4,'SIP Schedule'!C2697+1,"")</f>
        <v/>
      </c>
      <c r="D2698" s="27" t="str">
        <f>IF(C2698&lt;='Investment Calculator'!$C$8*'Investment Calculator'!$F$4,'Investment Calculator'!$C$6,"")</f>
        <v/>
      </c>
      <c r="E2698" s="27" t="str">
        <f>IFERROR((F2697+D2698)*'Investment Calculator'!$C$7/'Investment Calculator'!$F$4,"")</f>
        <v/>
      </c>
      <c r="F2698" s="27" t="str">
        <f>IFERROR(ABS(FV('Investment Calculator'!$C$7/'Investment Calculator'!$F$4,'SIP Schedule'!C2698,'SIP Schedule'!D2698,,1)),"")</f>
        <v/>
      </c>
    </row>
    <row r="2699" spans="3:6" x14ac:dyDescent="0.3">
      <c r="C2699" s="1" t="str">
        <f>IF(C2698&lt;'Investment Calculator'!$C$8*'Investment Calculator'!$F$4,'SIP Schedule'!C2698+1,"")</f>
        <v/>
      </c>
      <c r="D2699" s="27" t="str">
        <f>IF(C2699&lt;='Investment Calculator'!$C$8*'Investment Calculator'!$F$4,'Investment Calculator'!$C$6,"")</f>
        <v/>
      </c>
      <c r="E2699" s="27" t="str">
        <f>IFERROR((F2698+D2699)*'Investment Calculator'!$C$7/'Investment Calculator'!$F$4,"")</f>
        <v/>
      </c>
      <c r="F2699" s="27" t="str">
        <f>IFERROR(ABS(FV('Investment Calculator'!$C$7/'Investment Calculator'!$F$4,'SIP Schedule'!C2699,'SIP Schedule'!D2699,,1)),"")</f>
        <v/>
      </c>
    </row>
    <row r="2700" spans="3:6" x14ac:dyDescent="0.3">
      <c r="C2700" s="1" t="str">
        <f>IF(C2699&lt;'Investment Calculator'!$C$8*'Investment Calculator'!$F$4,'SIP Schedule'!C2699+1,"")</f>
        <v/>
      </c>
      <c r="D2700" s="27" t="str">
        <f>IF(C2700&lt;='Investment Calculator'!$C$8*'Investment Calculator'!$F$4,'Investment Calculator'!$C$6,"")</f>
        <v/>
      </c>
      <c r="E2700" s="27" t="str">
        <f>IFERROR((F2699+D2700)*'Investment Calculator'!$C$7/'Investment Calculator'!$F$4,"")</f>
        <v/>
      </c>
      <c r="F2700" s="27" t="str">
        <f>IFERROR(ABS(FV('Investment Calculator'!$C$7/'Investment Calculator'!$F$4,'SIP Schedule'!C2700,'SIP Schedule'!D2700,,1)),"")</f>
        <v/>
      </c>
    </row>
    <row r="2701" spans="3:6" x14ac:dyDescent="0.3">
      <c r="C2701" s="1" t="str">
        <f>IF(C2700&lt;'Investment Calculator'!$C$8*'Investment Calculator'!$F$4,'SIP Schedule'!C2700+1,"")</f>
        <v/>
      </c>
      <c r="D2701" s="27" t="str">
        <f>IF(C2701&lt;='Investment Calculator'!$C$8*'Investment Calculator'!$F$4,'Investment Calculator'!$C$6,"")</f>
        <v/>
      </c>
      <c r="E2701" s="27" t="str">
        <f>IFERROR((F2700+D2701)*'Investment Calculator'!$C$7/'Investment Calculator'!$F$4,"")</f>
        <v/>
      </c>
      <c r="F2701" s="27" t="str">
        <f>IFERROR(ABS(FV('Investment Calculator'!$C$7/'Investment Calculator'!$F$4,'SIP Schedule'!C2701,'SIP Schedule'!D2701,,1)),"")</f>
        <v/>
      </c>
    </row>
    <row r="2702" spans="3:6" x14ac:dyDescent="0.3">
      <c r="C2702" s="1" t="str">
        <f>IF(C2701&lt;'Investment Calculator'!$C$8*'Investment Calculator'!$F$4,'SIP Schedule'!C2701+1,"")</f>
        <v/>
      </c>
      <c r="D2702" s="27" t="str">
        <f>IF(C2702&lt;='Investment Calculator'!$C$8*'Investment Calculator'!$F$4,'Investment Calculator'!$C$6,"")</f>
        <v/>
      </c>
      <c r="E2702" s="27" t="str">
        <f>IFERROR((F2701+D2702)*'Investment Calculator'!$C$7/'Investment Calculator'!$F$4,"")</f>
        <v/>
      </c>
      <c r="F2702" s="27" t="str">
        <f>IFERROR(ABS(FV('Investment Calculator'!$C$7/'Investment Calculator'!$F$4,'SIP Schedule'!C2702,'SIP Schedule'!D2702,,1)),"")</f>
        <v/>
      </c>
    </row>
    <row r="2703" spans="3:6" x14ac:dyDescent="0.3">
      <c r="C2703" s="1" t="str">
        <f>IF(C2702&lt;'Investment Calculator'!$C$8*'Investment Calculator'!$F$4,'SIP Schedule'!C2702+1,"")</f>
        <v/>
      </c>
      <c r="D2703" s="27" t="str">
        <f>IF(C2703&lt;='Investment Calculator'!$C$8*'Investment Calculator'!$F$4,'Investment Calculator'!$C$6,"")</f>
        <v/>
      </c>
      <c r="E2703" s="27" t="str">
        <f>IFERROR((F2702+D2703)*'Investment Calculator'!$C$7/'Investment Calculator'!$F$4,"")</f>
        <v/>
      </c>
      <c r="F2703" s="27" t="str">
        <f>IFERROR(ABS(FV('Investment Calculator'!$C$7/'Investment Calculator'!$F$4,'SIP Schedule'!C2703,'SIP Schedule'!D2703,,1)),"")</f>
        <v/>
      </c>
    </row>
    <row r="2704" spans="3:6" x14ac:dyDescent="0.3">
      <c r="C2704" s="1" t="str">
        <f>IF(C2703&lt;'Investment Calculator'!$C$8*'Investment Calculator'!$F$4,'SIP Schedule'!C2703+1,"")</f>
        <v/>
      </c>
      <c r="D2704" s="27" t="str">
        <f>IF(C2704&lt;='Investment Calculator'!$C$8*'Investment Calculator'!$F$4,'Investment Calculator'!$C$6,"")</f>
        <v/>
      </c>
      <c r="E2704" s="27" t="str">
        <f>IFERROR((F2703+D2704)*'Investment Calculator'!$C$7/'Investment Calculator'!$F$4,"")</f>
        <v/>
      </c>
      <c r="F2704" s="27" t="str">
        <f>IFERROR(ABS(FV('Investment Calculator'!$C$7/'Investment Calculator'!$F$4,'SIP Schedule'!C2704,'SIP Schedule'!D2704,,1)),"")</f>
        <v/>
      </c>
    </row>
    <row r="2705" spans="3:6" x14ac:dyDescent="0.3">
      <c r="C2705" s="1" t="str">
        <f>IF(C2704&lt;'Investment Calculator'!$C$8*'Investment Calculator'!$F$4,'SIP Schedule'!C2704+1,"")</f>
        <v/>
      </c>
      <c r="D2705" s="27" t="str">
        <f>IF(C2705&lt;='Investment Calculator'!$C$8*'Investment Calculator'!$F$4,'Investment Calculator'!$C$6,"")</f>
        <v/>
      </c>
      <c r="E2705" s="27" t="str">
        <f>IFERROR((F2704+D2705)*'Investment Calculator'!$C$7/'Investment Calculator'!$F$4,"")</f>
        <v/>
      </c>
      <c r="F2705" s="27" t="str">
        <f>IFERROR(ABS(FV('Investment Calculator'!$C$7/'Investment Calculator'!$F$4,'SIP Schedule'!C2705,'SIP Schedule'!D2705,,1)),"")</f>
        <v/>
      </c>
    </row>
    <row r="2706" spans="3:6" x14ac:dyDescent="0.3">
      <c r="C2706" s="1" t="str">
        <f>IF(C2705&lt;'Investment Calculator'!$C$8*'Investment Calculator'!$F$4,'SIP Schedule'!C2705+1,"")</f>
        <v/>
      </c>
      <c r="D2706" s="27" t="str">
        <f>IF(C2706&lt;='Investment Calculator'!$C$8*'Investment Calculator'!$F$4,'Investment Calculator'!$C$6,"")</f>
        <v/>
      </c>
      <c r="E2706" s="27" t="str">
        <f>IFERROR((F2705+D2706)*'Investment Calculator'!$C$7/'Investment Calculator'!$F$4,"")</f>
        <v/>
      </c>
      <c r="F2706" s="27" t="str">
        <f>IFERROR(ABS(FV('Investment Calculator'!$C$7/'Investment Calculator'!$F$4,'SIP Schedule'!C2706,'SIP Schedule'!D2706,,1)),"")</f>
        <v/>
      </c>
    </row>
    <row r="2707" spans="3:6" x14ac:dyDescent="0.3">
      <c r="C2707" s="1" t="str">
        <f>IF(C2706&lt;'Investment Calculator'!$C$8*'Investment Calculator'!$F$4,'SIP Schedule'!C2706+1,"")</f>
        <v/>
      </c>
      <c r="D2707" s="27" t="str">
        <f>IF(C2707&lt;='Investment Calculator'!$C$8*'Investment Calculator'!$F$4,'Investment Calculator'!$C$6,"")</f>
        <v/>
      </c>
      <c r="E2707" s="27" t="str">
        <f>IFERROR((F2706+D2707)*'Investment Calculator'!$C$7/'Investment Calculator'!$F$4,"")</f>
        <v/>
      </c>
      <c r="F2707" s="27" t="str">
        <f>IFERROR(ABS(FV('Investment Calculator'!$C$7/'Investment Calculator'!$F$4,'SIP Schedule'!C2707,'SIP Schedule'!D2707,,1)),"")</f>
        <v/>
      </c>
    </row>
    <row r="2708" spans="3:6" x14ac:dyDescent="0.3">
      <c r="C2708" s="1" t="str">
        <f>IF(C2707&lt;'Investment Calculator'!$C$8*'Investment Calculator'!$F$4,'SIP Schedule'!C2707+1,"")</f>
        <v/>
      </c>
      <c r="D2708" s="27" t="str">
        <f>IF(C2708&lt;='Investment Calculator'!$C$8*'Investment Calculator'!$F$4,'Investment Calculator'!$C$6,"")</f>
        <v/>
      </c>
      <c r="E2708" s="27" t="str">
        <f>IFERROR((F2707+D2708)*'Investment Calculator'!$C$7/'Investment Calculator'!$F$4,"")</f>
        <v/>
      </c>
      <c r="F2708" s="27" t="str">
        <f>IFERROR(ABS(FV('Investment Calculator'!$C$7/'Investment Calculator'!$F$4,'SIP Schedule'!C2708,'SIP Schedule'!D2708,,1)),"")</f>
        <v/>
      </c>
    </row>
    <row r="2709" spans="3:6" x14ac:dyDescent="0.3">
      <c r="C2709" s="1" t="str">
        <f>IF(C2708&lt;'Investment Calculator'!$C$8*'Investment Calculator'!$F$4,'SIP Schedule'!C2708+1,"")</f>
        <v/>
      </c>
      <c r="D2709" s="27" t="str">
        <f>IF(C2709&lt;='Investment Calculator'!$C$8*'Investment Calculator'!$F$4,'Investment Calculator'!$C$6,"")</f>
        <v/>
      </c>
      <c r="E2709" s="27" t="str">
        <f>IFERROR((F2708+D2709)*'Investment Calculator'!$C$7/'Investment Calculator'!$F$4,"")</f>
        <v/>
      </c>
      <c r="F2709" s="27" t="str">
        <f>IFERROR(ABS(FV('Investment Calculator'!$C$7/'Investment Calculator'!$F$4,'SIP Schedule'!C2709,'SIP Schedule'!D2709,,1)),"")</f>
        <v/>
      </c>
    </row>
    <row r="2710" spans="3:6" x14ac:dyDescent="0.3">
      <c r="C2710" s="1" t="str">
        <f>IF(C2709&lt;'Investment Calculator'!$C$8*'Investment Calculator'!$F$4,'SIP Schedule'!C2709+1,"")</f>
        <v/>
      </c>
      <c r="D2710" s="27" t="str">
        <f>IF(C2710&lt;='Investment Calculator'!$C$8*'Investment Calculator'!$F$4,'Investment Calculator'!$C$6,"")</f>
        <v/>
      </c>
      <c r="E2710" s="27" t="str">
        <f>IFERROR((F2709+D2710)*'Investment Calculator'!$C$7/'Investment Calculator'!$F$4,"")</f>
        <v/>
      </c>
      <c r="F2710" s="27" t="str">
        <f>IFERROR(ABS(FV('Investment Calculator'!$C$7/'Investment Calculator'!$F$4,'SIP Schedule'!C2710,'SIP Schedule'!D2710,,1)),"")</f>
        <v/>
      </c>
    </row>
    <row r="2711" spans="3:6" x14ac:dyDescent="0.3">
      <c r="C2711" s="1" t="str">
        <f>IF(C2710&lt;'Investment Calculator'!$C$8*'Investment Calculator'!$F$4,'SIP Schedule'!C2710+1,"")</f>
        <v/>
      </c>
      <c r="D2711" s="27" t="str">
        <f>IF(C2711&lt;='Investment Calculator'!$C$8*'Investment Calculator'!$F$4,'Investment Calculator'!$C$6,"")</f>
        <v/>
      </c>
      <c r="E2711" s="27" t="str">
        <f>IFERROR((F2710+D2711)*'Investment Calculator'!$C$7/'Investment Calculator'!$F$4,"")</f>
        <v/>
      </c>
      <c r="F2711" s="27" t="str">
        <f>IFERROR(ABS(FV('Investment Calculator'!$C$7/'Investment Calculator'!$F$4,'SIP Schedule'!C2711,'SIP Schedule'!D2711,,1)),"")</f>
        <v/>
      </c>
    </row>
    <row r="2712" spans="3:6" x14ac:dyDescent="0.3">
      <c r="C2712" s="1" t="str">
        <f>IF(C2711&lt;'Investment Calculator'!$C$8*'Investment Calculator'!$F$4,'SIP Schedule'!C2711+1,"")</f>
        <v/>
      </c>
      <c r="D2712" s="27" t="str">
        <f>IF(C2712&lt;='Investment Calculator'!$C$8*'Investment Calculator'!$F$4,'Investment Calculator'!$C$6,"")</f>
        <v/>
      </c>
      <c r="E2712" s="27" t="str">
        <f>IFERROR((F2711+D2712)*'Investment Calculator'!$C$7/'Investment Calculator'!$F$4,"")</f>
        <v/>
      </c>
      <c r="F2712" s="27" t="str">
        <f>IFERROR(ABS(FV('Investment Calculator'!$C$7/'Investment Calculator'!$F$4,'SIP Schedule'!C2712,'SIP Schedule'!D2712,,1)),"")</f>
        <v/>
      </c>
    </row>
    <row r="2713" spans="3:6" x14ac:dyDescent="0.3">
      <c r="C2713" s="1" t="str">
        <f>IF(C2712&lt;'Investment Calculator'!$C$8*'Investment Calculator'!$F$4,'SIP Schedule'!C2712+1,"")</f>
        <v/>
      </c>
      <c r="D2713" s="27" t="str">
        <f>IF(C2713&lt;='Investment Calculator'!$C$8*'Investment Calculator'!$F$4,'Investment Calculator'!$C$6,"")</f>
        <v/>
      </c>
      <c r="E2713" s="27" t="str">
        <f>IFERROR((F2712+D2713)*'Investment Calculator'!$C$7/'Investment Calculator'!$F$4,"")</f>
        <v/>
      </c>
      <c r="F2713" s="27" t="str">
        <f>IFERROR(ABS(FV('Investment Calculator'!$C$7/'Investment Calculator'!$F$4,'SIP Schedule'!C2713,'SIP Schedule'!D2713,,1)),"")</f>
        <v/>
      </c>
    </row>
    <row r="2714" spans="3:6" x14ac:dyDescent="0.3">
      <c r="C2714" s="1" t="str">
        <f>IF(C2713&lt;'Investment Calculator'!$C$8*'Investment Calculator'!$F$4,'SIP Schedule'!C2713+1,"")</f>
        <v/>
      </c>
      <c r="D2714" s="27" t="str">
        <f>IF(C2714&lt;='Investment Calculator'!$C$8*'Investment Calculator'!$F$4,'Investment Calculator'!$C$6,"")</f>
        <v/>
      </c>
      <c r="E2714" s="27" t="str">
        <f>IFERROR((F2713+D2714)*'Investment Calculator'!$C$7/'Investment Calculator'!$F$4,"")</f>
        <v/>
      </c>
      <c r="F2714" s="27" t="str">
        <f>IFERROR(ABS(FV('Investment Calculator'!$C$7/'Investment Calculator'!$F$4,'SIP Schedule'!C2714,'SIP Schedule'!D2714,,1)),"")</f>
        <v/>
      </c>
    </row>
    <row r="2715" spans="3:6" x14ac:dyDescent="0.3">
      <c r="C2715" s="1" t="str">
        <f>IF(C2714&lt;'Investment Calculator'!$C$8*'Investment Calculator'!$F$4,'SIP Schedule'!C2714+1,"")</f>
        <v/>
      </c>
      <c r="D2715" s="27" t="str">
        <f>IF(C2715&lt;='Investment Calculator'!$C$8*'Investment Calculator'!$F$4,'Investment Calculator'!$C$6,"")</f>
        <v/>
      </c>
      <c r="E2715" s="27" t="str">
        <f>IFERROR((F2714+D2715)*'Investment Calculator'!$C$7/'Investment Calculator'!$F$4,"")</f>
        <v/>
      </c>
      <c r="F2715" s="27" t="str">
        <f>IFERROR(ABS(FV('Investment Calculator'!$C$7/'Investment Calculator'!$F$4,'SIP Schedule'!C2715,'SIP Schedule'!D2715,,1)),"")</f>
        <v/>
      </c>
    </row>
    <row r="2716" spans="3:6" x14ac:dyDescent="0.3">
      <c r="C2716" s="1" t="str">
        <f>IF(C2715&lt;'Investment Calculator'!$C$8*'Investment Calculator'!$F$4,'SIP Schedule'!C2715+1,"")</f>
        <v/>
      </c>
      <c r="D2716" s="27" t="str">
        <f>IF(C2716&lt;='Investment Calculator'!$C$8*'Investment Calculator'!$F$4,'Investment Calculator'!$C$6,"")</f>
        <v/>
      </c>
      <c r="E2716" s="27" t="str">
        <f>IFERROR((F2715+D2716)*'Investment Calculator'!$C$7/'Investment Calculator'!$F$4,"")</f>
        <v/>
      </c>
      <c r="F2716" s="27" t="str">
        <f>IFERROR(ABS(FV('Investment Calculator'!$C$7/'Investment Calculator'!$F$4,'SIP Schedule'!C2716,'SIP Schedule'!D2716,,1)),"")</f>
        <v/>
      </c>
    </row>
    <row r="2717" spans="3:6" x14ac:dyDescent="0.3">
      <c r="C2717" s="1" t="str">
        <f>IF(C2716&lt;'Investment Calculator'!$C$8*'Investment Calculator'!$F$4,'SIP Schedule'!C2716+1,"")</f>
        <v/>
      </c>
      <c r="D2717" s="27" t="str">
        <f>IF(C2717&lt;='Investment Calculator'!$C$8*'Investment Calculator'!$F$4,'Investment Calculator'!$C$6,"")</f>
        <v/>
      </c>
      <c r="E2717" s="27" t="str">
        <f>IFERROR((F2716+D2717)*'Investment Calculator'!$C$7/'Investment Calculator'!$F$4,"")</f>
        <v/>
      </c>
      <c r="F2717" s="27" t="str">
        <f>IFERROR(ABS(FV('Investment Calculator'!$C$7/'Investment Calculator'!$F$4,'SIP Schedule'!C2717,'SIP Schedule'!D2717,,1)),"")</f>
        <v/>
      </c>
    </row>
    <row r="2718" spans="3:6" x14ac:dyDescent="0.3">
      <c r="C2718" s="1" t="str">
        <f>IF(C2717&lt;'Investment Calculator'!$C$8*'Investment Calculator'!$F$4,'SIP Schedule'!C2717+1,"")</f>
        <v/>
      </c>
      <c r="D2718" s="27" t="str">
        <f>IF(C2718&lt;='Investment Calculator'!$C$8*'Investment Calculator'!$F$4,'Investment Calculator'!$C$6,"")</f>
        <v/>
      </c>
      <c r="E2718" s="27" t="str">
        <f>IFERROR((F2717+D2718)*'Investment Calculator'!$C$7/'Investment Calculator'!$F$4,"")</f>
        <v/>
      </c>
      <c r="F2718" s="27" t="str">
        <f>IFERROR(ABS(FV('Investment Calculator'!$C$7/'Investment Calculator'!$F$4,'SIP Schedule'!C2718,'SIP Schedule'!D2718,,1)),"")</f>
        <v/>
      </c>
    </row>
    <row r="2719" spans="3:6" x14ac:dyDescent="0.3">
      <c r="C2719" s="1" t="str">
        <f>IF(C2718&lt;'Investment Calculator'!$C$8*'Investment Calculator'!$F$4,'SIP Schedule'!C2718+1,"")</f>
        <v/>
      </c>
      <c r="D2719" s="27" t="str">
        <f>IF(C2719&lt;='Investment Calculator'!$C$8*'Investment Calculator'!$F$4,'Investment Calculator'!$C$6,"")</f>
        <v/>
      </c>
      <c r="E2719" s="27" t="str">
        <f>IFERROR((F2718+D2719)*'Investment Calculator'!$C$7/'Investment Calculator'!$F$4,"")</f>
        <v/>
      </c>
      <c r="F2719" s="27" t="str">
        <f>IFERROR(ABS(FV('Investment Calculator'!$C$7/'Investment Calculator'!$F$4,'SIP Schedule'!C2719,'SIP Schedule'!D2719,,1)),"")</f>
        <v/>
      </c>
    </row>
    <row r="2720" spans="3:6" x14ac:dyDescent="0.3">
      <c r="C2720" s="1" t="str">
        <f>IF(C2719&lt;'Investment Calculator'!$C$8*'Investment Calculator'!$F$4,'SIP Schedule'!C2719+1,"")</f>
        <v/>
      </c>
      <c r="D2720" s="27" t="str">
        <f>IF(C2720&lt;='Investment Calculator'!$C$8*'Investment Calculator'!$F$4,'Investment Calculator'!$C$6,"")</f>
        <v/>
      </c>
      <c r="E2720" s="27" t="str">
        <f>IFERROR((F2719+D2720)*'Investment Calculator'!$C$7/'Investment Calculator'!$F$4,"")</f>
        <v/>
      </c>
      <c r="F2720" s="27" t="str">
        <f>IFERROR(ABS(FV('Investment Calculator'!$C$7/'Investment Calculator'!$F$4,'SIP Schedule'!C2720,'SIP Schedule'!D2720,,1)),"")</f>
        <v/>
      </c>
    </row>
    <row r="2721" spans="3:6" x14ac:dyDescent="0.3">
      <c r="C2721" s="1" t="str">
        <f>IF(C2720&lt;'Investment Calculator'!$C$8*'Investment Calculator'!$F$4,'SIP Schedule'!C2720+1,"")</f>
        <v/>
      </c>
      <c r="D2721" s="27" t="str">
        <f>IF(C2721&lt;='Investment Calculator'!$C$8*'Investment Calculator'!$F$4,'Investment Calculator'!$C$6,"")</f>
        <v/>
      </c>
      <c r="E2721" s="27" t="str">
        <f>IFERROR((F2720+D2721)*'Investment Calculator'!$C$7/'Investment Calculator'!$F$4,"")</f>
        <v/>
      </c>
      <c r="F2721" s="27" t="str">
        <f>IFERROR(ABS(FV('Investment Calculator'!$C$7/'Investment Calculator'!$F$4,'SIP Schedule'!C2721,'SIP Schedule'!D2721,,1)),"")</f>
        <v/>
      </c>
    </row>
    <row r="2722" spans="3:6" x14ac:dyDescent="0.3">
      <c r="C2722" s="1" t="str">
        <f>IF(C2721&lt;'Investment Calculator'!$C$8*'Investment Calculator'!$F$4,'SIP Schedule'!C2721+1,"")</f>
        <v/>
      </c>
      <c r="D2722" s="27" t="str">
        <f>IF(C2722&lt;='Investment Calculator'!$C$8*'Investment Calculator'!$F$4,'Investment Calculator'!$C$6,"")</f>
        <v/>
      </c>
      <c r="E2722" s="27" t="str">
        <f>IFERROR((F2721+D2722)*'Investment Calculator'!$C$7/'Investment Calculator'!$F$4,"")</f>
        <v/>
      </c>
      <c r="F2722" s="27" t="str">
        <f>IFERROR(ABS(FV('Investment Calculator'!$C$7/'Investment Calculator'!$F$4,'SIP Schedule'!C2722,'SIP Schedule'!D2722,,1)),"")</f>
        <v/>
      </c>
    </row>
    <row r="2723" spans="3:6" x14ac:dyDescent="0.3">
      <c r="C2723" s="1" t="str">
        <f>IF(C2722&lt;'Investment Calculator'!$C$8*'Investment Calculator'!$F$4,'SIP Schedule'!C2722+1,"")</f>
        <v/>
      </c>
      <c r="D2723" s="27" t="str">
        <f>IF(C2723&lt;='Investment Calculator'!$C$8*'Investment Calculator'!$F$4,'Investment Calculator'!$C$6,"")</f>
        <v/>
      </c>
      <c r="E2723" s="27" t="str">
        <f>IFERROR((F2722+D2723)*'Investment Calculator'!$C$7/'Investment Calculator'!$F$4,"")</f>
        <v/>
      </c>
      <c r="F2723" s="27" t="str">
        <f>IFERROR(ABS(FV('Investment Calculator'!$C$7/'Investment Calculator'!$F$4,'SIP Schedule'!C2723,'SIP Schedule'!D2723,,1)),"")</f>
        <v/>
      </c>
    </row>
    <row r="2724" spans="3:6" x14ac:dyDescent="0.3">
      <c r="C2724" s="1" t="str">
        <f>IF(C2723&lt;'Investment Calculator'!$C$8*'Investment Calculator'!$F$4,'SIP Schedule'!C2723+1,"")</f>
        <v/>
      </c>
      <c r="D2724" s="27" t="str">
        <f>IF(C2724&lt;='Investment Calculator'!$C$8*'Investment Calculator'!$F$4,'Investment Calculator'!$C$6,"")</f>
        <v/>
      </c>
      <c r="E2724" s="27" t="str">
        <f>IFERROR((F2723+D2724)*'Investment Calculator'!$C$7/'Investment Calculator'!$F$4,"")</f>
        <v/>
      </c>
      <c r="F2724" s="27" t="str">
        <f>IFERROR(ABS(FV('Investment Calculator'!$C$7/'Investment Calculator'!$F$4,'SIP Schedule'!C2724,'SIP Schedule'!D2724,,1)),"")</f>
        <v/>
      </c>
    </row>
    <row r="2725" spans="3:6" x14ac:dyDescent="0.3">
      <c r="C2725" s="1" t="str">
        <f>IF(C2724&lt;'Investment Calculator'!$C$8*'Investment Calculator'!$F$4,'SIP Schedule'!C2724+1,"")</f>
        <v/>
      </c>
      <c r="D2725" s="27" t="str">
        <f>IF(C2725&lt;='Investment Calculator'!$C$8*'Investment Calculator'!$F$4,'Investment Calculator'!$C$6,"")</f>
        <v/>
      </c>
      <c r="E2725" s="27" t="str">
        <f>IFERROR((F2724+D2725)*'Investment Calculator'!$C$7/'Investment Calculator'!$F$4,"")</f>
        <v/>
      </c>
      <c r="F2725" s="27" t="str">
        <f>IFERROR(ABS(FV('Investment Calculator'!$C$7/'Investment Calculator'!$F$4,'SIP Schedule'!C2725,'SIP Schedule'!D2725,,1)),"")</f>
        <v/>
      </c>
    </row>
    <row r="2726" spans="3:6" x14ac:dyDescent="0.3">
      <c r="C2726" s="1" t="str">
        <f>IF(C2725&lt;'Investment Calculator'!$C$8*'Investment Calculator'!$F$4,'SIP Schedule'!C2725+1,"")</f>
        <v/>
      </c>
      <c r="D2726" s="27" t="str">
        <f>IF(C2726&lt;='Investment Calculator'!$C$8*'Investment Calculator'!$F$4,'Investment Calculator'!$C$6,"")</f>
        <v/>
      </c>
      <c r="E2726" s="27" t="str">
        <f>IFERROR((F2725+D2726)*'Investment Calculator'!$C$7/'Investment Calculator'!$F$4,"")</f>
        <v/>
      </c>
      <c r="F2726" s="27" t="str">
        <f>IFERROR(ABS(FV('Investment Calculator'!$C$7/'Investment Calculator'!$F$4,'SIP Schedule'!C2726,'SIP Schedule'!D2726,,1)),"")</f>
        <v/>
      </c>
    </row>
    <row r="2727" spans="3:6" x14ac:dyDescent="0.3">
      <c r="C2727" s="1" t="str">
        <f>IF(C2726&lt;'Investment Calculator'!$C$8*'Investment Calculator'!$F$4,'SIP Schedule'!C2726+1,"")</f>
        <v/>
      </c>
      <c r="D2727" s="27" t="str">
        <f>IF(C2727&lt;='Investment Calculator'!$C$8*'Investment Calculator'!$F$4,'Investment Calculator'!$C$6,"")</f>
        <v/>
      </c>
      <c r="E2727" s="27" t="str">
        <f>IFERROR((F2726+D2727)*'Investment Calculator'!$C$7/'Investment Calculator'!$F$4,"")</f>
        <v/>
      </c>
      <c r="F2727" s="27" t="str">
        <f>IFERROR(ABS(FV('Investment Calculator'!$C$7/'Investment Calculator'!$F$4,'SIP Schedule'!C2727,'SIP Schedule'!D2727,,1)),"")</f>
        <v/>
      </c>
    </row>
    <row r="2728" spans="3:6" x14ac:dyDescent="0.3">
      <c r="C2728" s="1" t="str">
        <f>IF(C2727&lt;'Investment Calculator'!$C$8*'Investment Calculator'!$F$4,'SIP Schedule'!C2727+1,"")</f>
        <v/>
      </c>
      <c r="D2728" s="27" t="str">
        <f>IF(C2728&lt;='Investment Calculator'!$C$8*'Investment Calculator'!$F$4,'Investment Calculator'!$C$6,"")</f>
        <v/>
      </c>
      <c r="E2728" s="27" t="str">
        <f>IFERROR((F2727+D2728)*'Investment Calculator'!$C$7/'Investment Calculator'!$F$4,"")</f>
        <v/>
      </c>
      <c r="F2728" s="27" t="str">
        <f>IFERROR(ABS(FV('Investment Calculator'!$C$7/'Investment Calculator'!$F$4,'SIP Schedule'!C2728,'SIP Schedule'!D2728,,1)),"")</f>
        <v/>
      </c>
    </row>
    <row r="2729" spans="3:6" x14ac:dyDescent="0.3">
      <c r="C2729" s="1" t="str">
        <f>IF(C2728&lt;'Investment Calculator'!$C$8*'Investment Calculator'!$F$4,'SIP Schedule'!C2728+1,"")</f>
        <v/>
      </c>
      <c r="D2729" s="27" t="str">
        <f>IF(C2729&lt;='Investment Calculator'!$C$8*'Investment Calculator'!$F$4,'Investment Calculator'!$C$6,"")</f>
        <v/>
      </c>
      <c r="E2729" s="27" t="str">
        <f>IFERROR((F2728+D2729)*'Investment Calculator'!$C$7/'Investment Calculator'!$F$4,"")</f>
        <v/>
      </c>
      <c r="F2729" s="27" t="str">
        <f>IFERROR(ABS(FV('Investment Calculator'!$C$7/'Investment Calculator'!$F$4,'SIP Schedule'!C2729,'SIP Schedule'!D2729,,1)),"")</f>
        <v/>
      </c>
    </row>
    <row r="2730" spans="3:6" x14ac:dyDescent="0.3">
      <c r="C2730" s="1" t="str">
        <f>IF(C2729&lt;'Investment Calculator'!$C$8*'Investment Calculator'!$F$4,'SIP Schedule'!C2729+1,"")</f>
        <v/>
      </c>
      <c r="D2730" s="27" t="str">
        <f>IF(C2730&lt;='Investment Calculator'!$C$8*'Investment Calculator'!$F$4,'Investment Calculator'!$C$6,"")</f>
        <v/>
      </c>
      <c r="E2730" s="27" t="str">
        <f>IFERROR((F2729+D2730)*'Investment Calculator'!$C$7/'Investment Calculator'!$F$4,"")</f>
        <v/>
      </c>
      <c r="F2730" s="27" t="str">
        <f>IFERROR(ABS(FV('Investment Calculator'!$C$7/'Investment Calculator'!$F$4,'SIP Schedule'!C2730,'SIP Schedule'!D2730,,1)),"")</f>
        <v/>
      </c>
    </row>
    <row r="2731" spans="3:6" x14ac:dyDescent="0.3">
      <c r="C2731" s="1" t="str">
        <f>IF(C2730&lt;'Investment Calculator'!$C$8*'Investment Calculator'!$F$4,'SIP Schedule'!C2730+1,"")</f>
        <v/>
      </c>
      <c r="D2731" s="27" t="str">
        <f>IF(C2731&lt;='Investment Calculator'!$C$8*'Investment Calculator'!$F$4,'Investment Calculator'!$C$6,"")</f>
        <v/>
      </c>
      <c r="E2731" s="27" t="str">
        <f>IFERROR((F2730+D2731)*'Investment Calculator'!$C$7/'Investment Calculator'!$F$4,"")</f>
        <v/>
      </c>
      <c r="F2731" s="27" t="str">
        <f>IFERROR(ABS(FV('Investment Calculator'!$C$7/'Investment Calculator'!$F$4,'SIP Schedule'!C2731,'SIP Schedule'!D2731,,1)),"")</f>
        <v/>
      </c>
    </row>
    <row r="2732" spans="3:6" x14ac:dyDescent="0.3">
      <c r="C2732" s="1" t="str">
        <f>IF(C2731&lt;'Investment Calculator'!$C$8*'Investment Calculator'!$F$4,'SIP Schedule'!C2731+1,"")</f>
        <v/>
      </c>
      <c r="D2732" s="27" t="str">
        <f>IF(C2732&lt;='Investment Calculator'!$C$8*'Investment Calculator'!$F$4,'Investment Calculator'!$C$6,"")</f>
        <v/>
      </c>
      <c r="E2732" s="27" t="str">
        <f>IFERROR((F2731+D2732)*'Investment Calculator'!$C$7/'Investment Calculator'!$F$4,"")</f>
        <v/>
      </c>
      <c r="F2732" s="27" t="str">
        <f>IFERROR(ABS(FV('Investment Calculator'!$C$7/'Investment Calculator'!$F$4,'SIP Schedule'!C2732,'SIP Schedule'!D2732,,1)),"")</f>
        <v/>
      </c>
    </row>
    <row r="2733" spans="3:6" x14ac:dyDescent="0.3">
      <c r="C2733" s="1" t="str">
        <f>IF(C2732&lt;'Investment Calculator'!$C$8*'Investment Calculator'!$F$4,'SIP Schedule'!C2732+1,"")</f>
        <v/>
      </c>
      <c r="D2733" s="27" t="str">
        <f>IF(C2733&lt;='Investment Calculator'!$C$8*'Investment Calculator'!$F$4,'Investment Calculator'!$C$6,"")</f>
        <v/>
      </c>
      <c r="E2733" s="27" t="str">
        <f>IFERROR((F2732+D2733)*'Investment Calculator'!$C$7/'Investment Calculator'!$F$4,"")</f>
        <v/>
      </c>
      <c r="F2733" s="27" t="str">
        <f>IFERROR(ABS(FV('Investment Calculator'!$C$7/'Investment Calculator'!$F$4,'SIP Schedule'!C2733,'SIP Schedule'!D2733,,1)),"")</f>
        <v/>
      </c>
    </row>
    <row r="2734" spans="3:6" x14ac:dyDescent="0.3">
      <c r="C2734" s="1" t="str">
        <f>IF(C2733&lt;'Investment Calculator'!$C$8*'Investment Calculator'!$F$4,'SIP Schedule'!C2733+1,"")</f>
        <v/>
      </c>
      <c r="D2734" s="27" t="str">
        <f>IF(C2734&lt;='Investment Calculator'!$C$8*'Investment Calculator'!$F$4,'Investment Calculator'!$C$6,"")</f>
        <v/>
      </c>
      <c r="E2734" s="27" t="str">
        <f>IFERROR((F2733+D2734)*'Investment Calculator'!$C$7/'Investment Calculator'!$F$4,"")</f>
        <v/>
      </c>
      <c r="F2734" s="27" t="str">
        <f>IFERROR(ABS(FV('Investment Calculator'!$C$7/'Investment Calculator'!$F$4,'SIP Schedule'!C2734,'SIP Schedule'!D2734,,1)),"")</f>
        <v/>
      </c>
    </row>
    <row r="2735" spans="3:6" x14ac:dyDescent="0.3">
      <c r="C2735" s="1" t="str">
        <f>IF(C2734&lt;'Investment Calculator'!$C$8*'Investment Calculator'!$F$4,'SIP Schedule'!C2734+1,"")</f>
        <v/>
      </c>
      <c r="D2735" s="27" t="str">
        <f>IF(C2735&lt;='Investment Calculator'!$C$8*'Investment Calculator'!$F$4,'Investment Calculator'!$C$6,"")</f>
        <v/>
      </c>
      <c r="E2735" s="27" t="str">
        <f>IFERROR((F2734+D2735)*'Investment Calculator'!$C$7/'Investment Calculator'!$F$4,"")</f>
        <v/>
      </c>
      <c r="F2735" s="27" t="str">
        <f>IFERROR(ABS(FV('Investment Calculator'!$C$7/'Investment Calculator'!$F$4,'SIP Schedule'!C2735,'SIP Schedule'!D2735,,1)),"")</f>
        <v/>
      </c>
    </row>
    <row r="2736" spans="3:6" x14ac:dyDescent="0.3">
      <c r="C2736" s="1" t="str">
        <f>IF(C2735&lt;'Investment Calculator'!$C$8*'Investment Calculator'!$F$4,'SIP Schedule'!C2735+1,"")</f>
        <v/>
      </c>
      <c r="D2736" s="27" t="str">
        <f>IF(C2736&lt;='Investment Calculator'!$C$8*'Investment Calculator'!$F$4,'Investment Calculator'!$C$6,"")</f>
        <v/>
      </c>
      <c r="E2736" s="27" t="str">
        <f>IFERROR((F2735+D2736)*'Investment Calculator'!$C$7/'Investment Calculator'!$F$4,"")</f>
        <v/>
      </c>
      <c r="F2736" s="27" t="str">
        <f>IFERROR(ABS(FV('Investment Calculator'!$C$7/'Investment Calculator'!$F$4,'SIP Schedule'!C2736,'SIP Schedule'!D2736,,1)),"")</f>
        <v/>
      </c>
    </row>
    <row r="2737" spans="3:6" x14ac:dyDescent="0.3">
      <c r="C2737" s="1" t="str">
        <f>IF(C2736&lt;'Investment Calculator'!$C$8*'Investment Calculator'!$F$4,'SIP Schedule'!C2736+1,"")</f>
        <v/>
      </c>
      <c r="D2737" s="27" t="str">
        <f>IF(C2737&lt;='Investment Calculator'!$C$8*'Investment Calculator'!$F$4,'Investment Calculator'!$C$6,"")</f>
        <v/>
      </c>
      <c r="E2737" s="27" t="str">
        <f>IFERROR((F2736+D2737)*'Investment Calculator'!$C$7/'Investment Calculator'!$F$4,"")</f>
        <v/>
      </c>
      <c r="F2737" s="27" t="str">
        <f>IFERROR(ABS(FV('Investment Calculator'!$C$7/'Investment Calculator'!$F$4,'SIP Schedule'!C2737,'SIP Schedule'!D2737,,1)),"")</f>
        <v/>
      </c>
    </row>
    <row r="2738" spans="3:6" x14ac:dyDescent="0.3">
      <c r="C2738" s="1" t="str">
        <f>IF(C2737&lt;'Investment Calculator'!$C$8*'Investment Calculator'!$F$4,'SIP Schedule'!C2737+1,"")</f>
        <v/>
      </c>
      <c r="D2738" s="27" t="str">
        <f>IF(C2738&lt;='Investment Calculator'!$C$8*'Investment Calculator'!$F$4,'Investment Calculator'!$C$6,"")</f>
        <v/>
      </c>
      <c r="E2738" s="27" t="str">
        <f>IFERROR((F2737+D2738)*'Investment Calculator'!$C$7/'Investment Calculator'!$F$4,"")</f>
        <v/>
      </c>
      <c r="F2738" s="27" t="str">
        <f>IFERROR(ABS(FV('Investment Calculator'!$C$7/'Investment Calculator'!$F$4,'SIP Schedule'!C2738,'SIP Schedule'!D2738,,1)),"")</f>
        <v/>
      </c>
    </row>
    <row r="2739" spans="3:6" x14ac:dyDescent="0.3">
      <c r="C2739" s="1" t="str">
        <f>IF(C2738&lt;'Investment Calculator'!$C$8*'Investment Calculator'!$F$4,'SIP Schedule'!C2738+1,"")</f>
        <v/>
      </c>
      <c r="D2739" s="27" t="str">
        <f>IF(C2739&lt;='Investment Calculator'!$C$8*'Investment Calculator'!$F$4,'Investment Calculator'!$C$6,"")</f>
        <v/>
      </c>
      <c r="E2739" s="27" t="str">
        <f>IFERROR((F2738+D2739)*'Investment Calculator'!$C$7/'Investment Calculator'!$F$4,"")</f>
        <v/>
      </c>
      <c r="F2739" s="27" t="str">
        <f>IFERROR(ABS(FV('Investment Calculator'!$C$7/'Investment Calculator'!$F$4,'SIP Schedule'!C2739,'SIP Schedule'!D2739,,1)),"")</f>
        <v/>
      </c>
    </row>
    <row r="2740" spans="3:6" x14ac:dyDescent="0.3">
      <c r="C2740" s="1" t="str">
        <f>IF(C2739&lt;'Investment Calculator'!$C$8*'Investment Calculator'!$F$4,'SIP Schedule'!C2739+1,"")</f>
        <v/>
      </c>
      <c r="D2740" s="27" t="str">
        <f>IF(C2740&lt;='Investment Calculator'!$C$8*'Investment Calculator'!$F$4,'Investment Calculator'!$C$6,"")</f>
        <v/>
      </c>
      <c r="E2740" s="27" t="str">
        <f>IFERROR((F2739+D2740)*'Investment Calculator'!$C$7/'Investment Calculator'!$F$4,"")</f>
        <v/>
      </c>
      <c r="F2740" s="27" t="str">
        <f>IFERROR(ABS(FV('Investment Calculator'!$C$7/'Investment Calculator'!$F$4,'SIP Schedule'!C2740,'SIP Schedule'!D2740,,1)),"")</f>
        <v/>
      </c>
    </row>
    <row r="2741" spans="3:6" x14ac:dyDescent="0.3">
      <c r="C2741" s="1" t="str">
        <f>IF(C2740&lt;'Investment Calculator'!$C$8*'Investment Calculator'!$F$4,'SIP Schedule'!C2740+1,"")</f>
        <v/>
      </c>
      <c r="D2741" s="27" t="str">
        <f>IF(C2741&lt;='Investment Calculator'!$C$8*'Investment Calculator'!$F$4,'Investment Calculator'!$C$6,"")</f>
        <v/>
      </c>
      <c r="E2741" s="27" t="str">
        <f>IFERROR((F2740+D2741)*'Investment Calculator'!$C$7/'Investment Calculator'!$F$4,"")</f>
        <v/>
      </c>
      <c r="F2741" s="27" t="str">
        <f>IFERROR(ABS(FV('Investment Calculator'!$C$7/'Investment Calculator'!$F$4,'SIP Schedule'!C2741,'SIP Schedule'!D2741,,1)),"")</f>
        <v/>
      </c>
    </row>
    <row r="2742" spans="3:6" x14ac:dyDescent="0.3">
      <c r="C2742" s="1" t="str">
        <f>IF(C2741&lt;'Investment Calculator'!$C$8*'Investment Calculator'!$F$4,'SIP Schedule'!C2741+1,"")</f>
        <v/>
      </c>
      <c r="D2742" s="27" t="str">
        <f>IF(C2742&lt;='Investment Calculator'!$C$8*'Investment Calculator'!$F$4,'Investment Calculator'!$C$6,"")</f>
        <v/>
      </c>
      <c r="E2742" s="27" t="str">
        <f>IFERROR((F2741+D2742)*'Investment Calculator'!$C$7/'Investment Calculator'!$F$4,"")</f>
        <v/>
      </c>
      <c r="F2742" s="27" t="str">
        <f>IFERROR(ABS(FV('Investment Calculator'!$C$7/'Investment Calculator'!$F$4,'SIP Schedule'!C2742,'SIP Schedule'!D2742,,1)),"")</f>
        <v/>
      </c>
    </row>
    <row r="2743" spans="3:6" x14ac:dyDescent="0.3">
      <c r="C2743" s="1" t="str">
        <f>IF(C2742&lt;'Investment Calculator'!$C$8*'Investment Calculator'!$F$4,'SIP Schedule'!C2742+1,"")</f>
        <v/>
      </c>
      <c r="D2743" s="27" t="str">
        <f>IF(C2743&lt;='Investment Calculator'!$C$8*'Investment Calculator'!$F$4,'Investment Calculator'!$C$6,"")</f>
        <v/>
      </c>
      <c r="E2743" s="27" t="str">
        <f>IFERROR((F2742+D2743)*'Investment Calculator'!$C$7/'Investment Calculator'!$F$4,"")</f>
        <v/>
      </c>
      <c r="F2743" s="27" t="str">
        <f>IFERROR(ABS(FV('Investment Calculator'!$C$7/'Investment Calculator'!$F$4,'SIP Schedule'!C2743,'SIP Schedule'!D2743,,1)),"")</f>
        <v/>
      </c>
    </row>
    <row r="2744" spans="3:6" x14ac:dyDescent="0.3">
      <c r="C2744" s="1" t="str">
        <f>IF(C2743&lt;'Investment Calculator'!$C$8*'Investment Calculator'!$F$4,'SIP Schedule'!C2743+1,"")</f>
        <v/>
      </c>
      <c r="D2744" s="27" t="str">
        <f>IF(C2744&lt;='Investment Calculator'!$C$8*'Investment Calculator'!$F$4,'Investment Calculator'!$C$6,"")</f>
        <v/>
      </c>
      <c r="E2744" s="27" t="str">
        <f>IFERROR((F2743+D2744)*'Investment Calculator'!$C$7/'Investment Calculator'!$F$4,"")</f>
        <v/>
      </c>
      <c r="F2744" s="27" t="str">
        <f>IFERROR(ABS(FV('Investment Calculator'!$C$7/'Investment Calculator'!$F$4,'SIP Schedule'!C2744,'SIP Schedule'!D2744,,1)),"")</f>
        <v/>
      </c>
    </row>
    <row r="2745" spans="3:6" x14ac:dyDescent="0.3">
      <c r="C2745" s="1" t="str">
        <f>IF(C2744&lt;'Investment Calculator'!$C$8*'Investment Calculator'!$F$4,'SIP Schedule'!C2744+1,"")</f>
        <v/>
      </c>
      <c r="D2745" s="27" t="str">
        <f>IF(C2745&lt;='Investment Calculator'!$C$8*'Investment Calculator'!$F$4,'Investment Calculator'!$C$6,"")</f>
        <v/>
      </c>
      <c r="E2745" s="27" t="str">
        <f>IFERROR((F2744+D2745)*'Investment Calculator'!$C$7/'Investment Calculator'!$F$4,"")</f>
        <v/>
      </c>
      <c r="F2745" s="27" t="str">
        <f>IFERROR(ABS(FV('Investment Calculator'!$C$7/'Investment Calculator'!$F$4,'SIP Schedule'!C2745,'SIP Schedule'!D2745,,1)),"")</f>
        <v/>
      </c>
    </row>
    <row r="2746" spans="3:6" x14ac:dyDescent="0.3">
      <c r="C2746" s="1" t="str">
        <f>IF(C2745&lt;'Investment Calculator'!$C$8*'Investment Calculator'!$F$4,'SIP Schedule'!C2745+1,"")</f>
        <v/>
      </c>
      <c r="D2746" s="27" t="str">
        <f>IF(C2746&lt;='Investment Calculator'!$C$8*'Investment Calculator'!$F$4,'Investment Calculator'!$C$6,"")</f>
        <v/>
      </c>
      <c r="E2746" s="27" t="str">
        <f>IFERROR((F2745+D2746)*'Investment Calculator'!$C$7/'Investment Calculator'!$F$4,"")</f>
        <v/>
      </c>
      <c r="F2746" s="27" t="str">
        <f>IFERROR(ABS(FV('Investment Calculator'!$C$7/'Investment Calculator'!$F$4,'SIP Schedule'!C2746,'SIP Schedule'!D2746,,1)),"")</f>
        <v/>
      </c>
    </row>
    <row r="2747" spans="3:6" x14ac:dyDescent="0.3">
      <c r="C2747" s="1" t="str">
        <f>IF(C2746&lt;'Investment Calculator'!$C$8*'Investment Calculator'!$F$4,'SIP Schedule'!C2746+1,"")</f>
        <v/>
      </c>
      <c r="D2747" s="27" t="str">
        <f>IF(C2747&lt;='Investment Calculator'!$C$8*'Investment Calculator'!$F$4,'Investment Calculator'!$C$6,"")</f>
        <v/>
      </c>
      <c r="E2747" s="27" t="str">
        <f>IFERROR((F2746+D2747)*'Investment Calculator'!$C$7/'Investment Calculator'!$F$4,"")</f>
        <v/>
      </c>
      <c r="F2747" s="27" t="str">
        <f>IFERROR(ABS(FV('Investment Calculator'!$C$7/'Investment Calculator'!$F$4,'SIP Schedule'!C2747,'SIP Schedule'!D2747,,1)),"")</f>
        <v/>
      </c>
    </row>
    <row r="2748" spans="3:6" x14ac:dyDescent="0.3">
      <c r="C2748" s="1" t="str">
        <f>IF(C2747&lt;'Investment Calculator'!$C$8*'Investment Calculator'!$F$4,'SIP Schedule'!C2747+1,"")</f>
        <v/>
      </c>
      <c r="D2748" s="27" t="str">
        <f>IF(C2748&lt;='Investment Calculator'!$C$8*'Investment Calculator'!$F$4,'Investment Calculator'!$C$6,"")</f>
        <v/>
      </c>
      <c r="E2748" s="27" t="str">
        <f>IFERROR((F2747+D2748)*'Investment Calculator'!$C$7/'Investment Calculator'!$F$4,"")</f>
        <v/>
      </c>
      <c r="F2748" s="27" t="str">
        <f>IFERROR(ABS(FV('Investment Calculator'!$C$7/'Investment Calculator'!$F$4,'SIP Schedule'!C2748,'SIP Schedule'!D2748,,1)),"")</f>
        <v/>
      </c>
    </row>
    <row r="2749" spans="3:6" x14ac:dyDescent="0.3">
      <c r="C2749" s="1" t="str">
        <f>IF(C2748&lt;'Investment Calculator'!$C$8*'Investment Calculator'!$F$4,'SIP Schedule'!C2748+1,"")</f>
        <v/>
      </c>
      <c r="D2749" s="27" t="str">
        <f>IF(C2749&lt;='Investment Calculator'!$C$8*'Investment Calculator'!$F$4,'Investment Calculator'!$C$6,"")</f>
        <v/>
      </c>
      <c r="E2749" s="27" t="str">
        <f>IFERROR((F2748+D2749)*'Investment Calculator'!$C$7/'Investment Calculator'!$F$4,"")</f>
        <v/>
      </c>
      <c r="F2749" s="27" t="str">
        <f>IFERROR(ABS(FV('Investment Calculator'!$C$7/'Investment Calculator'!$F$4,'SIP Schedule'!C2749,'SIP Schedule'!D2749,,1)),"")</f>
        <v/>
      </c>
    </row>
    <row r="2750" spans="3:6" x14ac:dyDescent="0.3">
      <c r="C2750" s="1" t="str">
        <f>IF(C2749&lt;'Investment Calculator'!$C$8*'Investment Calculator'!$F$4,'SIP Schedule'!C2749+1,"")</f>
        <v/>
      </c>
      <c r="D2750" s="27" t="str">
        <f>IF(C2750&lt;='Investment Calculator'!$C$8*'Investment Calculator'!$F$4,'Investment Calculator'!$C$6,"")</f>
        <v/>
      </c>
      <c r="E2750" s="27" t="str">
        <f>IFERROR((F2749+D2750)*'Investment Calculator'!$C$7/'Investment Calculator'!$F$4,"")</f>
        <v/>
      </c>
      <c r="F2750" s="27" t="str">
        <f>IFERROR(ABS(FV('Investment Calculator'!$C$7/'Investment Calculator'!$F$4,'SIP Schedule'!C2750,'SIP Schedule'!D2750,,1)),"")</f>
        <v/>
      </c>
    </row>
    <row r="2751" spans="3:6" x14ac:dyDescent="0.3">
      <c r="C2751" s="1" t="str">
        <f>IF(C2750&lt;'Investment Calculator'!$C$8*'Investment Calculator'!$F$4,'SIP Schedule'!C2750+1,"")</f>
        <v/>
      </c>
      <c r="D2751" s="27" t="str">
        <f>IF(C2751&lt;='Investment Calculator'!$C$8*'Investment Calculator'!$F$4,'Investment Calculator'!$C$6,"")</f>
        <v/>
      </c>
      <c r="E2751" s="27" t="str">
        <f>IFERROR((F2750+D2751)*'Investment Calculator'!$C$7/'Investment Calculator'!$F$4,"")</f>
        <v/>
      </c>
      <c r="F2751" s="27" t="str">
        <f>IFERROR(ABS(FV('Investment Calculator'!$C$7/'Investment Calculator'!$F$4,'SIP Schedule'!C2751,'SIP Schedule'!D2751,,1)),"")</f>
        <v/>
      </c>
    </row>
    <row r="2752" spans="3:6" x14ac:dyDescent="0.3">
      <c r="C2752" s="1" t="str">
        <f>IF(C2751&lt;'Investment Calculator'!$C$8*'Investment Calculator'!$F$4,'SIP Schedule'!C2751+1,"")</f>
        <v/>
      </c>
      <c r="D2752" s="27" t="str">
        <f>IF(C2752&lt;='Investment Calculator'!$C$8*'Investment Calculator'!$F$4,'Investment Calculator'!$C$6,"")</f>
        <v/>
      </c>
      <c r="E2752" s="27" t="str">
        <f>IFERROR((F2751+D2752)*'Investment Calculator'!$C$7/'Investment Calculator'!$F$4,"")</f>
        <v/>
      </c>
      <c r="F2752" s="27" t="str">
        <f>IFERROR(ABS(FV('Investment Calculator'!$C$7/'Investment Calculator'!$F$4,'SIP Schedule'!C2752,'SIP Schedule'!D2752,,1)),"")</f>
        <v/>
      </c>
    </row>
    <row r="2753" spans="3:6" x14ac:dyDescent="0.3">
      <c r="C2753" s="1" t="str">
        <f>IF(C2752&lt;'Investment Calculator'!$C$8*'Investment Calculator'!$F$4,'SIP Schedule'!C2752+1,"")</f>
        <v/>
      </c>
      <c r="D2753" s="27" t="str">
        <f>IF(C2753&lt;='Investment Calculator'!$C$8*'Investment Calculator'!$F$4,'Investment Calculator'!$C$6,"")</f>
        <v/>
      </c>
      <c r="E2753" s="27" t="str">
        <f>IFERROR((F2752+D2753)*'Investment Calculator'!$C$7/'Investment Calculator'!$F$4,"")</f>
        <v/>
      </c>
      <c r="F2753" s="27" t="str">
        <f>IFERROR(ABS(FV('Investment Calculator'!$C$7/'Investment Calculator'!$F$4,'SIP Schedule'!C2753,'SIP Schedule'!D2753,,1)),"")</f>
        <v/>
      </c>
    </row>
    <row r="2754" spans="3:6" x14ac:dyDescent="0.3">
      <c r="C2754" s="1" t="str">
        <f>IF(C2753&lt;'Investment Calculator'!$C$8*'Investment Calculator'!$F$4,'SIP Schedule'!C2753+1,"")</f>
        <v/>
      </c>
      <c r="D2754" s="27" t="str">
        <f>IF(C2754&lt;='Investment Calculator'!$C$8*'Investment Calculator'!$F$4,'Investment Calculator'!$C$6,"")</f>
        <v/>
      </c>
      <c r="E2754" s="27" t="str">
        <f>IFERROR((F2753+D2754)*'Investment Calculator'!$C$7/'Investment Calculator'!$F$4,"")</f>
        <v/>
      </c>
      <c r="F2754" s="27" t="str">
        <f>IFERROR(ABS(FV('Investment Calculator'!$C$7/'Investment Calculator'!$F$4,'SIP Schedule'!C2754,'SIP Schedule'!D2754,,1)),"")</f>
        <v/>
      </c>
    </row>
    <row r="2755" spans="3:6" x14ac:dyDescent="0.3">
      <c r="C2755" s="1" t="str">
        <f>IF(C2754&lt;'Investment Calculator'!$C$8*'Investment Calculator'!$F$4,'SIP Schedule'!C2754+1,"")</f>
        <v/>
      </c>
      <c r="D2755" s="27" t="str">
        <f>IF(C2755&lt;='Investment Calculator'!$C$8*'Investment Calculator'!$F$4,'Investment Calculator'!$C$6,"")</f>
        <v/>
      </c>
      <c r="E2755" s="27" t="str">
        <f>IFERROR((F2754+D2755)*'Investment Calculator'!$C$7/'Investment Calculator'!$F$4,"")</f>
        <v/>
      </c>
      <c r="F2755" s="27" t="str">
        <f>IFERROR(ABS(FV('Investment Calculator'!$C$7/'Investment Calculator'!$F$4,'SIP Schedule'!C2755,'SIP Schedule'!D2755,,1)),"")</f>
        <v/>
      </c>
    </row>
    <row r="2756" spans="3:6" x14ac:dyDescent="0.3">
      <c r="C2756" s="1" t="str">
        <f>IF(C2755&lt;'Investment Calculator'!$C$8*'Investment Calculator'!$F$4,'SIP Schedule'!C2755+1,"")</f>
        <v/>
      </c>
      <c r="D2756" s="27" t="str">
        <f>IF(C2756&lt;='Investment Calculator'!$C$8*'Investment Calculator'!$F$4,'Investment Calculator'!$C$6,"")</f>
        <v/>
      </c>
      <c r="E2756" s="27" t="str">
        <f>IFERROR((F2755+D2756)*'Investment Calculator'!$C$7/'Investment Calculator'!$F$4,"")</f>
        <v/>
      </c>
      <c r="F2756" s="27" t="str">
        <f>IFERROR(ABS(FV('Investment Calculator'!$C$7/'Investment Calculator'!$F$4,'SIP Schedule'!C2756,'SIP Schedule'!D2756,,1)),"")</f>
        <v/>
      </c>
    </row>
    <row r="2757" spans="3:6" x14ac:dyDescent="0.3">
      <c r="C2757" s="1" t="str">
        <f>IF(C2756&lt;'Investment Calculator'!$C$8*'Investment Calculator'!$F$4,'SIP Schedule'!C2756+1,"")</f>
        <v/>
      </c>
      <c r="D2757" s="27" t="str">
        <f>IF(C2757&lt;='Investment Calculator'!$C$8*'Investment Calculator'!$F$4,'Investment Calculator'!$C$6,"")</f>
        <v/>
      </c>
      <c r="E2757" s="27" t="str">
        <f>IFERROR((F2756+D2757)*'Investment Calculator'!$C$7/'Investment Calculator'!$F$4,"")</f>
        <v/>
      </c>
      <c r="F2757" s="27" t="str">
        <f>IFERROR(ABS(FV('Investment Calculator'!$C$7/'Investment Calculator'!$F$4,'SIP Schedule'!C2757,'SIP Schedule'!D2757,,1)),"")</f>
        <v/>
      </c>
    </row>
    <row r="2758" spans="3:6" x14ac:dyDescent="0.3">
      <c r="C2758" s="1" t="str">
        <f>IF(C2757&lt;'Investment Calculator'!$C$8*'Investment Calculator'!$F$4,'SIP Schedule'!C2757+1,"")</f>
        <v/>
      </c>
      <c r="D2758" s="27" t="str">
        <f>IF(C2758&lt;='Investment Calculator'!$C$8*'Investment Calculator'!$F$4,'Investment Calculator'!$C$6,"")</f>
        <v/>
      </c>
      <c r="E2758" s="27" t="str">
        <f>IFERROR((F2757+D2758)*'Investment Calculator'!$C$7/'Investment Calculator'!$F$4,"")</f>
        <v/>
      </c>
      <c r="F2758" s="27" t="str">
        <f>IFERROR(ABS(FV('Investment Calculator'!$C$7/'Investment Calculator'!$F$4,'SIP Schedule'!C2758,'SIP Schedule'!D2758,,1)),"")</f>
        <v/>
      </c>
    </row>
    <row r="2759" spans="3:6" x14ac:dyDescent="0.3">
      <c r="C2759" s="1" t="str">
        <f>IF(C2758&lt;'Investment Calculator'!$C$8*'Investment Calculator'!$F$4,'SIP Schedule'!C2758+1,"")</f>
        <v/>
      </c>
      <c r="D2759" s="27" t="str">
        <f>IF(C2759&lt;='Investment Calculator'!$C$8*'Investment Calculator'!$F$4,'Investment Calculator'!$C$6,"")</f>
        <v/>
      </c>
      <c r="E2759" s="27" t="str">
        <f>IFERROR((F2758+D2759)*'Investment Calculator'!$C$7/'Investment Calculator'!$F$4,"")</f>
        <v/>
      </c>
      <c r="F2759" s="27" t="str">
        <f>IFERROR(ABS(FV('Investment Calculator'!$C$7/'Investment Calculator'!$F$4,'SIP Schedule'!C2759,'SIP Schedule'!D2759,,1)),"")</f>
        <v/>
      </c>
    </row>
    <row r="2760" spans="3:6" x14ac:dyDescent="0.3">
      <c r="C2760" s="1" t="str">
        <f>IF(C2759&lt;'Investment Calculator'!$C$8*'Investment Calculator'!$F$4,'SIP Schedule'!C2759+1,"")</f>
        <v/>
      </c>
      <c r="D2760" s="27" t="str">
        <f>IF(C2760&lt;='Investment Calculator'!$C$8*'Investment Calculator'!$F$4,'Investment Calculator'!$C$6,"")</f>
        <v/>
      </c>
      <c r="E2760" s="27" t="str">
        <f>IFERROR((F2759+D2760)*'Investment Calculator'!$C$7/'Investment Calculator'!$F$4,"")</f>
        <v/>
      </c>
      <c r="F2760" s="27" t="str">
        <f>IFERROR(ABS(FV('Investment Calculator'!$C$7/'Investment Calculator'!$F$4,'SIP Schedule'!C2760,'SIP Schedule'!D2760,,1)),"")</f>
        <v/>
      </c>
    </row>
    <row r="2761" spans="3:6" x14ac:dyDescent="0.3">
      <c r="C2761" s="1" t="str">
        <f>IF(C2760&lt;'Investment Calculator'!$C$8*'Investment Calculator'!$F$4,'SIP Schedule'!C2760+1,"")</f>
        <v/>
      </c>
      <c r="D2761" s="27" t="str">
        <f>IF(C2761&lt;='Investment Calculator'!$C$8*'Investment Calculator'!$F$4,'Investment Calculator'!$C$6,"")</f>
        <v/>
      </c>
      <c r="E2761" s="27" t="str">
        <f>IFERROR((F2760+D2761)*'Investment Calculator'!$C$7/'Investment Calculator'!$F$4,"")</f>
        <v/>
      </c>
      <c r="F2761" s="27" t="str">
        <f>IFERROR(ABS(FV('Investment Calculator'!$C$7/'Investment Calculator'!$F$4,'SIP Schedule'!C2761,'SIP Schedule'!D2761,,1)),"")</f>
        <v/>
      </c>
    </row>
    <row r="2762" spans="3:6" x14ac:dyDescent="0.3">
      <c r="C2762" s="1" t="str">
        <f>IF(C2761&lt;'Investment Calculator'!$C$8*'Investment Calculator'!$F$4,'SIP Schedule'!C2761+1,"")</f>
        <v/>
      </c>
      <c r="D2762" s="27" t="str">
        <f>IF(C2762&lt;='Investment Calculator'!$C$8*'Investment Calculator'!$F$4,'Investment Calculator'!$C$6,"")</f>
        <v/>
      </c>
      <c r="E2762" s="27" t="str">
        <f>IFERROR((F2761+D2762)*'Investment Calculator'!$C$7/'Investment Calculator'!$F$4,"")</f>
        <v/>
      </c>
      <c r="F2762" s="27" t="str">
        <f>IFERROR(ABS(FV('Investment Calculator'!$C$7/'Investment Calculator'!$F$4,'SIP Schedule'!C2762,'SIP Schedule'!D2762,,1)),"")</f>
        <v/>
      </c>
    </row>
    <row r="2763" spans="3:6" x14ac:dyDescent="0.3">
      <c r="C2763" s="1" t="str">
        <f>IF(C2762&lt;'Investment Calculator'!$C$8*'Investment Calculator'!$F$4,'SIP Schedule'!C2762+1,"")</f>
        <v/>
      </c>
      <c r="D2763" s="27" t="str">
        <f>IF(C2763&lt;='Investment Calculator'!$C$8*'Investment Calculator'!$F$4,'Investment Calculator'!$C$6,"")</f>
        <v/>
      </c>
      <c r="E2763" s="27" t="str">
        <f>IFERROR((F2762+D2763)*'Investment Calculator'!$C$7/'Investment Calculator'!$F$4,"")</f>
        <v/>
      </c>
      <c r="F2763" s="27" t="str">
        <f>IFERROR(ABS(FV('Investment Calculator'!$C$7/'Investment Calculator'!$F$4,'SIP Schedule'!C2763,'SIP Schedule'!D2763,,1)),"")</f>
        <v/>
      </c>
    </row>
    <row r="2764" spans="3:6" x14ac:dyDescent="0.3">
      <c r="C2764" s="1" t="str">
        <f>IF(C2763&lt;'Investment Calculator'!$C$8*'Investment Calculator'!$F$4,'SIP Schedule'!C2763+1,"")</f>
        <v/>
      </c>
      <c r="D2764" s="27" t="str">
        <f>IF(C2764&lt;='Investment Calculator'!$C$8*'Investment Calculator'!$F$4,'Investment Calculator'!$C$6,"")</f>
        <v/>
      </c>
      <c r="E2764" s="27" t="str">
        <f>IFERROR((F2763+D2764)*'Investment Calculator'!$C$7/'Investment Calculator'!$F$4,"")</f>
        <v/>
      </c>
      <c r="F2764" s="27" t="str">
        <f>IFERROR(ABS(FV('Investment Calculator'!$C$7/'Investment Calculator'!$F$4,'SIP Schedule'!C2764,'SIP Schedule'!D2764,,1)),"")</f>
        <v/>
      </c>
    </row>
    <row r="2765" spans="3:6" x14ac:dyDescent="0.3">
      <c r="C2765" s="1" t="str">
        <f>IF(C2764&lt;'Investment Calculator'!$C$8*'Investment Calculator'!$F$4,'SIP Schedule'!C2764+1,"")</f>
        <v/>
      </c>
      <c r="D2765" s="27" t="str">
        <f>IF(C2765&lt;='Investment Calculator'!$C$8*'Investment Calculator'!$F$4,'Investment Calculator'!$C$6,"")</f>
        <v/>
      </c>
      <c r="E2765" s="27" t="str">
        <f>IFERROR((F2764+D2765)*'Investment Calculator'!$C$7/'Investment Calculator'!$F$4,"")</f>
        <v/>
      </c>
      <c r="F2765" s="27" t="str">
        <f>IFERROR(ABS(FV('Investment Calculator'!$C$7/'Investment Calculator'!$F$4,'SIP Schedule'!C2765,'SIP Schedule'!D2765,,1)),"")</f>
        <v/>
      </c>
    </row>
    <row r="2766" spans="3:6" x14ac:dyDescent="0.3">
      <c r="C2766" s="1" t="str">
        <f>IF(C2765&lt;'Investment Calculator'!$C$8*'Investment Calculator'!$F$4,'SIP Schedule'!C2765+1,"")</f>
        <v/>
      </c>
      <c r="D2766" s="27" t="str">
        <f>IF(C2766&lt;='Investment Calculator'!$C$8*'Investment Calculator'!$F$4,'Investment Calculator'!$C$6,"")</f>
        <v/>
      </c>
      <c r="E2766" s="27" t="str">
        <f>IFERROR((F2765+D2766)*'Investment Calculator'!$C$7/'Investment Calculator'!$F$4,"")</f>
        <v/>
      </c>
      <c r="F2766" s="27" t="str">
        <f>IFERROR(ABS(FV('Investment Calculator'!$C$7/'Investment Calculator'!$F$4,'SIP Schedule'!C2766,'SIP Schedule'!D2766,,1)),"")</f>
        <v/>
      </c>
    </row>
    <row r="2767" spans="3:6" x14ac:dyDescent="0.3">
      <c r="C2767" s="1" t="str">
        <f>IF(C2766&lt;'Investment Calculator'!$C$8*'Investment Calculator'!$F$4,'SIP Schedule'!C2766+1,"")</f>
        <v/>
      </c>
      <c r="D2767" s="27" t="str">
        <f>IF(C2767&lt;='Investment Calculator'!$C$8*'Investment Calculator'!$F$4,'Investment Calculator'!$C$6,"")</f>
        <v/>
      </c>
      <c r="E2767" s="27" t="str">
        <f>IFERROR((F2766+D2767)*'Investment Calculator'!$C$7/'Investment Calculator'!$F$4,"")</f>
        <v/>
      </c>
      <c r="F2767" s="27" t="str">
        <f>IFERROR(ABS(FV('Investment Calculator'!$C$7/'Investment Calculator'!$F$4,'SIP Schedule'!C2767,'SIP Schedule'!D2767,,1)),"")</f>
        <v/>
      </c>
    </row>
    <row r="2768" spans="3:6" x14ac:dyDescent="0.3">
      <c r="C2768" s="1" t="str">
        <f>IF(C2767&lt;'Investment Calculator'!$C$8*'Investment Calculator'!$F$4,'SIP Schedule'!C2767+1,"")</f>
        <v/>
      </c>
      <c r="D2768" s="27" t="str">
        <f>IF(C2768&lt;='Investment Calculator'!$C$8*'Investment Calculator'!$F$4,'Investment Calculator'!$C$6,"")</f>
        <v/>
      </c>
      <c r="E2768" s="27" t="str">
        <f>IFERROR((F2767+D2768)*'Investment Calculator'!$C$7/'Investment Calculator'!$F$4,"")</f>
        <v/>
      </c>
      <c r="F2768" s="27" t="str">
        <f>IFERROR(ABS(FV('Investment Calculator'!$C$7/'Investment Calculator'!$F$4,'SIP Schedule'!C2768,'SIP Schedule'!D2768,,1)),"")</f>
        <v/>
      </c>
    </row>
    <row r="2769" spans="3:6" x14ac:dyDescent="0.3">
      <c r="C2769" s="1" t="str">
        <f>IF(C2768&lt;'Investment Calculator'!$C$8*'Investment Calculator'!$F$4,'SIP Schedule'!C2768+1,"")</f>
        <v/>
      </c>
      <c r="D2769" s="27" t="str">
        <f>IF(C2769&lt;='Investment Calculator'!$C$8*'Investment Calculator'!$F$4,'Investment Calculator'!$C$6,"")</f>
        <v/>
      </c>
      <c r="E2769" s="27" t="str">
        <f>IFERROR((F2768+D2769)*'Investment Calculator'!$C$7/'Investment Calculator'!$F$4,"")</f>
        <v/>
      </c>
      <c r="F2769" s="27" t="str">
        <f>IFERROR(ABS(FV('Investment Calculator'!$C$7/'Investment Calculator'!$F$4,'SIP Schedule'!C2769,'SIP Schedule'!D2769,,1)),"")</f>
        <v/>
      </c>
    </row>
    <row r="2770" spans="3:6" x14ac:dyDescent="0.3">
      <c r="C2770" s="1" t="str">
        <f>IF(C2769&lt;'Investment Calculator'!$C$8*'Investment Calculator'!$F$4,'SIP Schedule'!C2769+1,"")</f>
        <v/>
      </c>
      <c r="D2770" s="27" t="str">
        <f>IF(C2770&lt;='Investment Calculator'!$C$8*'Investment Calculator'!$F$4,'Investment Calculator'!$C$6,"")</f>
        <v/>
      </c>
      <c r="E2770" s="27" t="str">
        <f>IFERROR((F2769+D2770)*'Investment Calculator'!$C$7/'Investment Calculator'!$F$4,"")</f>
        <v/>
      </c>
      <c r="F2770" s="27" t="str">
        <f>IFERROR(ABS(FV('Investment Calculator'!$C$7/'Investment Calculator'!$F$4,'SIP Schedule'!C2770,'SIP Schedule'!D2770,,1)),"")</f>
        <v/>
      </c>
    </row>
    <row r="2771" spans="3:6" x14ac:dyDescent="0.3">
      <c r="C2771" s="1" t="str">
        <f>IF(C2770&lt;'Investment Calculator'!$C$8*'Investment Calculator'!$F$4,'SIP Schedule'!C2770+1,"")</f>
        <v/>
      </c>
      <c r="D2771" s="27" t="str">
        <f>IF(C2771&lt;='Investment Calculator'!$C$8*'Investment Calculator'!$F$4,'Investment Calculator'!$C$6,"")</f>
        <v/>
      </c>
      <c r="E2771" s="27" t="str">
        <f>IFERROR((F2770+D2771)*'Investment Calculator'!$C$7/'Investment Calculator'!$F$4,"")</f>
        <v/>
      </c>
      <c r="F2771" s="27" t="str">
        <f>IFERROR(ABS(FV('Investment Calculator'!$C$7/'Investment Calculator'!$F$4,'SIP Schedule'!C2771,'SIP Schedule'!D2771,,1)),"")</f>
        <v/>
      </c>
    </row>
    <row r="2772" spans="3:6" x14ac:dyDescent="0.3">
      <c r="C2772" s="1" t="str">
        <f>IF(C2771&lt;'Investment Calculator'!$C$8*'Investment Calculator'!$F$4,'SIP Schedule'!C2771+1,"")</f>
        <v/>
      </c>
      <c r="D2772" s="27" t="str">
        <f>IF(C2772&lt;='Investment Calculator'!$C$8*'Investment Calculator'!$F$4,'Investment Calculator'!$C$6,"")</f>
        <v/>
      </c>
      <c r="E2772" s="27" t="str">
        <f>IFERROR((F2771+D2772)*'Investment Calculator'!$C$7/'Investment Calculator'!$F$4,"")</f>
        <v/>
      </c>
      <c r="F2772" s="27" t="str">
        <f>IFERROR(ABS(FV('Investment Calculator'!$C$7/'Investment Calculator'!$F$4,'SIP Schedule'!C2772,'SIP Schedule'!D2772,,1)),"")</f>
        <v/>
      </c>
    </row>
    <row r="2773" spans="3:6" x14ac:dyDescent="0.3">
      <c r="C2773" s="1" t="str">
        <f>IF(C2772&lt;'Investment Calculator'!$C$8*'Investment Calculator'!$F$4,'SIP Schedule'!C2772+1,"")</f>
        <v/>
      </c>
      <c r="D2773" s="27" t="str">
        <f>IF(C2773&lt;='Investment Calculator'!$C$8*'Investment Calculator'!$F$4,'Investment Calculator'!$C$6,"")</f>
        <v/>
      </c>
      <c r="E2773" s="27" t="str">
        <f>IFERROR((F2772+D2773)*'Investment Calculator'!$C$7/'Investment Calculator'!$F$4,"")</f>
        <v/>
      </c>
      <c r="F2773" s="27" t="str">
        <f>IFERROR(ABS(FV('Investment Calculator'!$C$7/'Investment Calculator'!$F$4,'SIP Schedule'!C2773,'SIP Schedule'!D2773,,1)),"")</f>
        <v/>
      </c>
    </row>
    <row r="2774" spans="3:6" x14ac:dyDescent="0.3">
      <c r="C2774" s="1" t="str">
        <f>IF(C2773&lt;'Investment Calculator'!$C$8*'Investment Calculator'!$F$4,'SIP Schedule'!C2773+1,"")</f>
        <v/>
      </c>
      <c r="D2774" s="27" t="str">
        <f>IF(C2774&lt;='Investment Calculator'!$C$8*'Investment Calculator'!$F$4,'Investment Calculator'!$C$6,"")</f>
        <v/>
      </c>
      <c r="E2774" s="27" t="str">
        <f>IFERROR((F2773+D2774)*'Investment Calculator'!$C$7/'Investment Calculator'!$F$4,"")</f>
        <v/>
      </c>
      <c r="F2774" s="27" t="str">
        <f>IFERROR(ABS(FV('Investment Calculator'!$C$7/'Investment Calculator'!$F$4,'SIP Schedule'!C2774,'SIP Schedule'!D2774,,1)),"")</f>
        <v/>
      </c>
    </row>
    <row r="2775" spans="3:6" x14ac:dyDescent="0.3">
      <c r="C2775" s="1" t="str">
        <f>IF(C2774&lt;'Investment Calculator'!$C$8*'Investment Calculator'!$F$4,'SIP Schedule'!C2774+1,"")</f>
        <v/>
      </c>
      <c r="D2775" s="27" t="str">
        <f>IF(C2775&lt;='Investment Calculator'!$C$8*'Investment Calculator'!$F$4,'Investment Calculator'!$C$6,"")</f>
        <v/>
      </c>
      <c r="E2775" s="27" t="str">
        <f>IFERROR((F2774+D2775)*'Investment Calculator'!$C$7/'Investment Calculator'!$F$4,"")</f>
        <v/>
      </c>
      <c r="F2775" s="27" t="str">
        <f>IFERROR(ABS(FV('Investment Calculator'!$C$7/'Investment Calculator'!$F$4,'SIP Schedule'!C2775,'SIP Schedule'!D2775,,1)),"")</f>
        <v/>
      </c>
    </row>
    <row r="2776" spans="3:6" x14ac:dyDescent="0.3">
      <c r="C2776" s="1" t="str">
        <f>IF(C2775&lt;'Investment Calculator'!$C$8*'Investment Calculator'!$F$4,'SIP Schedule'!C2775+1,"")</f>
        <v/>
      </c>
      <c r="D2776" s="27" t="str">
        <f>IF(C2776&lt;='Investment Calculator'!$C$8*'Investment Calculator'!$F$4,'Investment Calculator'!$C$6,"")</f>
        <v/>
      </c>
      <c r="E2776" s="27" t="str">
        <f>IFERROR((F2775+D2776)*'Investment Calculator'!$C$7/'Investment Calculator'!$F$4,"")</f>
        <v/>
      </c>
      <c r="F2776" s="27" t="str">
        <f>IFERROR(ABS(FV('Investment Calculator'!$C$7/'Investment Calculator'!$F$4,'SIP Schedule'!C2776,'SIP Schedule'!D2776,,1)),"")</f>
        <v/>
      </c>
    </row>
    <row r="2777" spans="3:6" x14ac:dyDescent="0.3">
      <c r="C2777" s="1" t="str">
        <f>IF(C2776&lt;'Investment Calculator'!$C$8*'Investment Calculator'!$F$4,'SIP Schedule'!C2776+1,"")</f>
        <v/>
      </c>
      <c r="D2777" s="27" t="str">
        <f>IF(C2777&lt;='Investment Calculator'!$C$8*'Investment Calculator'!$F$4,'Investment Calculator'!$C$6,"")</f>
        <v/>
      </c>
      <c r="E2777" s="27" t="str">
        <f>IFERROR((F2776+D2777)*'Investment Calculator'!$C$7/'Investment Calculator'!$F$4,"")</f>
        <v/>
      </c>
      <c r="F2777" s="27" t="str">
        <f>IFERROR(ABS(FV('Investment Calculator'!$C$7/'Investment Calculator'!$F$4,'SIP Schedule'!C2777,'SIP Schedule'!D2777,,1)),"")</f>
        <v/>
      </c>
    </row>
    <row r="2778" spans="3:6" x14ac:dyDescent="0.3">
      <c r="C2778" s="1" t="str">
        <f>IF(C2777&lt;'Investment Calculator'!$C$8*'Investment Calculator'!$F$4,'SIP Schedule'!C2777+1,"")</f>
        <v/>
      </c>
      <c r="D2778" s="27" t="str">
        <f>IF(C2778&lt;='Investment Calculator'!$C$8*'Investment Calculator'!$F$4,'Investment Calculator'!$C$6,"")</f>
        <v/>
      </c>
      <c r="E2778" s="27" t="str">
        <f>IFERROR((F2777+D2778)*'Investment Calculator'!$C$7/'Investment Calculator'!$F$4,"")</f>
        <v/>
      </c>
      <c r="F2778" s="27" t="str">
        <f>IFERROR(ABS(FV('Investment Calculator'!$C$7/'Investment Calculator'!$F$4,'SIP Schedule'!C2778,'SIP Schedule'!D2778,,1)),"")</f>
        <v/>
      </c>
    </row>
    <row r="2779" spans="3:6" x14ac:dyDescent="0.3">
      <c r="C2779" s="1" t="str">
        <f>IF(C2778&lt;'Investment Calculator'!$C$8*'Investment Calculator'!$F$4,'SIP Schedule'!C2778+1,"")</f>
        <v/>
      </c>
      <c r="D2779" s="27" t="str">
        <f>IF(C2779&lt;='Investment Calculator'!$C$8*'Investment Calculator'!$F$4,'Investment Calculator'!$C$6,"")</f>
        <v/>
      </c>
      <c r="E2779" s="27" t="str">
        <f>IFERROR((F2778+D2779)*'Investment Calculator'!$C$7/'Investment Calculator'!$F$4,"")</f>
        <v/>
      </c>
      <c r="F2779" s="27" t="str">
        <f>IFERROR(ABS(FV('Investment Calculator'!$C$7/'Investment Calculator'!$F$4,'SIP Schedule'!C2779,'SIP Schedule'!D2779,,1)),"")</f>
        <v/>
      </c>
    </row>
    <row r="2780" spans="3:6" x14ac:dyDescent="0.3">
      <c r="C2780" s="1" t="str">
        <f>IF(C2779&lt;'Investment Calculator'!$C$8*'Investment Calculator'!$F$4,'SIP Schedule'!C2779+1,"")</f>
        <v/>
      </c>
      <c r="D2780" s="27" t="str">
        <f>IF(C2780&lt;='Investment Calculator'!$C$8*'Investment Calculator'!$F$4,'Investment Calculator'!$C$6,"")</f>
        <v/>
      </c>
      <c r="E2780" s="27" t="str">
        <f>IFERROR((F2779+D2780)*'Investment Calculator'!$C$7/'Investment Calculator'!$F$4,"")</f>
        <v/>
      </c>
      <c r="F2780" s="27" t="str">
        <f>IFERROR(ABS(FV('Investment Calculator'!$C$7/'Investment Calculator'!$F$4,'SIP Schedule'!C2780,'SIP Schedule'!D2780,,1)),"")</f>
        <v/>
      </c>
    </row>
    <row r="2781" spans="3:6" x14ac:dyDescent="0.3">
      <c r="C2781" s="1" t="str">
        <f>IF(C2780&lt;'Investment Calculator'!$C$8*'Investment Calculator'!$F$4,'SIP Schedule'!C2780+1,"")</f>
        <v/>
      </c>
      <c r="D2781" s="27" t="str">
        <f>IF(C2781&lt;='Investment Calculator'!$C$8*'Investment Calculator'!$F$4,'Investment Calculator'!$C$6,"")</f>
        <v/>
      </c>
      <c r="E2781" s="27" t="str">
        <f>IFERROR((F2780+D2781)*'Investment Calculator'!$C$7/'Investment Calculator'!$F$4,"")</f>
        <v/>
      </c>
      <c r="F2781" s="27" t="str">
        <f>IFERROR(ABS(FV('Investment Calculator'!$C$7/'Investment Calculator'!$F$4,'SIP Schedule'!C2781,'SIP Schedule'!D2781,,1)),"")</f>
        <v/>
      </c>
    </row>
    <row r="2782" spans="3:6" x14ac:dyDescent="0.3">
      <c r="C2782" s="1" t="str">
        <f>IF(C2781&lt;'Investment Calculator'!$C$8*'Investment Calculator'!$F$4,'SIP Schedule'!C2781+1,"")</f>
        <v/>
      </c>
      <c r="D2782" s="27" t="str">
        <f>IF(C2782&lt;='Investment Calculator'!$C$8*'Investment Calculator'!$F$4,'Investment Calculator'!$C$6,"")</f>
        <v/>
      </c>
      <c r="E2782" s="27" t="str">
        <f>IFERROR((F2781+D2782)*'Investment Calculator'!$C$7/'Investment Calculator'!$F$4,"")</f>
        <v/>
      </c>
      <c r="F2782" s="27" t="str">
        <f>IFERROR(ABS(FV('Investment Calculator'!$C$7/'Investment Calculator'!$F$4,'SIP Schedule'!C2782,'SIP Schedule'!D2782,,1)),"")</f>
        <v/>
      </c>
    </row>
    <row r="2783" spans="3:6" x14ac:dyDescent="0.3">
      <c r="C2783" s="1" t="str">
        <f>IF(C2782&lt;'Investment Calculator'!$C$8*'Investment Calculator'!$F$4,'SIP Schedule'!C2782+1,"")</f>
        <v/>
      </c>
      <c r="D2783" s="27" t="str">
        <f>IF(C2783&lt;='Investment Calculator'!$C$8*'Investment Calculator'!$F$4,'Investment Calculator'!$C$6,"")</f>
        <v/>
      </c>
      <c r="E2783" s="27" t="str">
        <f>IFERROR((F2782+D2783)*'Investment Calculator'!$C$7/'Investment Calculator'!$F$4,"")</f>
        <v/>
      </c>
      <c r="F2783" s="27" t="str">
        <f>IFERROR(ABS(FV('Investment Calculator'!$C$7/'Investment Calculator'!$F$4,'SIP Schedule'!C2783,'SIP Schedule'!D2783,,1)),"")</f>
        <v/>
      </c>
    </row>
    <row r="2784" spans="3:6" x14ac:dyDescent="0.3">
      <c r="C2784" s="1" t="str">
        <f>IF(C2783&lt;'Investment Calculator'!$C$8*'Investment Calculator'!$F$4,'SIP Schedule'!C2783+1,"")</f>
        <v/>
      </c>
      <c r="D2784" s="27" t="str">
        <f>IF(C2784&lt;='Investment Calculator'!$C$8*'Investment Calculator'!$F$4,'Investment Calculator'!$C$6,"")</f>
        <v/>
      </c>
      <c r="E2784" s="27" t="str">
        <f>IFERROR((F2783+D2784)*'Investment Calculator'!$C$7/'Investment Calculator'!$F$4,"")</f>
        <v/>
      </c>
      <c r="F2784" s="27" t="str">
        <f>IFERROR(ABS(FV('Investment Calculator'!$C$7/'Investment Calculator'!$F$4,'SIP Schedule'!C2784,'SIP Schedule'!D2784,,1)),"")</f>
        <v/>
      </c>
    </row>
    <row r="2785" spans="3:6" x14ac:dyDescent="0.3">
      <c r="C2785" s="1" t="str">
        <f>IF(C2784&lt;'Investment Calculator'!$C$8*'Investment Calculator'!$F$4,'SIP Schedule'!C2784+1,"")</f>
        <v/>
      </c>
      <c r="D2785" s="27" t="str">
        <f>IF(C2785&lt;='Investment Calculator'!$C$8*'Investment Calculator'!$F$4,'Investment Calculator'!$C$6,"")</f>
        <v/>
      </c>
      <c r="E2785" s="27" t="str">
        <f>IFERROR((F2784+D2785)*'Investment Calculator'!$C$7/'Investment Calculator'!$F$4,"")</f>
        <v/>
      </c>
      <c r="F2785" s="27" t="str">
        <f>IFERROR(ABS(FV('Investment Calculator'!$C$7/'Investment Calculator'!$F$4,'SIP Schedule'!C2785,'SIP Schedule'!D2785,,1)),"")</f>
        <v/>
      </c>
    </row>
    <row r="2786" spans="3:6" x14ac:dyDescent="0.3">
      <c r="C2786" s="1" t="str">
        <f>IF(C2785&lt;'Investment Calculator'!$C$8*'Investment Calculator'!$F$4,'SIP Schedule'!C2785+1,"")</f>
        <v/>
      </c>
      <c r="D2786" s="27" t="str">
        <f>IF(C2786&lt;='Investment Calculator'!$C$8*'Investment Calculator'!$F$4,'Investment Calculator'!$C$6,"")</f>
        <v/>
      </c>
      <c r="E2786" s="27" t="str">
        <f>IFERROR((F2785+D2786)*'Investment Calculator'!$C$7/'Investment Calculator'!$F$4,"")</f>
        <v/>
      </c>
      <c r="F2786" s="27" t="str">
        <f>IFERROR(ABS(FV('Investment Calculator'!$C$7/'Investment Calculator'!$F$4,'SIP Schedule'!C2786,'SIP Schedule'!D2786,,1)),"")</f>
        <v/>
      </c>
    </row>
    <row r="2787" spans="3:6" x14ac:dyDescent="0.3">
      <c r="C2787" s="1" t="str">
        <f>IF(C2786&lt;'Investment Calculator'!$C$8*'Investment Calculator'!$F$4,'SIP Schedule'!C2786+1,"")</f>
        <v/>
      </c>
      <c r="D2787" s="27" t="str">
        <f>IF(C2787&lt;='Investment Calculator'!$C$8*'Investment Calculator'!$F$4,'Investment Calculator'!$C$6,"")</f>
        <v/>
      </c>
      <c r="E2787" s="27" t="str">
        <f>IFERROR((F2786+D2787)*'Investment Calculator'!$C$7/'Investment Calculator'!$F$4,"")</f>
        <v/>
      </c>
      <c r="F2787" s="27" t="str">
        <f>IFERROR(ABS(FV('Investment Calculator'!$C$7/'Investment Calculator'!$F$4,'SIP Schedule'!C2787,'SIP Schedule'!D2787,,1)),"")</f>
        <v/>
      </c>
    </row>
    <row r="2788" spans="3:6" x14ac:dyDescent="0.3">
      <c r="C2788" s="1" t="str">
        <f>IF(C2787&lt;'Investment Calculator'!$C$8*'Investment Calculator'!$F$4,'SIP Schedule'!C2787+1,"")</f>
        <v/>
      </c>
      <c r="D2788" s="27" t="str">
        <f>IF(C2788&lt;='Investment Calculator'!$C$8*'Investment Calculator'!$F$4,'Investment Calculator'!$C$6,"")</f>
        <v/>
      </c>
      <c r="E2788" s="27" t="str">
        <f>IFERROR((F2787+D2788)*'Investment Calculator'!$C$7/'Investment Calculator'!$F$4,"")</f>
        <v/>
      </c>
      <c r="F2788" s="27" t="str">
        <f>IFERROR(ABS(FV('Investment Calculator'!$C$7/'Investment Calculator'!$F$4,'SIP Schedule'!C2788,'SIP Schedule'!D2788,,1)),"")</f>
        <v/>
      </c>
    </row>
    <row r="2789" spans="3:6" x14ac:dyDescent="0.3">
      <c r="C2789" s="1" t="str">
        <f>IF(C2788&lt;'Investment Calculator'!$C$8*'Investment Calculator'!$F$4,'SIP Schedule'!C2788+1,"")</f>
        <v/>
      </c>
      <c r="D2789" s="27" t="str">
        <f>IF(C2789&lt;='Investment Calculator'!$C$8*'Investment Calculator'!$F$4,'Investment Calculator'!$C$6,"")</f>
        <v/>
      </c>
      <c r="E2789" s="27" t="str">
        <f>IFERROR((F2788+D2789)*'Investment Calculator'!$C$7/'Investment Calculator'!$F$4,"")</f>
        <v/>
      </c>
      <c r="F2789" s="27" t="str">
        <f>IFERROR(ABS(FV('Investment Calculator'!$C$7/'Investment Calculator'!$F$4,'SIP Schedule'!C2789,'SIP Schedule'!D2789,,1)),"")</f>
        <v/>
      </c>
    </row>
    <row r="2790" spans="3:6" x14ac:dyDescent="0.3">
      <c r="C2790" s="1" t="str">
        <f>IF(C2789&lt;'Investment Calculator'!$C$8*'Investment Calculator'!$F$4,'SIP Schedule'!C2789+1,"")</f>
        <v/>
      </c>
      <c r="D2790" s="27" t="str">
        <f>IF(C2790&lt;='Investment Calculator'!$C$8*'Investment Calculator'!$F$4,'Investment Calculator'!$C$6,"")</f>
        <v/>
      </c>
      <c r="E2790" s="27" t="str">
        <f>IFERROR((F2789+D2790)*'Investment Calculator'!$C$7/'Investment Calculator'!$F$4,"")</f>
        <v/>
      </c>
      <c r="F2790" s="27" t="str">
        <f>IFERROR(ABS(FV('Investment Calculator'!$C$7/'Investment Calculator'!$F$4,'SIP Schedule'!C2790,'SIP Schedule'!D2790,,1)),"")</f>
        <v/>
      </c>
    </row>
    <row r="2791" spans="3:6" x14ac:dyDescent="0.3">
      <c r="C2791" s="1" t="str">
        <f>IF(C2790&lt;'Investment Calculator'!$C$8*'Investment Calculator'!$F$4,'SIP Schedule'!C2790+1,"")</f>
        <v/>
      </c>
      <c r="D2791" s="27" t="str">
        <f>IF(C2791&lt;='Investment Calculator'!$C$8*'Investment Calculator'!$F$4,'Investment Calculator'!$C$6,"")</f>
        <v/>
      </c>
      <c r="E2791" s="27" t="str">
        <f>IFERROR((F2790+D2791)*'Investment Calculator'!$C$7/'Investment Calculator'!$F$4,"")</f>
        <v/>
      </c>
      <c r="F2791" s="27" t="str">
        <f>IFERROR(ABS(FV('Investment Calculator'!$C$7/'Investment Calculator'!$F$4,'SIP Schedule'!C2791,'SIP Schedule'!D2791,,1)),"")</f>
        <v/>
      </c>
    </row>
    <row r="2792" spans="3:6" x14ac:dyDescent="0.3">
      <c r="C2792" s="1" t="str">
        <f>IF(C2791&lt;'Investment Calculator'!$C$8*'Investment Calculator'!$F$4,'SIP Schedule'!C2791+1,"")</f>
        <v/>
      </c>
      <c r="D2792" s="27" t="str">
        <f>IF(C2792&lt;='Investment Calculator'!$C$8*'Investment Calculator'!$F$4,'Investment Calculator'!$C$6,"")</f>
        <v/>
      </c>
      <c r="E2792" s="27" t="str">
        <f>IFERROR((F2791+D2792)*'Investment Calculator'!$C$7/'Investment Calculator'!$F$4,"")</f>
        <v/>
      </c>
      <c r="F2792" s="27" t="str">
        <f>IFERROR(ABS(FV('Investment Calculator'!$C$7/'Investment Calculator'!$F$4,'SIP Schedule'!C2792,'SIP Schedule'!D2792,,1)),"")</f>
        <v/>
      </c>
    </row>
    <row r="2793" spans="3:6" x14ac:dyDescent="0.3">
      <c r="C2793" s="1" t="str">
        <f>IF(C2792&lt;'Investment Calculator'!$C$8*'Investment Calculator'!$F$4,'SIP Schedule'!C2792+1,"")</f>
        <v/>
      </c>
      <c r="D2793" s="27" t="str">
        <f>IF(C2793&lt;='Investment Calculator'!$C$8*'Investment Calculator'!$F$4,'Investment Calculator'!$C$6,"")</f>
        <v/>
      </c>
      <c r="E2793" s="27" t="str">
        <f>IFERROR((F2792+D2793)*'Investment Calculator'!$C$7/'Investment Calculator'!$F$4,"")</f>
        <v/>
      </c>
      <c r="F2793" s="27" t="str">
        <f>IFERROR(ABS(FV('Investment Calculator'!$C$7/'Investment Calculator'!$F$4,'SIP Schedule'!C2793,'SIP Schedule'!D2793,,1)),"")</f>
        <v/>
      </c>
    </row>
    <row r="2794" spans="3:6" x14ac:dyDescent="0.3">
      <c r="C2794" s="1" t="str">
        <f>IF(C2793&lt;'Investment Calculator'!$C$8*'Investment Calculator'!$F$4,'SIP Schedule'!C2793+1,"")</f>
        <v/>
      </c>
      <c r="D2794" s="27" t="str">
        <f>IF(C2794&lt;='Investment Calculator'!$C$8*'Investment Calculator'!$F$4,'Investment Calculator'!$C$6,"")</f>
        <v/>
      </c>
      <c r="E2794" s="27" t="str">
        <f>IFERROR((F2793+D2794)*'Investment Calculator'!$C$7/'Investment Calculator'!$F$4,"")</f>
        <v/>
      </c>
      <c r="F2794" s="27" t="str">
        <f>IFERROR(ABS(FV('Investment Calculator'!$C$7/'Investment Calculator'!$F$4,'SIP Schedule'!C2794,'SIP Schedule'!D2794,,1)),"")</f>
        <v/>
      </c>
    </row>
    <row r="2795" spans="3:6" x14ac:dyDescent="0.3">
      <c r="C2795" s="1" t="str">
        <f>IF(C2794&lt;'Investment Calculator'!$C$8*'Investment Calculator'!$F$4,'SIP Schedule'!C2794+1,"")</f>
        <v/>
      </c>
      <c r="D2795" s="27" t="str">
        <f>IF(C2795&lt;='Investment Calculator'!$C$8*'Investment Calculator'!$F$4,'Investment Calculator'!$C$6,"")</f>
        <v/>
      </c>
      <c r="E2795" s="27" t="str">
        <f>IFERROR((F2794+D2795)*'Investment Calculator'!$C$7/'Investment Calculator'!$F$4,"")</f>
        <v/>
      </c>
      <c r="F2795" s="27" t="str">
        <f>IFERROR(ABS(FV('Investment Calculator'!$C$7/'Investment Calculator'!$F$4,'SIP Schedule'!C2795,'SIP Schedule'!D2795,,1)),"")</f>
        <v/>
      </c>
    </row>
    <row r="2796" spans="3:6" x14ac:dyDescent="0.3">
      <c r="C2796" s="1" t="str">
        <f>IF(C2795&lt;'Investment Calculator'!$C$8*'Investment Calculator'!$F$4,'SIP Schedule'!C2795+1,"")</f>
        <v/>
      </c>
      <c r="D2796" s="27" t="str">
        <f>IF(C2796&lt;='Investment Calculator'!$C$8*'Investment Calculator'!$F$4,'Investment Calculator'!$C$6,"")</f>
        <v/>
      </c>
      <c r="E2796" s="27" t="str">
        <f>IFERROR((F2795+D2796)*'Investment Calculator'!$C$7/'Investment Calculator'!$F$4,"")</f>
        <v/>
      </c>
      <c r="F2796" s="27" t="str">
        <f>IFERROR(ABS(FV('Investment Calculator'!$C$7/'Investment Calculator'!$F$4,'SIP Schedule'!C2796,'SIP Schedule'!D2796,,1)),"")</f>
        <v/>
      </c>
    </row>
    <row r="2797" spans="3:6" x14ac:dyDescent="0.3">
      <c r="C2797" s="1" t="str">
        <f>IF(C2796&lt;'Investment Calculator'!$C$8*'Investment Calculator'!$F$4,'SIP Schedule'!C2796+1,"")</f>
        <v/>
      </c>
      <c r="D2797" s="27" t="str">
        <f>IF(C2797&lt;='Investment Calculator'!$C$8*'Investment Calculator'!$F$4,'Investment Calculator'!$C$6,"")</f>
        <v/>
      </c>
      <c r="E2797" s="27" t="str">
        <f>IFERROR((F2796+D2797)*'Investment Calculator'!$C$7/'Investment Calculator'!$F$4,"")</f>
        <v/>
      </c>
      <c r="F2797" s="27" t="str">
        <f>IFERROR(ABS(FV('Investment Calculator'!$C$7/'Investment Calculator'!$F$4,'SIP Schedule'!C2797,'SIP Schedule'!D2797,,1)),"")</f>
        <v/>
      </c>
    </row>
    <row r="2798" spans="3:6" x14ac:dyDescent="0.3">
      <c r="C2798" s="1" t="str">
        <f>IF(C2797&lt;'Investment Calculator'!$C$8*'Investment Calculator'!$F$4,'SIP Schedule'!C2797+1,"")</f>
        <v/>
      </c>
      <c r="D2798" s="27" t="str">
        <f>IF(C2798&lt;='Investment Calculator'!$C$8*'Investment Calculator'!$F$4,'Investment Calculator'!$C$6,"")</f>
        <v/>
      </c>
      <c r="E2798" s="27" t="str">
        <f>IFERROR((F2797+D2798)*'Investment Calculator'!$C$7/'Investment Calculator'!$F$4,"")</f>
        <v/>
      </c>
      <c r="F2798" s="27" t="str">
        <f>IFERROR(ABS(FV('Investment Calculator'!$C$7/'Investment Calculator'!$F$4,'SIP Schedule'!C2798,'SIP Schedule'!D2798,,1)),"")</f>
        <v/>
      </c>
    </row>
    <row r="2799" spans="3:6" x14ac:dyDescent="0.3">
      <c r="C2799" s="1" t="str">
        <f>IF(C2798&lt;'Investment Calculator'!$C$8*'Investment Calculator'!$F$4,'SIP Schedule'!C2798+1,"")</f>
        <v/>
      </c>
      <c r="D2799" s="27" t="str">
        <f>IF(C2799&lt;='Investment Calculator'!$C$8*'Investment Calculator'!$F$4,'Investment Calculator'!$C$6,"")</f>
        <v/>
      </c>
      <c r="E2799" s="27" t="str">
        <f>IFERROR((F2798+D2799)*'Investment Calculator'!$C$7/'Investment Calculator'!$F$4,"")</f>
        <v/>
      </c>
      <c r="F2799" s="27" t="str">
        <f>IFERROR(ABS(FV('Investment Calculator'!$C$7/'Investment Calculator'!$F$4,'SIP Schedule'!C2799,'SIP Schedule'!D2799,,1)),"")</f>
        <v/>
      </c>
    </row>
    <row r="2800" spans="3:6" x14ac:dyDescent="0.3">
      <c r="C2800" s="1" t="str">
        <f>IF(C2799&lt;'Investment Calculator'!$C$8*'Investment Calculator'!$F$4,'SIP Schedule'!C2799+1,"")</f>
        <v/>
      </c>
      <c r="D2800" s="27" t="str">
        <f>IF(C2800&lt;='Investment Calculator'!$C$8*'Investment Calculator'!$F$4,'Investment Calculator'!$C$6,"")</f>
        <v/>
      </c>
      <c r="E2800" s="27" t="str">
        <f>IFERROR((F2799+D2800)*'Investment Calculator'!$C$7/'Investment Calculator'!$F$4,"")</f>
        <v/>
      </c>
      <c r="F2800" s="27" t="str">
        <f>IFERROR(ABS(FV('Investment Calculator'!$C$7/'Investment Calculator'!$F$4,'SIP Schedule'!C2800,'SIP Schedule'!D2800,,1)),"")</f>
        <v/>
      </c>
    </row>
    <row r="2801" spans="3:6" x14ac:dyDescent="0.3">
      <c r="C2801" s="1" t="str">
        <f>IF(C2800&lt;'Investment Calculator'!$C$8*'Investment Calculator'!$F$4,'SIP Schedule'!C2800+1,"")</f>
        <v/>
      </c>
      <c r="D2801" s="27" t="str">
        <f>IF(C2801&lt;='Investment Calculator'!$C$8*'Investment Calculator'!$F$4,'Investment Calculator'!$C$6,"")</f>
        <v/>
      </c>
      <c r="E2801" s="27" t="str">
        <f>IFERROR((F2800+D2801)*'Investment Calculator'!$C$7/'Investment Calculator'!$F$4,"")</f>
        <v/>
      </c>
      <c r="F2801" s="27" t="str">
        <f>IFERROR(ABS(FV('Investment Calculator'!$C$7/'Investment Calculator'!$F$4,'SIP Schedule'!C2801,'SIP Schedule'!D2801,,1)),"")</f>
        <v/>
      </c>
    </row>
    <row r="2802" spans="3:6" x14ac:dyDescent="0.3">
      <c r="C2802" s="1" t="str">
        <f>IF(C2801&lt;'Investment Calculator'!$C$8*'Investment Calculator'!$F$4,'SIP Schedule'!C2801+1,"")</f>
        <v/>
      </c>
      <c r="D2802" s="27" t="str">
        <f>IF(C2802&lt;='Investment Calculator'!$C$8*'Investment Calculator'!$F$4,'Investment Calculator'!$C$6,"")</f>
        <v/>
      </c>
      <c r="E2802" s="27" t="str">
        <f>IFERROR((F2801+D2802)*'Investment Calculator'!$C$7/'Investment Calculator'!$F$4,"")</f>
        <v/>
      </c>
      <c r="F2802" s="27" t="str">
        <f>IFERROR(ABS(FV('Investment Calculator'!$C$7/'Investment Calculator'!$F$4,'SIP Schedule'!C2802,'SIP Schedule'!D2802,,1)),"")</f>
        <v/>
      </c>
    </row>
    <row r="2803" spans="3:6" x14ac:dyDescent="0.3">
      <c r="C2803" s="1" t="str">
        <f>IF(C2802&lt;'Investment Calculator'!$C$8*'Investment Calculator'!$F$4,'SIP Schedule'!C2802+1,"")</f>
        <v/>
      </c>
      <c r="D2803" s="27" t="str">
        <f>IF(C2803&lt;='Investment Calculator'!$C$8*'Investment Calculator'!$F$4,'Investment Calculator'!$C$6,"")</f>
        <v/>
      </c>
      <c r="E2803" s="27" t="str">
        <f>IFERROR((F2802+D2803)*'Investment Calculator'!$C$7/'Investment Calculator'!$F$4,"")</f>
        <v/>
      </c>
      <c r="F2803" s="27" t="str">
        <f>IFERROR(ABS(FV('Investment Calculator'!$C$7/'Investment Calculator'!$F$4,'SIP Schedule'!C2803,'SIP Schedule'!D2803,,1)),"")</f>
        <v/>
      </c>
    </row>
    <row r="2804" spans="3:6" x14ac:dyDescent="0.3">
      <c r="C2804" s="1" t="str">
        <f>IF(C2803&lt;'Investment Calculator'!$C$8*'Investment Calculator'!$F$4,'SIP Schedule'!C2803+1,"")</f>
        <v/>
      </c>
      <c r="D2804" s="27" t="str">
        <f>IF(C2804&lt;='Investment Calculator'!$C$8*'Investment Calculator'!$F$4,'Investment Calculator'!$C$6,"")</f>
        <v/>
      </c>
      <c r="E2804" s="27" t="str">
        <f>IFERROR((F2803+D2804)*'Investment Calculator'!$C$7/'Investment Calculator'!$F$4,"")</f>
        <v/>
      </c>
      <c r="F2804" s="27" t="str">
        <f>IFERROR(ABS(FV('Investment Calculator'!$C$7/'Investment Calculator'!$F$4,'SIP Schedule'!C2804,'SIP Schedule'!D2804,,1)),"")</f>
        <v/>
      </c>
    </row>
    <row r="2805" spans="3:6" x14ac:dyDescent="0.3">
      <c r="C2805" s="1" t="str">
        <f>IF(C2804&lt;'Investment Calculator'!$C$8*'Investment Calculator'!$F$4,'SIP Schedule'!C2804+1,"")</f>
        <v/>
      </c>
      <c r="D2805" s="27" t="str">
        <f>IF(C2805&lt;='Investment Calculator'!$C$8*'Investment Calculator'!$F$4,'Investment Calculator'!$C$6,"")</f>
        <v/>
      </c>
      <c r="E2805" s="27" t="str">
        <f>IFERROR((F2804+D2805)*'Investment Calculator'!$C$7/'Investment Calculator'!$F$4,"")</f>
        <v/>
      </c>
      <c r="F2805" s="27" t="str">
        <f>IFERROR(ABS(FV('Investment Calculator'!$C$7/'Investment Calculator'!$F$4,'SIP Schedule'!C2805,'SIP Schedule'!D2805,,1)),"")</f>
        <v/>
      </c>
    </row>
    <row r="2806" spans="3:6" x14ac:dyDescent="0.3">
      <c r="C2806" s="1" t="str">
        <f>IF(C2805&lt;'Investment Calculator'!$C$8*'Investment Calculator'!$F$4,'SIP Schedule'!C2805+1,"")</f>
        <v/>
      </c>
      <c r="D2806" s="27" t="str">
        <f>IF(C2806&lt;='Investment Calculator'!$C$8*'Investment Calculator'!$F$4,'Investment Calculator'!$C$6,"")</f>
        <v/>
      </c>
      <c r="E2806" s="27" t="str">
        <f>IFERROR((F2805+D2806)*'Investment Calculator'!$C$7/'Investment Calculator'!$F$4,"")</f>
        <v/>
      </c>
      <c r="F2806" s="27" t="str">
        <f>IFERROR(ABS(FV('Investment Calculator'!$C$7/'Investment Calculator'!$F$4,'SIP Schedule'!C2806,'SIP Schedule'!D2806,,1)),"")</f>
        <v/>
      </c>
    </row>
    <row r="2807" spans="3:6" x14ac:dyDescent="0.3">
      <c r="C2807" s="1" t="str">
        <f>IF(C2806&lt;'Investment Calculator'!$C$8*'Investment Calculator'!$F$4,'SIP Schedule'!C2806+1,"")</f>
        <v/>
      </c>
      <c r="D2807" s="27" t="str">
        <f>IF(C2807&lt;='Investment Calculator'!$C$8*'Investment Calculator'!$F$4,'Investment Calculator'!$C$6,"")</f>
        <v/>
      </c>
      <c r="E2807" s="27" t="str">
        <f>IFERROR((F2806+D2807)*'Investment Calculator'!$C$7/'Investment Calculator'!$F$4,"")</f>
        <v/>
      </c>
      <c r="F2807" s="27" t="str">
        <f>IFERROR(ABS(FV('Investment Calculator'!$C$7/'Investment Calculator'!$F$4,'SIP Schedule'!C2807,'SIP Schedule'!D2807,,1)),"")</f>
        <v/>
      </c>
    </row>
    <row r="2808" spans="3:6" x14ac:dyDescent="0.3">
      <c r="C2808" s="1" t="str">
        <f>IF(C2807&lt;'Investment Calculator'!$C$8*'Investment Calculator'!$F$4,'SIP Schedule'!C2807+1,"")</f>
        <v/>
      </c>
      <c r="D2808" s="27" t="str">
        <f>IF(C2808&lt;='Investment Calculator'!$C$8*'Investment Calculator'!$F$4,'Investment Calculator'!$C$6,"")</f>
        <v/>
      </c>
      <c r="E2808" s="27" t="str">
        <f>IFERROR((F2807+D2808)*'Investment Calculator'!$C$7/'Investment Calculator'!$F$4,"")</f>
        <v/>
      </c>
      <c r="F2808" s="27" t="str">
        <f>IFERROR(ABS(FV('Investment Calculator'!$C$7/'Investment Calculator'!$F$4,'SIP Schedule'!C2808,'SIP Schedule'!D2808,,1)),"")</f>
        <v/>
      </c>
    </row>
    <row r="2809" spans="3:6" x14ac:dyDescent="0.3">
      <c r="C2809" s="1" t="str">
        <f>IF(C2808&lt;'Investment Calculator'!$C$8*'Investment Calculator'!$F$4,'SIP Schedule'!C2808+1,"")</f>
        <v/>
      </c>
      <c r="D2809" s="27" t="str">
        <f>IF(C2809&lt;='Investment Calculator'!$C$8*'Investment Calculator'!$F$4,'Investment Calculator'!$C$6,"")</f>
        <v/>
      </c>
      <c r="E2809" s="27" t="str">
        <f>IFERROR((F2808+D2809)*'Investment Calculator'!$C$7/'Investment Calculator'!$F$4,"")</f>
        <v/>
      </c>
      <c r="F2809" s="27" t="str">
        <f>IFERROR(ABS(FV('Investment Calculator'!$C$7/'Investment Calculator'!$F$4,'SIP Schedule'!C2809,'SIP Schedule'!D2809,,1)),"")</f>
        <v/>
      </c>
    </row>
    <row r="2810" spans="3:6" x14ac:dyDescent="0.3">
      <c r="C2810" s="1" t="str">
        <f>IF(C2809&lt;'Investment Calculator'!$C$8*'Investment Calculator'!$F$4,'SIP Schedule'!C2809+1,"")</f>
        <v/>
      </c>
      <c r="D2810" s="27" t="str">
        <f>IF(C2810&lt;='Investment Calculator'!$C$8*'Investment Calculator'!$F$4,'Investment Calculator'!$C$6,"")</f>
        <v/>
      </c>
      <c r="E2810" s="27" t="str">
        <f>IFERROR((F2809+D2810)*'Investment Calculator'!$C$7/'Investment Calculator'!$F$4,"")</f>
        <v/>
      </c>
      <c r="F2810" s="27" t="str">
        <f>IFERROR(ABS(FV('Investment Calculator'!$C$7/'Investment Calculator'!$F$4,'SIP Schedule'!C2810,'SIP Schedule'!D2810,,1)),"")</f>
        <v/>
      </c>
    </row>
    <row r="2811" spans="3:6" x14ac:dyDescent="0.3">
      <c r="C2811" s="1" t="str">
        <f>IF(C2810&lt;'Investment Calculator'!$C$8*'Investment Calculator'!$F$4,'SIP Schedule'!C2810+1,"")</f>
        <v/>
      </c>
      <c r="D2811" s="27" t="str">
        <f>IF(C2811&lt;='Investment Calculator'!$C$8*'Investment Calculator'!$F$4,'Investment Calculator'!$C$6,"")</f>
        <v/>
      </c>
      <c r="E2811" s="27" t="str">
        <f>IFERROR((F2810+D2811)*'Investment Calculator'!$C$7/'Investment Calculator'!$F$4,"")</f>
        <v/>
      </c>
      <c r="F2811" s="27" t="str">
        <f>IFERROR(ABS(FV('Investment Calculator'!$C$7/'Investment Calculator'!$F$4,'SIP Schedule'!C2811,'SIP Schedule'!D2811,,1)),"")</f>
        <v/>
      </c>
    </row>
    <row r="2812" spans="3:6" x14ac:dyDescent="0.3">
      <c r="C2812" s="1" t="str">
        <f>IF(C2811&lt;'Investment Calculator'!$C$8*'Investment Calculator'!$F$4,'SIP Schedule'!C2811+1,"")</f>
        <v/>
      </c>
      <c r="D2812" s="27" t="str">
        <f>IF(C2812&lt;='Investment Calculator'!$C$8*'Investment Calculator'!$F$4,'Investment Calculator'!$C$6,"")</f>
        <v/>
      </c>
      <c r="E2812" s="27" t="str">
        <f>IFERROR((F2811+D2812)*'Investment Calculator'!$C$7/'Investment Calculator'!$F$4,"")</f>
        <v/>
      </c>
      <c r="F2812" s="27" t="str">
        <f>IFERROR(ABS(FV('Investment Calculator'!$C$7/'Investment Calculator'!$F$4,'SIP Schedule'!C2812,'SIP Schedule'!D2812,,1)),"")</f>
        <v/>
      </c>
    </row>
    <row r="2813" spans="3:6" x14ac:dyDescent="0.3">
      <c r="C2813" s="1" t="str">
        <f>IF(C2812&lt;'Investment Calculator'!$C$8*'Investment Calculator'!$F$4,'SIP Schedule'!C2812+1,"")</f>
        <v/>
      </c>
      <c r="D2813" s="27" t="str">
        <f>IF(C2813&lt;='Investment Calculator'!$C$8*'Investment Calculator'!$F$4,'Investment Calculator'!$C$6,"")</f>
        <v/>
      </c>
      <c r="E2813" s="27" t="str">
        <f>IFERROR((F2812+D2813)*'Investment Calculator'!$C$7/'Investment Calculator'!$F$4,"")</f>
        <v/>
      </c>
      <c r="F2813" s="27" t="str">
        <f>IFERROR(ABS(FV('Investment Calculator'!$C$7/'Investment Calculator'!$F$4,'SIP Schedule'!C2813,'SIP Schedule'!D2813,,1)),"")</f>
        <v/>
      </c>
    </row>
    <row r="2814" spans="3:6" x14ac:dyDescent="0.3">
      <c r="C2814" s="1" t="str">
        <f>IF(C2813&lt;'Investment Calculator'!$C$8*'Investment Calculator'!$F$4,'SIP Schedule'!C2813+1,"")</f>
        <v/>
      </c>
      <c r="D2814" s="27" t="str">
        <f>IF(C2814&lt;='Investment Calculator'!$C$8*'Investment Calculator'!$F$4,'Investment Calculator'!$C$6,"")</f>
        <v/>
      </c>
      <c r="E2814" s="27" t="str">
        <f>IFERROR((F2813+D2814)*'Investment Calculator'!$C$7/'Investment Calculator'!$F$4,"")</f>
        <v/>
      </c>
      <c r="F2814" s="27" t="str">
        <f>IFERROR(ABS(FV('Investment Calculator'!$C$7/'Investment Calculator'!$F$4,'SIP Schedule'!C2814,'SIP Schedule'!D2814,,1)),"")</f>
        <v/>
      </c>
    </row>
    <row r="2815" spans="3:6" x14ac:dyDescent="0.3">
      <c r="C2815" s="1" t="str">
        <f>IF(C2814&lt;'Investment Calculator'!$C$8*'Investment Calculator'!$F$4,'SIP Schedule'!C2814+1,"")</f>
        <v/>
      </c>
      <c r="D2815" s="27" t="str">
        <f>IF(C2815&lt;='Investment Calculator'!$C$8*'Investment Calculator'!$F$4,'Investment Calculator'!$C$6,"")</f>
        <v/>
      </c>
      <c r="E2815" s="27" t="str">
        <f>IFERROR((F2814+D2815)*'Investment Calculator'!$C$7/'Investment Calculator'!$F$4,"")</f>
        <v/>
      </c>
      <c r="F2815" s="27" t="str">
        <f>IFERROR(ABS(FV('Investment Calculator'!$C$7/'Investment Calculator'!$F$4,'SIP Schedule'!C2815,'SIP Schedule'!D2815,,1)),"")</f>
        <v/>
      </c>
    </row>
    <row r="2816" spans="3:6" x14ac:dyDescent="0.3">
      <c r="C2816" s="1" t="str">
        <f>IF(C2815&lt;'Investment Calculator'!$C$8*'Investment Calculator'!$F$4,'SIP Schedule'!C2815+1,"")</f>
        <v/>
      </c>
      <c r="D2816" s="27" t="str">
        <f>IF(C2816&lt;='Investment Calculator'!$C$8*'Investment Calculator'!$F$4,'Investment Calculator'!$C$6,"")</f>
        <v/>
      </c>
      <c r="E2816" s="27" t="str">
        <f>IFERROR((F2815+D2816)*'Investment Calculator'!$C$7/'Investment Calculator'!$F$4,"")</f>
        <v/>
      </c>
      <c r="F2816" s="27" t="str">
        <f>IFERROR(ABS(FV('Investment Calculator'!$C$7/'Investment Calculator'!$F$4,'SIP Schedule'!C2816,'SIP Schedule'!D2816,,1)),"")</f>
        <v/>
      </c>
    </row>
    <row r="2817" spans="3:6" x14ac:dyDescent="0.3">
      <c r="C2817" s="1" t="str">
        <f>IF(C2816&lt;'Investment Calculator'!$C$8*'Investment Calculator'!$F$4,'SIP Schedule'!C2816+1,"")</f>
        <v/>
      </c>
      <c r="D2817" s="27" t="str">
        <f>IF(C2817&lt;='Investment Calculator'!$C$8*'Investment Calculator'!$F$4,'Investment Calculator'!$C$6,"")</f>
        <v/>
      </c>
      <c r="E2817" s="27" t="str">
        <f>IFERROR((F2816+D2817)*'Investment Calculator'!$C$7/'Investment Calculator'!$F$4,"")</f>
        <v/>
      </c>
      <c r="F2817" s="27" t="str">
        <f>IFERROR(ABS(FV('Investment Calculator'!$C$7/'Investment Calculator'!$F$4,'SIP Schedule'!C2817,'SIP Schedule'!D2817,,1)),"")</f>
        <v/>
      </c>
    </row>
    <row r="2818" spans="3:6" x14ac:dyDescent="0.3">
      <c r="C2818" s="1" t="str">
        <f>IF(C2817&lt;'Investment Calculator'!$C$8*'Investment Calculator'!$F$4,'SIP Schedule'!C2817+1,"")</f>
        <v/>
      </c>
      <c r="D2818" s="27" t="str">
        <f>IF(C2818&lt;='Investment Calculator'!$C$8*'Investment Calculator'!$F$4,'Investment Calculator'!$C$6,"")</f>
        <v/>
      </c>
      <c r="E2818" s="27" t="str">
        <f>IFERROR((F2817+D2818)*'Investment Calculator'!$C$7/'Investment Calculator'!$F$4,"")</f>
        <v/>
      </c>
      <c r="F2818" s="27" t="str">
        <f>IFERROR(ABS(FV('Investment Calculator'!$C$7/'Investment Calculator'!$F$4,'SIP Schedule'!C2818,'SIP Schedule'!D2818,,1)),"")</f>
        <v/>
      </c>
    </row>
    <row r="2819" spans="3:6" x14ac:dyDescent="0.3">
      <c r="C2819" s="1" t="str">
        <f>IF(C2818&lt;'Investment Calculator'!$C$8*'Investment Calculator'!$F$4,'SIP Schedule'!C2818+1,"")</f>
        <v/>
      </c>
      <c r="D2819" s="27" t="str">
        <f>IF(C2819&lt;='Investment Calculator'!$C$8*'Investment Calculator'!$F$4,'Investment Calculator'!$C$6,"")</f>
        <v/>
      </c>
      <c r="E2819" s="27" t="str">
        <f>IFERROR((F2818+D2819)*'Investment Calculator'!$C$7/'Investment Calculator'!$F$4,"")</f>
        <v/>
      </c>
      <c r="F2819" s="27" t="str">
        <f>IFERROR(ABS(FV('Investment Calculator'!$C$7/'Investment Calculator'!$F$4,'SIP Schedule'!C2819,'SIP Schedule'!D2819,,1)),"")</f>
        <v/>
      </c>
    </row>
    <row r="2820" spans="3:6" x14ac:dyDescent="0.3">
      <c r="C2820" s="1" t="str">
        <f>IF(C2819&lt;'Investment Calculator'!$C$8*'Investment Calculator'!$F$4,'SIP Schedule'!C2819+1,"")</f>
        <v/>
      </c>
      <c r="D2820" s="27" t="str">
        <f>IF(C2820&lt;='Investment Calculator'!$C$8*'Investment Calculator'!$F$4,'Investment Calculator'!$C$6,"")</f>
        <v/>
      </c>
      <c r="E2820" s="27" t="str">
        <f>IFERROR((F2819+D2820)*'Investment Calculator'!$C$7/'Investment Calculator'!$F$4,"")</f>
        <v/>
      </c>
      <c r="F2820" s="27" t="str">
        <f>IFERROR(ABS(FV('Investment Calculator'!$C$7/'Investment Calculator'!$F$4,'SIP Schedule'!C2820,'SIP Schedule'!D2820,,1)),"")</f>
        <v/>
      </c>
    </row>
    <row r="2821" spans="3:6" x14ac:dyDescent="0.3">
      <c r="C2821" s="1" t="str">
        <f>IF(C2820&lt;'Investment Calculator'!$C$8*'Investment Calculator'!$F$4,'SIP Schedule'!C2820+1,"")</f>
        <v/>
      </c>
      <c r="D2821" s="27" t="str">
        <f>IF(C2821&lt;='Investment Calculator'!$C$8*'Investment Calculator'!$F$4,'Investment Calculator'!$C$6,"")</f>
        <v/>
      </c>
      <c r="E2821" s="27" t="str">
        <f>IFERROR((F2820+D2821)*'Investment Calculator'!$C$7/'Investment Calculator'!$F$4,"")</f>
        <v/>
      </c>
      <c r="F2821" s="27" t="str">
        <f>IFERROR(ABS(FV('Investment Calculator'!$C$7/'Investment Calculator'!$F$4,'SIP Schedule'!C2821,'SIP Schedule'!D2821,,1)),"")</f>
        <v/>
      </c>
    </row>
    <row r="2822" spans="3:6" x14ac:dyDescent="0.3">
      <c r="C2822" s="1" t="str">
        <f>IF(C2821&lt;'Investment Calculator'!$C$8*'Investment Calculator'!$F$4,'SIP Schedule'!C2821+1,"")</f>
        <v/>
      </c>
      <c r="D2822" s="27" t="str">
        <f>IF(C2822&lt;='Investment Calculator'!$C$8*'Investment Calculator'!$F$4,'Investment Calculator'!$C$6,"")</f>
        <v/>
      </c>
      <c r="E2822" s="27" t="str">
        <f>IFERROR((F2821+D2822)*'Investment Calculator'!$C$7/'Investment Calculator'!$F$4,"")</f>
        <v/>
      </c>
      <c r="F2822" s="27" t="str">
        <f>IFERROR(ABS(FV('Investment Calculator'!$C$7/'Investment Calculator'!$F$4,'SIP Schedule'!C2822,'SIP Schedule'!D2822,,1)),"")</f>
        <v/>
      </c>
    </row>
    <row r="2823" spans="3:6" x14ac:dyDescent="0.3">
      <c r="C2823" s="1" t="str">
        <f>IF(C2822&lt;'Investment Calculator'!$C$8*'Investment Calculator'!$F$4,'SIP Schedule'!C2822+1,"")</f>
        <v/>
      </c>
      <c r="D2823" s="27" t="str">
        <f>IF(C2823&lt;='Investment Calculator'!$C$8*'Investment Calculator'!$F$4,'Investment Calculator'!$C$6,"")</f>
        <v/>
      </c>
      <c r="E2823" s="27" t="str">
        <f>IFERROR((F2822+D2823)*'Investment Calculator'!$C$7/'Investment Calculator'!$F$4,"")</f>
        <v/>
      </c>
      <c r="F2823" s="27" t="str">
        <f>IFERROR(ABS(FV('Investment Calculator'!$C$7/'Investment Calculator'!$F$4,'SIP Schedule'!C2823,'SIP Schedule'!D2823,,1)),"")</f>
        <v/>
      </c>
    </row>
    <row r="2824" spans="3:6" x14ac:dyDescent="0.3">
      <c r="C2824" s="1" t="str">
        <f>IF(C2823&lt;'Investment Calculator'!$C$8*'Investment Calculator'!$F$4,'SIP Schedule'!C2823+1,"")</f>
        <v/>
      </c>
      <c r="D2824" s="27" t="str">
        <f>IF(C2824&lt;='Investment Calculator'!$C$8*'Investment Calculator'!$F$4,'Investment Calculator'!$C$6,"")</f>
        <v/>
      </c>
      <c r="E2824" s="27" t="str">
        <f>IFERROR((F2823+D2824)*'Investment Calculator'!$C$7/'Investment Calculator'!$F$4,"")</f>
        <v/>
      </c>
      <c r="F2824" s="27" t="str">
        <f>IFERROR(ABS(FV('Investment Calculator'!$C$7/'Investment Calculator'!$F$4,'SIP Schedule'!C2824,'SIP Schedule'!D2824,,1)),"")</f>
        <v/>
      </c>
    </row>
    <row r="2825" spans="3:6" x14ac:dyDescent="0.3">
      <c r="C2825" s="1" t="str">
        <f>IF(C2824&lt;'Investment Calculator'!$C$8*'Investment Calculator'!$F$4,'SIP Schedule'!C2824+1,"")</f>
        <v/>
      </c>
      <c r="D2825" s="27" t="str">
        <f>IF(C2825&lt;='Investment Calculator'!$C$8*'Investment Calculator'!$F$4,'Investment Calculator'!$C$6,"")</f>
        <v/>
      </c>
      <c r="E2825" s="27" t="str">
        <f>IFERROR((F2824+D2825)*'Investment Calculator'!$C$7/'Investment Calculator'!$F$4,"")</f>
        <v/>
      </c>
      <c r="F2825" s="27" t="str">
        <f>IFERROR(ABS(FV('Investment Calculator'!$C$7/'Investment Calculator'!$F$4,'SIP Schedule'!C2825,'SIP Schedule'!D2825,,1)),"")</f>
        <v/>
      </c>
    </row>
    <row r="2826" spans="3:6" x14ac:dyDescent="0.3">
      <c r="C2826" s="1" t="str">
        <f>IF(C2825&lt;'Investment Calculator'!$C$8*'Investment Calculator'!$F$4,'SIP Schedule'!C2825+1,"")</f>
        <v/>
      </c>
      <c r="D2826" s="27" t="str">
        <f>IF(C2826&lt;='Investment Calculator'!$C$8*'Investment Calculator'!$F$4,'Investment Calculator'!$C$6,"")</f>
        <v/>
      </c>
      <c r="E2826" s="27" t="str">
        <f>IFERROR((F2825+D2826)*'Investment Calculator'!$C$7/'Investment Calculator'!$F$4,"")</f>
        <v/>
      </c>
      <c r="F2826" s="27" t="str">
        <f>IFERROR(ABS(FV('Investment Calculator'!$C$7/'Investment Calculator'!$F$4,'SIP Schedule'!C2826,'SIP Schedule'!D2826,,1)),"")</f>
        <v/>
      </c>
    </row>
    <row r="2827" spans="3:6" x14ac:dyDescent="0.3">
      <c r="C2827" s="1" t="str">
        <f>IF(C2826&lt;'Investment Calculator'!$C$8*'Investment Calculator'!$F$4,'SIP Schedule'!C2826+1,"")</f>
        <v/>
      </c>
      <c r="D2827" s="27" t="str">
        <f>IF(C2827&lt;='Investment Calculator'!$C$8*'Investment Calculator'!$F$4,'Investment Calculator'!$C$6,"")</f>
        <v/>
      </c>
      <c r="E2827" s="27" t="str">
        <f>IFERROR((F2826+D2827)*'Investment Calculator'!$C$7/'Investment Calculator'!$F$4,"")</f>
        <v/>
      </c>
      <c r="F2827" s="27" t="str">
        <f>IFERROR(ABS(FV('Investment Calculator'!$C$7/'Investment Calculator'!$F$4,'SIP Schedule'!C2827,'SIP Schedule'!D2827,,1)),"")</f>
        <v/>
      </c>
    </row>
    <row r="2828" spans="3:6" x14ac:dyDescent="0.3">
      <c r="C2828" s="1" t="str">
        <f>IF(C2827&lt;'Investment Calculator'!$C$8*'Investment Calculator'!$F$4,'SIP Schedule'!C2827+1,"")</f>
        <v/>
      </c>
      <c r="D2828" s="27" t="str">
        <f>IF(C2828&lt;='Investment Calculator'!$C$8*'Investment Calculator'!$F$4,'Investment Calculator'!$C$6,"")</f>
        <v/>
      </c>
      <c r="E2828" s="27" t="str">
        <f>IFERROR((F2827+D2828)*'Investment Calculator'!$C$7/'Investment Calculator'!$F$4,"")</f>
        <v/>
      </c>
      <c r="F2828" s="27" t="str">
        <f>IFERROR(ABS(FV('Investment Calculator'!$C$7/'Investment Calculator'!$F$4,'SIP Schedule'!C2828,'SIP Schedule'!D2828,,1)),"")</f>
        <v/>
      </c>
    </row>
    <row r="2829" spans="3:6" x14ac:dyDescent="0.3">
      <c r="C2829" s="1" t="str">
        <f>IF(C2828&lt;'Investment Calculator'!$C$8*'Investment Calculator'!$F$4,'SIP Schedule'!C2828+1,"")</f>
        <v/>
      </c>
      <c r="D2829" s="27" t="str">
        <f>IF(C2829&lt;='Investment Calculator'!$C$8*'Investment Calculator'!$F$4,'Investment Calculator'!$C$6,"")</f>
        <v/>
      </c>
      <c r="E2829" s="27" t="str">
        <f>IFERROR((F2828+D2829)*'Investment Calculator'!$C$7/'Investment Calculator'!$F$4,"")</f>
        <v/>
      </c>
      <c r="F2829" s="27" t="str">
        <f>IFERROR(ABS(FV('Investment Calculator'!$C$7/'Investment Calculator'!$F$4,'SIP Schedule'!C2829,'SIP Schedule'!D2829,,1)),"")</f>
        <v/>
      </c>
    </row>
    <row r="2830" spans="3:6" x14ac:dyDescent="0.3">
      <c r="C2830" s="1" t="str">
        <f>IF(C2829&lt;'Investment Calculator'!$C$8*'Investment Calculator'!$F$4,'SIP Schedule'!C2829+1,"")</f>
        <v/>
      </c>
      <c r="D2830" s="27" t="str">
        <f>IF(C2830&lt;='Investment Calculator'!$C$8*'Investment Calculator'!$F$4,'Investment Calculator'!$C$6,"")</f>
        <v/>
      </c>
      <c r="E2830" s="27" t="str">
        <f>IFERROR((F2829+D2830)*'Investment Calculator'!$C$7/'Investment Calculator'!$F$4,"")</f>
        <v/>
      </c>
      <c r="F2830" s="27" t="str">
        <f>IFERROR(ABS(FV('Investment Calculator'!$C$7/'Investment Calculator'!$F$4,'SIP Schedule'!C2830,'SIP Schedule'!D2830,,1)),"")</f>
        <v/>
      </c>
    </row>
    <row r="2831" spans="3:6" x14ac:dyDescent="0.3">
      <c r="C2831" s="1" t="str">
        <f>IF(C2830&lt;'Investment Calculator'!$C$8*'Investment Calculator'!$F$4,'SIP Schedule'!C2830+1,"")</f>
        <v/>
      </c>
      <c r="D2831" s="27" t="str">
        <f>IF(C2831&lt;='Investment Calculator'!$C$8*'Investment Calculator'!$F$4,'Investment Calculator'!$C$6,"")</f>
        <v/>
      </c>
      <c r="E2831" s="27" t="str">
        <f>IFERROR((F2830+D2831)*'Investment Calculator'!$C$7/'Investment Calculator'!$F$4,"")</f>
        <v/>
      </c>
      <c r="F2831" s="27" t="str">
        <f>IFERROR(ABS(FV('Investment Calculator'!$C$7/'Investment Calculator'!$F$4,'SIP Schedule'!C2831,'SIP Schedule'!D2831,,1)),"")</f>
        <v/>
      </c>
    </row>
    <row r="2832" spans="3:6" x14ac:dyDescent="0.3">
      <c r="C2832" s="1" t="str">
        <f>IF(C2831&lt;'Investment Calculator'!$C$8*'Investment Calculator'!$F$4,'SIP Schedule'!C2831+1,"")</f>
        <v/>
      </c>
      <c r="D2832" s="27" t="str">
        <f>IF(C2832&lt;='Investment Calculator'!$C$8*'Investment Calculator'!$F$4,'Investment Calculator'!$C$6,"")</f>
        <v/>
      </c>
      <c r="E2832" s="27" t="str">
        <f>IFERROR((F2831+D2832)*'Investment Calculator'!$C$7/'Investment Calculator'!$F$4,"")</f>
        <v/>
      </c>
      <c r="F2832" s="27" t="str">
        <f>IFERROR(ABS(FV('Investment Calculator'!$C$7/'Investment Calculator'!$F$4,'SIP Schedule'!C2832,'SIP Schedule'!D2832,,1)),"")</f>
        <v/>
      </c>
    </row>
    <row r="2833" spans="3:6" x14ac:dyDescent="0.3">
      <c r="C2833" s="1" t="str">
        <f>IF(C2832&lt;'Investment Calculator'!$C$8*'Investment Calculator'!$F$4,'SIP Schedule'!C2832+1,"")</f>
        <v/>
      </c>
      <c r="D2833" s="27" t="str">
        <f>IF(C2833&lt;='Investment Calculator'!$C$8*'Investment Calculator'!$F$4,'Investment Calculator'!$C$6,"")</f>
        <v/>
      </c>
      <c r="E2833" s="27" t="str">
        <f>IFERROR((F2832+D2833)*'Investment Calculator'!$C$7/'Investment Calculator'!$F$4,"")</f>
        <v/>
      </c>
      <c r="F2833" s="27" t="str">
        <f>IFERROR(ABS(FV('Investment Calculator'!$C$7/'Investment Calculator'!$F$4,'SIP Schedule'!C2833,'SIP Schedule'!D2833,,1)),"")</f>
        <v/>
      </c>
    </row>
    <row r="2834" spans="3:6" x14ac:dyDescent="0.3">
      <c r="C2834" s="1" t="str">
        <f>IF(C2833&lt;'Investment Calculator'!$C$8*'Investment Calculator'!$F$4,'SIP Schedule'!C2833+1,"")</f>
        <v/>
      </c>
      <c r="D2834" s="27" t="str">
        <f>IF(C2834&lt;='Investment Calculator'!$C$8*'Investment Calculator'!$F$4,'Investment Calculator'!$C$6,"")</f>
        <v/>
      </c>
      <c r="E2834" s="27" t="str">
        <f>IFERROR((F2833+D2834)*'Investment Calculator'!$C$7/'Investment Calculator'!$F$4,"")</f>
        <v/>
      </c>
      <c r="F2834" s="27" t="str">
        <f>IFERROR(ABS(FV('Investment Calculator'!$C$7/'Investment Calculator'!$F$4,'SIP Schedule'!C2834,'SIP Schedule'!D2834,,1)),"")</f>
        <v/>
      </c>
    </row>
    <row r="2835" spans="3:6" x14ac:dyDescent="0.3">
      <c r="C2835" s="1" t="str">
        <f>IF(C2834&lt;'Investment Calculator'!$C$8*'Investment Calculator'!$F$4,'SIP Schedule'!C2834+1,"")</f>
        <v/>
      </c>
      <c r="D2835" s="27" t="str">
        <f>IF(C2835&lt;='Investment Calculator'!$C$8*'Investment Calculator'!$F$4,'Investment Calculator'!$C$6,"")</f>
        <v/>
      </c>
      <c r="E2835" s="27" t="str">
        <f>IFERROR((F2834+D2835)*'Investment Calculator'!$C$7/'Investment Calculator'!$F$4,"")</f>
        <v/>
      </c>
      <c r="F2835" s="27" t="str">
        <f>IFERROR(ABS(FV('Investment Calculator'!$C$7/'Investment Calculator'!$F$4,'SIP Schedule'!C2835,'SIP Schedule'!D2835,,1)),"")</f>
        <v/>
      </c>
    </row>
    <row r="2836" spans="3:6" x14ac:dyDescent="0.3">
      <c r="C2836" s="1" t="str">
        <f>IF(C2835&lt;'Investment Calculator'!$C$8*'Investment Calculator'!$F$4,'SIP Schedule'!C2835+1,"")</f>
        <v/>
      </c>
      <c r="D2836" s="27" t="str">
        <f>IF(C2836&lt;='Investment Calculator'!$C$8*'Investment Calculator'!$F$4,'Investment Calculator'!$C$6,"")</f>
        <v/>
      </c>
      <c r="E2836" s="27" t="str">
        <f>IFERROR((F2835+D2836)*'Investment Calculator'!$C$7/'Investment Calculator'!$F$4,"")</f>
        <v/>
      </c>
      <c r="F2836" s="27" t="str">
        <f>IFERROR(ABS(FV('Investment Calculator'!$C$7/'Investment Calculator'!$F$4,'SIP Schedule'!C2836,'SIP Schedule'!D2836,,1)),"")</f>
        <v/>
      </c>
    </row>
    <row r="2837" spans="3:6" x14ac:dyDescent="0.3">
      <c r="C2837" s="1" t="str">
        <f>IF(C2836&lt;'Investment Calculator'!$C$8*'Investment Calculator'!$F$4,'SIP Schedule'!C2836+1,"")</f>
        <v/>
      </c>
      <c r="D2837" s="27" t="str">
        <f>IF(C2837&lt;='Investment Calculator'!$C$8*'Investment Calculator'!$F$4,'Investment Calculator'!$C$6,"")</f>
        <v/>
      </c>
      <c r="E2837" s="27" t="str">
        <f>IFERROR((F2836+D2837)*'Investment Calculator'!$C$7/'Investment Calculator'!$F$4,"")</f>
        <v/>
      </c>
      <c r="F2837" s="27" t="str">
        <f>IFERROR(ABS(FV('Investment Calculator'!$C$7/'Investment Calculator'!$F$4,'SIP Schedule'!C2837,'SIP Schedule'!D2837,,1)),"")</f>
        <v/>
      </c>
    </row>
    <row r="2838" spans="3:6" x14ac:dyDescent="0.3">
      <c r="C2838" s="1" t="str">
        <f>IF(C2837&lt;'Investment Calculator'!$C$8*'Investment Calculator'!$F$4,'SIP Schedule'!C2837+1,"")</f>
        <v/>
      </c>
      <c r="D2838" s="27" t="str">
        <f>IF(C2838&lt;='Investment Calculator'!$C$8*'Investment Calculator'!$F$4,'Investment Calculator'!$C$6,"")</f>
        <v/>
      </c>
      <c r="E2838" s="27" t="str">
        <f>IFERROR((F2837+D2838)*'Investment Calculator'!$C$7/'Investment Calculator'!$F$4,"")</f>
        <v/>
      </c>
      <c r="F2838" s="27" t="str">
        <f>IFERROR(ABS(FV('Investment Calculator'!$C$7/'Investment Calculator'!$F$4,'SIP Schedule'!C2838,'SIP Schedule'!D2838,,1)),"")</f>
        <v/>
      </c>
    </row>
    <row r="2839" spans="3:6" x14ac:dyDescent="0.3">
      <c r="C2839" s="1" t="str">
        <f>IF(C2838&lt;'Investment Calculator'!$C$8*'Investment Calculator'!$F$4,'SIP Schedule'!C2838+1,"")</f>
        <v/>
      </c>
      <c r="D2839" s="27" t="str">
        <f>IF(C2839&lt;='Investment Calculator'!$C$8*'Investment Calculator'!$F$4,'Investment Calculator'!$C$6,"")</f>
        <v/>
      </c>
      <c r="E2839" s="27" t="str">
        <f>IFERROR((F2838+D2839)*'Investment Calculator'!$C$7/'Investment Calculator'!$F$4,"")</f>
        <v/>
      </c>
      <c r="F2839" s="27" t="str">
        <f>IFERROR(ABS(FV('Investment Calculator'!$C$7/'Investment Calculator'!$F$4,'SIP Schedule'!C2839,'SIP Schedule'!D2839,,1)),"")</f>
        <v/>
      </c>
    </row>
    <row r="2840" spans="3:6" x14ac:dyDescent="0.3">
      <c r="C2840" s="1" t="str">
        <f>IF(C2839&lt;'Investment Calculator'!$C$8*'Investment Calculator'!$F$4,'SIP Schedule'!C2839+1,"")</f>
        <v/>
      </c>
      <c r="D2840" s="27" t="str">
        <f>IF(C2840&lt;='Investment Calculator'!$C$8*'Investment Calculator'!$F$4,'Investment Calculator'!$C$6,"")</f>
        <v/>
      </c>
      <c r="E2840" s="27" t="str">
        <f>IFERROR((F2839+D2840)*'Investment Calculator'!$C$7/'Investment Calculator'!$F$4,"")</f>
        <v/>
      </c>
      <c r="F2840" s="27" t="str">
        <f>IFERROR(ABS(FV('Investment Calculator'!$C$7/'Investment Calculator'!$F$4,'SIP Schedule'!C2840,'SIP Schedule'!D2840,,1)),"")</f>
        <v/>
      </c>
    </row>
    <row r="2841" spans="3:6" x14ac:dyDescent="0.3">
      <c r="C2841" s="1" t="str">
        <f>IF(C2840&lt;'Investment Calculator'!$C$8*'Investment Calculator'!$F$4,'SIP Schedule'!C2840+1,"")</f>
        <v/>
      </c>
      <c r="D2841" s="27" t="str">
        <f>IF(C2841&lt;='Investment Calculator'!$C$8*'Investment Calculator'!$F$4,'Investment Calculator'!$C$6,"")</f>
        <v/>
      </c>
      <c r="E2841" s="27" t="str">
        <f>IFERROR((F2840+D2841)*'Investment Calculator'!$C$7/'Investment Calculator'!$F$4,"")</f>
        <v/>
      </c>
      <c r="F2841" s="27" t="str">
        <f>IFERROR(ABS(FV('Investment Calculator'!$C$7/'Investment Calculator'!$F$4,'SIP Schedule'!C2841,'SIP Schedule'!D2841,,1)),"")</f>
        <v/>
      </c>
    </row>
    <row r="2842" spans="3:6" x14ac:dyDescent="0.3">
      <c r="C2842" s="1" t="str">
        <f>IF(C2841&lt;'Investment Calculator'!$C$8*'Investment Calculator'!$F$4,'SIP Schedule'!C2841+1,"")</f>
        <v/>
      </c>
      <c r="D2842" s="27" t="str">
        <f>IF(C2842&lt;='Investment Calculator'!$C$8*'Investment Calculator'!$F$4,'Investment Calculator'!$C$6,"")</f>
        <v/>
      </c>
      <c r="E2842" s="27" t="str">
        <f>IFERROR((F2841+D2842)*'Investment Calculator'!$C$7/'Investment Calculator'!$F$4,"")</f>
        <v/>
      </c>
      <c r="F2842" s="27" t="str">
        <f>IFERROR(ABS(FV('Investment Calculator'!$C$7/'Investment Calculator'!$F$4,'SIP Schedule'!C2842,'SIP Schedule'!D2842,,1)),"")</f>
        <v/>
      </c>
    </row>
    <row r="2843" spans="3:6" x14ac:dyDescent="0.3">
      <c r="C2843" s="1" t="str">
        <f>IF(C2842&lt;'Investment Calculator'!$C$8*'Investment Calculator'!$F$4,'SIP Schedule'!C2842+1,"")</f>
        <v/>
      </c>
      <c r="D2843" s="27" t="str">
        <f>IF(C2843&lt;='Investment Calculator'!$C$8*'Investment Calculator'!$F$4,'Investment Calculator'!$C$6,"")</f>
        <v/>
      </c>
      <c r="E2843" s="27" t="str">
        <f>IFERROR((F2842+D2843)*'Investment Calculator'!$C$7/'Investment Calculator'!$F$4,"")</f>
        <v/>
      </c>
      <c r="F2843" s="27" t="str">
        <f>IFERROR(ABS(FV('Investment Calculator'!$C$7/'Investment Calculator'!$F$4,'SIP Schedule'!C2843,'SIP Schedule'!D2843,,1)),"")</f>
        <v/>
      </c>
    </row>
    <row r="2844" spans="3:6" x14ac:dyDescent="0.3">
      <c r="C2844" s="1" t="str">
        <f>IF(C2843&lt;'Investment Calculator'!$C$8*'Investment Calculator'!$F$4,'SIP Schedule'!C2843+1,"")</f>
        <v/>
      </c>
      <c r="D2844" s="27" t="str">
        <f>IF(C2844&lt;='Investment Calculator'!$C$8*'Investment Calculator'!$F$4,'Investment Calculator'!$C$6,"")</f>
        <v/>
      </c>
      <c r="E2844" s="27" t="str">
        <f>IFERROR((F2843+D2844)*'Investment Calculator'!$C$7/'Investment Calculator'!$F$4,"")</f>
        <v/>
      </c>
      <c r="F2844" s="27" t="str">
        <f>IFERROR(ABS(FV('Investment Calculator'!$C$7/'Investment Calculator'!$F$4,'SIP Schedule'!C2844,'SIP Schedule'!D2844,,1)),"")</f>
        <v/>
      </c>
    </row>
    <row r="2845" spans="3:6" x14ac:dyDescent="0.3">
      <c r="C2845" s="1" t="str">
        <f>IF(C2844&lt;'Investment Calculator'!$C$8*'Investment Calculator'!$F$4,'SIP Schedule'!C2844+1,"")</f>
        <v/>
      </c>
      <c r="D2845" s="27" t="str">
        <f>IF(C2845&lt;='Investment Calculator'!$C$8*'Investment Calculator'!$F$4,'Investment Calculator'!$C$6,"")</f>
        <v/>
      </c>
      <c r="E2845" s="27" t="str">
        <f>IFERROR((F2844+D2845)*'Investment Calculator'!$C$7/'Investment Calculator'!$F$4,"")</f>
        <v/>
      </c>
      <c r="F2845" s="27" t="str">
        <f>IFERROR(ABS(FV('Investment Calculator'!$C$7/'Investment Calculator'!$F$4,'SIP Schedule'!C2845,'SIP Schedule'!D2845,,1)),"")</f>
        <v/>
      </c>
    </row>
    <row r="2846" spans="3:6" x14ac:dyDescent="0.3">
      <c r="C2846" s="1" t="str">
        <f>IF(C2845&lt;'Investment Calculator'!$C$8*'Investment Calculator'!$F$4,'SIP Schedule'!C2845+1,"")</f>
        <v/>
      </c>
      <c r="D2846" s="27" t="str">
        <f>IF(C2846&lt;='Investment Calculator'!$C$8*'Investment Calculator'!$F$4,'Investment Calculator'!$C$6,"")</f>
        <v/>
      </c>
      <c r="E2846" s="27" t="str">
        <f>IFERROR((F2845+D2846)*'Investment Calculator'!$C$7/'Investment Calculator'!$F$4,"")</f>
        <v/>
      </c>
      <c r="F2846" s="27" t="str">
        <f>IFERROR(ABS(FV('Investment Calculator'!$C$7/'Investment Calculator'!$F$4,'SIP Schedule'!C2846,'SIP Schedule'!D2846,,1)),"")</f>
        <v/>
      </c>
    </row>
    <row r="2847" spans="3:6" x14ac:dyDescent="0.3">
      <c r="C2847" s="1" t="str">
        <f>IF(C2846&lt;'Investment Calculator'!$C$8*'Investment Calculator'!$F$4,'SIP Schedule'!C2846+1,"")</f>
        <v/>
      </c>
      <c r="D2847" s="27" t="str">
        <f>IF(C2847&lt;='Investment Calculator'!$C$8*'Investment Calculator'!$F$4,'Investment Calculator'!$C$6,"")</f>
        <v/>
      </c>
      <c r="E2847" s="27" t="str">
        <f>IFERROR((F2846+D2847)*'Investment Calculator'!$C$7/'Investment Calculator'!$F$4,"")</f>
        <v/>
      </c>
      <c r="F2847" s="27" t="str">
        <f>IFERROR(ABS(FV('Investment Calculator'!$C$7/'Investment Calculator'!$F$4,'SIP Schedule'!C2847,'SIP Schedule'!D2847,,1)),"")</f>
        <v/>
      </c>
    </row>
    <row r="2848" spans="3:6" x14ac:dyDescent="0.3">
      <c r="C2848" s="1" t="str">
        <f>IF(C2847&lt;'Investment Calculator'!$C$8*'Investment Calculator'!$F$4,'SIP Schedule'!C2847+1,"")</f>
        <v/>
      </c>
      <c r="D2848" s="27" t="str">
        <f>IF(C2848&lt;='Investment Calculator'!$C$8*'Investment Calculator'!$F$4,'Investment Calculator'!$C$6,"")</f>
        <v/>
      </c>
      <c r="E2848" s="27" t="str">
        <f>IFERROR((F2847+D2848)*'Investment Calculator'!$C$7/'Investment Calculator'!$F$4,"")</f>
        <v/>
      </c>
      <c r="F2848" s="27" t="str">
        <f>IFERROR(ABS(FV('Investment Calculator'!$C$7/'Investment Calculator'!$F$4,'SIP Schedule'!C2848,'SIP Schedule'!D2848,,1)),"")</f>
        <v/>
      </c>
    </row>
    <row r="2849" spans="3:6" x14ac:dyDescent="0.3">
      <c r="C2849" s="1" t="str">
        <f>IF(C2848&lt;'Investment Calculator'!$C$8*'Investment Calculator'!$F$4,'SIP Schedule'!C2848+1,"")</f>
        <v/>
      </c>
      <c r="D2849" s="27" t="str">
        <f>IF(C2849&lt;='Investment Calculator'!$C$8*'Investment Calculator'!$F$4,'Investment Calculator'!$C$6,"")</f>
        <v/>
      </c>
      <c r="E2849" s="27" t="str">
        <f>IFERROR((F2848+D2849)*'Investment Calculator'!$C$7/'Investment Calculator'!$F$4,"")</f>
        <v/>
      </c>
      <c r="F2849" s="27" t="str">
        <f>IFERROR(ABS(FV('Investment Calculator'!$C$7/'Investment Calculator'!$F$4,'SIP Schedule'!C2849,'SIP Schedule'!D2849,,1)),"")</f>
        <v/>
      </c>
    </row>
    <row r="2850" spans="3:6" x14ac:dyDescent="0.3">
      <c r="C2850" s="1" t="str">
        <f>IF(C2849&lt;'Investment Calculator'!$C$8*'Investment Calculator'!$F$4,'SIP Schedule'!C2849+1,"")</f>
        <v/>
      </c>
      <c r="D2850" s="27" t="str">
        <f>IF(C2850&lt;='Investment Calculator'!$C$8*'Investment Calculator'!$F$4,'Investment Calculator'!$C$6,"")</f>
        <v/>
      </c>
      <c r="E2850" s="27" t="str">
        <f>IFERROR((F2849+D2850)*'Investment Calculator'!$C$7/'Investment Calculator'!$F$4,"")</f>
        <v/>
      </c>
      <c r="F2850" s="27" t="str">
        <f>IFERROR(ABS(FV('Investment Calculator'!$C$7/'Investment Calculator'!$F$4,'SIP Schedule'!C2850,'SIP Schedule'!D2850,,1)),"")</f>
        <v/>
      </c>
    </row>
    <row r="2851" spans="3:6" x14ac:dyDescent="0.3">
      <c r="C2851" s="1" t="str">
        <f>IF(C2850&lt;'Investment Calculator'!$C$8*'Investment Calculator'!$F$4,'SIP Schedule'!C2850+1,"")</f>
        <v/>
      </c>
      <c r="D2851" s="27" t="str">
        <f>IF(C2851&lt;='Investment Calculator'!$C$8*'Investment Calculator'!$F$4,'Investment Calculator'!$C$6,"")</f>
        <v/>
      </c>
      <c r="E2851" s="27" t="str">
        <f>IFERROR((F2850+D2851)*'Investment Calculator'!$C$7/'Investment Calculator'!$F$4,"")</f>
        <v/>
      </c>
      <c r="F2851" s="27" t="str">
        <f>IFERROR(ABS(FV('Investment Calculator'!$C$7/'Investment Calculator'!$F$4,'SIP Schedule'!C2851,'SIP Schedule'!D2851,,1)),"")</f>
        <v/>
      </c>
    </row>
    <row r="2852" spans="3:6" x14ac:dyDescent="0.3">
      <c r="C2852" s="1" t="str">
        <f>IF(C2851&lt;'Investment Calculator'!$C$8*'Investment Calculator'!$F$4,'SIP Schedule'!C2851+1,"")</f>
        <v/>
      </c>
      <c r="D2852" s="27" t="str">
        <f>IF(C2852&lt;='Investment Calculator'!$C$8*'Investment Calculator'!$F$4,'Investment Calculator'!$C$6,"")</f>
        <v/>
      </c>
      <c r="E2852" s="27" t="str">
        <f>IFERROR((F2851+D2852)*'Investment Calculator'!$C$7/'Investment Calculator'!$F$4,"")</f>
        <v/>
      </c>
      <c r="F2852" s="27" t="str">
        <f>IFERROR(ABS(FV('Investment Calculator'!$C$7/'Investment Calculator'!$F$4,'SIP Schedule'!C2852,'SIP Schedule'!D2852,,1)),"")</f>
        <v/>
      </c>
    </row>
    <row r="2853" spans="3:6" x14ac:dyDescent="0.3">
      <c r="C2853" s="1" t="str">
        <f>IF(C2852&lt;'Investment Calculator'!$C$8*'Investment Calculator'!$F$4,'SIP Schedule'!C2852+1,"")</f>
        <v/>
      </c>
      <c r="D2853" s="27" t="str">
        <f>IF(C2853&lt;='Investment Calculator'!$C$8*'Investment Calculator'!$F$4,'Investment Calculator'!$C$6,"")</f>
        <v/>
      </c>
      <c r="E2853" s="27" t="str">
        <f>IFERROR((F2852+D2853)*'Investment Calculator'!$C$7/'Investment Calculator'!$F$4,"")</f>
        <v/>
      </c>
      <c r="F2853" s="27" t="str">
        <f>IFERROR(ABS(FV('Investment Calculator'!$C$7/'Investment Calculator'!$F$4,'SIP Schedule'!C2853,'SIP Schedule'!D2853,,1)),"")</f>
        <v/>
      </c>
    </row>
    <row r="2854" spans="3:6" x14ac:dyDescent="0.3">
      <c r="C2854" s="1" t="str">
        <f>IF(C2853&lt;'Investment Calculator'!$C$8*'Investment Calculator'!$F$4,'SIP Schedule'!C2853+1,"")</f>
        <v/>
      </c>
      <c r="D2854" s="27" t="str">
        <f>IF(C2854&lt;='Investment Calculator'!$C$8*'Investment Calculator'!$F$4,'Investment Calculator'!$C$6,"")</f>
        <v/>
      </c>
      <c r="E2854" s="27" t="str">
        <f>IFERROR((F2853+D2854)*'Investment Calculator'!$C$7/'Investment Calculator'!$F$4,"")</f>
        <v/>
      </c>
      <c r="F2854" s="27" t="str">
        <f>IFERROR(ABS(FV('Investment Calculator'!$C$7/'Investment Calculator'!$F$4,'SIP Schedule'!C2854,'SIP Schedule'!D2854,,1)),"")</f>
        <v/>
      </c>
    </row>
    <row r="2855" spans="3:6" x14ac:dyDescent="0.3">
      <c r="C2855" s="1" t="str">
        <f>IF(C2854&lt;'Investment Calculator'!$C$8*'Investment Calculator'!$F$4,'SIP Schedule'!C2854+1,"")</f>
        <v/>
      </c>
      <c r="D2855" s="27" t="str">
        <f>IF(C2855&lt;='Investment Calculator'!$C$8*'Investment Calculator'!$F$4,'Investment Calculator'!$C$6,"")</f>
        <v/>
      </c>
      <c r="E2855" s="27" t="str">
        <f>IFERROR((F2854+D2855)*'Investment Calculator'!$C$7/'Investment Calculator'!$F$4,"")</f>
        <v/>
      </c>
      <c r="F2855" s="27" t="str">
        <f>IFERROR(ABS(FV('Investment Calculator'!$C$7/'Investment Calculator'!$F$4,'SIP Schedule'!C2855,'SIP Schedule'!D2855,,1)),"")</f>
        <v/>
      </c>
    </row>
    <row r="2856" spans="3:6" x14ac:dyDescent="0.3">
      <c r="C2856" s="1" t="str">
        <f>IF(C2855&lt;'Investment Calculator'!$C$8*'Investment Calculator'!$F$4,'SIP Schedule'!C2855+1,"")</f>
        <v/>
      </c>
      <c r="D2856" s="27" t="str">
        <f>IF(C2856&lt;='Investment Calculator'!$C$8*'Investment Calculator'!$F$4,'Investment Calculator'!$C$6,"")</f>
        <v/>
      </c>
      <c r="E2856" s="27" t="str">
        <f>IFERROR((F2855+D2856)*'Investment Calculator'!$C$7/'Investment Calculator'!$F$4,"")</f>
        <v/>
      </c>
      <c r="F2856" s="27" t="str">
        <f>IFERROR(ABS(FV('Investment Calculator'!$C$7/'Investment Calculator'!$F$4,'SIP Schedule'!C2856,'SIP Schedule'!D2856,,1)),"")</f>
        <v/>
      </c>
    </row>
    <row r="2857" spans="3:6" x14ac:dyDescent="0.3">
      <c r="C2857" s="1" t="str">
        <f>IF(C2856&lt;'Investment Calculator'!$C$8*'Investment Calculator'!$F$4,'SIP Schedule'!C2856+1,"")</f>
        <v/>
      </c>
      <c r="D2857" s="27" t="str">
        <f>IF(C2857&lt;='Investment Calculator'!$C$8*'Investment Calculator'!$F$4,'Investment Calculator'!$C$6,"")</f>
        <v/>
      </c>
      <c r="E2857" s="27" t="str">
        <f>IFERROR((F2856+D2857)*'Investment Calculator'!$C$7/'Investment Calculator'!$F$4,"")</f>
        <v/>
      </c>
      <c r="F2857" s="27" t="str">
        <f>IFERROR(ABS(FV('Investment Calculator'!$C$7/'Investment Calculator'!$F$4,'SIP Schedule'!C2857,'SIP Schedule'!D2857,,1)),"")</f>
        <v/>
      </c>
    </row>
    <row r="2858" spans="3:6" x14ac:dyDescent="0.3">
      <c r="C2858" s="1" t="str">
        <f>IF(C2857&lt;'Investment Calculator'!$C$8*'Investment Calculator'!$F$4,'SIP Schedule'!C2857+1,"")</f>
        <v/>
      </c>
      <c r="D2858" s="27" t="str">
        <f>IF(C2858&lt;='Investment Calculator'!$C$8*'Investment Calculator'!$F$4,'Investment Calculator'!$C$6,"")</f>
        <v/>
      </c>
      <c r="E2858" s="27" t="str">
        <f>IFERROR((F2857+D2858)*'Investment Calculator'!$C$7/'Investment Calculator'!$F$4,"")</f>
        <v/>
      </c>
      <c r="F2858" s="27" t="str">
        <f>IFERROR(ABS(FV('Investment Calculator'!$C$7/'Investment Calculator'!$F$4,'SIP Schedule'!C2858,'SIP Schedule'!D2858,,1)),"")</f>
        <v/>
      </c>
    </row>
    <row r="2859" spans="3:6" x14ac:dyDescent="0.3">
      <c r="C2859" s="1" t="str">
        <f>IF(C2858&lt;'Investment Calculator'!$C$8*'Investment Calculator'!$F$4,'SIP Schedule'!C2858+1,"")</f>
        <v/>
      </c>
      <c r="D2859" s="27" t="str">
        <f>IF(C2859&lt;='Investment Calculator'!$C$8*'Investment Calculator'!$F$4,'Investment Calculator'!$C$6,"")</f>
        <v/>
      </c>
      <c r="E2859" s="27" t="str">
        <f>IFERROR((F2858+D2859)*'Investment Calculator'!$C$7/'Investment Calculator'!$F$4,"")</f>
        <v/>
      </c>
      <c r="F2859" s="27" t="str">
        <f>IFERROR(ABS(FV('Investment Calculator'!$C$7/'Investment Calculator'!$F$4,'SIP Schedule'!C2859,'SIP Schedule'!D2859,,1)),"")</f>
        <v/>
      </c>
    </row>
    <row r="2860" spans="3:6" x14ac:dyDescent="0.3">
      <c r="C2860" s="1" t="str">
        <f>IF(C2859&lt;'Investment Calculator'!$C$8*'Investment Calculator'!$F$4,'SIP Schedule'!C2859+1,"")</f>
        <v/>
      </c>
      <c r="D2860" s="27" t="str">
        <f>IF(C2860&lt;='Investment Calculator'!$C$8*'Investment Calculator'!$F$4,'Investment Calculator'!$C$6,"")</f>
        <v/>
      </c>
      <c r="E2860" s="27" t="str">
        <f>IFERROR((F2859+D2860)*'Investment Calculator'!$C$7/'Investment Calculator'!$F$4,"")</f>
        <v/>
      </c>
      <c r="F2860" s="27" t="str">
        <f>IFERROR(ABS(FV('Investment Calculator'!$C$7/'Investment Calculator'!$F$4,'SIP Schedule'!C2860,'SIP Schedule'!D2860,,1)),"")</f>
        <v/>
      </c>
    </row>
    <row r="2861" spans="3:6" x14ac:dyDescent="0.3">
      <c r="C2861" s="1" t="str">
        <f>IF(C2860&lt;'Investment Calculator'!$C$8*'Investment Calculator'!$F$4,'SIP Schedule'!C2860+1,"")</f>
        <v/>
      </c>
      <c r="D2861" s="27" t="str">
        <f>IF(C2861&lt;='Investment Calculator'!$C$8*'Investment Calculator'!$F$4,'Investment Calculator'!$C$6,"")</f>
        <v/>
      </c>
      <c r="E2861" s="27" t="str">
        <f>IFERROR((F2860+D2861)*'Investment Calculator'!$C$7/'Investment Calculator'!$F$4,"")</f>
        <v/>
      </c>
      <c r="F2861" s="27" t="str">
        <f>IFERROR(ABS(FV('Investment Calculator'!$C$7/'Investment Calculator'!$F$4,'SIP Schedule'!C2861,'SIP Schedule'!D2861,,1)),"")</f>
        <v/>
      </c>
    </row>
    <row r="2862" spans="3:6" x14ac:dyDescent="0.3">
      <c r="C2862" s="1" t="str">
        <f>IF(C2861&lt;'Investment Calculator'!$C$8*'Investment Calculator'!$F$4,'SIP Schedule'!C2861+1,"")</f>
        <v/>
      </c>
      <c r="D2862" s="27" t="str">
        <f>IF(C2862&lt;='Investment Calculator'!$C$8*'Investment Calculator'!$F$4,'Investment Calculator'!$C$6,"")</f>
        <v/>
      </c>
      <c r="E2862" s="27" t="str">
        <f>IFERROR((F2861+D2862)*'Investment Calculator'!$C$7/'Investment Calculator'!$F$4,"")</f>
        <v/>
      </c>
      <c r="F2862" s="27" t="str">
        <f>IFERROR(ABS(FV('Investment Calculator'!$C$7/'Investment Calculator'!$F$4,'SIP Schedule'!C2862,'SIP Schedule'!D2862,,1)),"")</f>
        <v/>
      </c>
    </row>
    <row r="2863" spans="3:6" x14ac:dyDescent="0.3">
      <c r="C2863" s="1" t="str">
        <f>IF(C2862&lt;'Investment Calculator'!$C$8*'Investment Calculator'!$F$4,'SIP Schedule'!C2862+1,"")</f>
        <v/>
      </c>
      <c r="D2863" s="27" t="str">
        <f>IF(C2863&lt;='Investment Calculator'!$C$8*'Investment Calculator'!$F$4,'Investment Calculator'!$C$6,"")</f>
        <v/>
      </c>
      <c r="E2863" s="27" t="str">
        <f>IFERROR((F2862+D2863)*'Investment Calculator'!$C$7/'Investment Calculator'!$F$4,"")</f>
        <v/>
      </c>
      <c r="F2863" s="27" t="str">
        <f>IFERROR(ABS(FV('Investment Calculator'!$C$7/'Investment Calculator'!$F$4,'SIP Schedule'!C2863,'SIP Schedule'!D2863,,1)),"")</f>
        <v/>
      </c>
    </row>
    <row r="2864" spans="3:6" x14ac:dyDescent="0.3">
      <c r="C2864" s="1" t="str">
        <f>IF(C2863&lt;'Investment Calculator'!$C$8*'Investment Calculator'!$F$4,'SIP Schedule'!C2863+1,"")</f>
        <v/>
      </c>
      <c r="D2864" s="27" t="str">
        <f>IF(C2864&lt;='Investment Calculator'!$C$8*'Investment Calculator'!$F$4,'Investment Calculator'!$C$6,"")</f>
        <v/>
      </c>
      <c r="E2864" s="27" t="str">
        <f>IFERROR((F2863+D2864)*'Investment Calculator'!$C$7/'Investment Calculator'!$F$4,"")</f>
        <v/>
      </c>
      <c r="F2864" s="27" t="str">
        <f>IFERROR(ABS(FV('Investment Calculator'!$C$7/'Investment Calculator'!$F$4,'SIP Schedule'!C2864,'SIP Schedule'!D2864,,1)),"")</f>
        <v/>
      </c>
    </row>
    <row r="2865" spans="3:6" x14ac:dyDescent="0.3">
      <c r="C2865" s="1" t="str">
        <f>IF(C2864&lt;'Investment Calculator'!$C$8*'Investment Calculator'!$F$4,'SIP Schedule'!C2864+1,"")</f>
        <v/>
      </c>
      <c r="D2865" s="27" t="str">
        <f>IF(C2865&lt;='Investment Calculator'!$C$8*'Investment Calculator'!$F$4,'Investment Calculator'!$C$6,"")</f>
        <v/>
      </c>
      <c r="E2865" s="27" t="str">
        <f>IFERROR((F2864+D2865)*'Investment Calculator'!$C$7/'Investment Calculator'!$F$4,"")</f>
        <v/>
      </c>
      <c r="F2865" s="27" t="str">
        <f>IFERROR(ABS(FV('Investment Calculator'!$C$7/'Investment Calculator'!$F$4,'SIP Schedule'!C2865,'SIP Schedule'!D2865,,1)),"")</f>
        <v/>
      </c>
    </row>
    <row r="2866" spans="3:6" x14ac:dyDescent="0.3">
      <c r="C2866" s="1" t="str">
        <f>IF(C2865&lt;'Investment Calculator'!$C$8*'Investment Calculator'!$F$4,'SIP Schedule'!C2865+1,"")</f>
        <v/>
      </c>
      <c r="D2866" s="27" t="str">
        <f>IF(C2866&lt;='Investment Calculator'!$C$8*'Investment Calculator'!$F$4,'Investment Calculator'!$C$6,"")</f>
        <v/>
      </c>
      <c r="E2866" s="27" t="str">
        <f>IFERROR((F2865+D2866)*'Investment Calculator'!$C$7/'Investment Calculator'!$F$4,"")</f>
        <v/>
      </c>
      <c r="F2866" s="27" t="str">
        <f>IFERROR(ABS(FV('Investment Calculator'!$C$7/'Investment Calculator'!$F$4,'SIP Schedule'!C2866,'SIP Schedule'!D2866,,1)),"")</f>
        <v/>
      </c>
    </row>
    <row r="2867" spans="3:6" x14ac:dyDescent="0.3">
      <c r="C2867" s="1" t="str">
        <f>IF(C2866&lt;'Investment Calculator'!$C$8*'Investment Calculator'!$F$4,'SIP Schedule'!C2866+1,"")</f>
        <v/>
      </c>
      <c r="D2867" s="27" t="str">
        <f>IF(C2867&lt;='Investment Calculator'!$C$8*'Investment Calculator'!$F$4,'Investment Calculator'!$C$6,"")</f>
        <v/>
      </c>
      <c r="E2867" s="27" t="str">
        <f>IFERROR((F2866+D2867)*'Investment Calculator'!$C$7/'Investment Calculator'!$F$4,"")</f>
        <v/>
      </c>
      <c r="F2867" s="27" t="str">
        <f>IFERROR(ABS(FV('Investment Calculator'!$C$7/'Investment Calculator'!$F$4,'SIP Schedule'!C2867,'SIP Schedule'!D2867,,1)),"")</f>
        <v/>
      </c>
    </row>
    <row r="2868" spans="3:6" x14ac:dyDescent="0.3">
      <c r="C2868" s="1" t="str">
        <f>IF(C2867&lt;'Investment Calculator'!$C$8*'Investment Calculator'!$F$4,'SIP Schedule'!C2867+1,"")</f>
        <v/>
      </c>
      <c r="D2868" s="27" t="str">
        <f>IF(C2868&lt;='Investment Calculator'!$C$8*'Investment Calculator'!$F$4,'Investment Calculator'!$C$6,"")</f>
        <v/>
      </c>
      <c r="E2868" s="27" t="str">
        <f>IFERROR((F2867+D2868)*'Investment Calculator'!$C$7/'Investment Calculator'!$F$4,"")</f>
        <v/>
      </c>
      <c r="F2868" s="27" t="str">
        <f>IFERROR(ABS(FV('Investment Calculator'!$C$7/'Investment Calculator'!$F$4,'SIP Schedule'!C2868,'SIP Schedule'!D2868,,1)),"")</f>
        <v/>
      </c>
    </row>
    <row r="2869" spans="3:6" x14ac:dyDescent="0.3">
      <c r="C2869" s="1" t="str">
        <f>IF(C2868&lt;'Investment Calculator'!$C$8*'Investment Calculator'!$F$4,'SIP Schedule'!C2868+1,"")</f>
        <v/>
      </c>
      <c r="D2869" s="27" t="str">
        <f>IF(C2869&lt;='Investment Calculator'!$C$8*'Investment Calculator'!$F$4,'Investment Calculator'!$C$6,"")</f>
        <v/>
      </c>
      <c r="E2869" s="27" t="str">
        <f>IFERROR((F2868+D2869)*'Investment Calculator'!$C$7/'Investment Calculator'!$F$4,"")</f>
        <v/>
      </c>
      <c r="F2869" s="27" t="str">
        <f>IFERROR(ABS(FV('Investment Calculator'!$C$7/'Investment Calculator'!$F$4,'SIP Schedule'!C2869,'SIP Schedule'!D2869,,1)),"")</f>
        <v/>
      </c>
    </row>
    <row r="2870" spans="3:6" x14ac:dyDescent="0.3">
      <c r="C2870" s="1" t="str">
        <f>IF(C2869&lt;'Investment Calculator'!$C$8*'Investment Calculator'!$F$4,'SIP Schedule'!C2869+1,"")</f>
        <v/>
      </c>
      <c r="D2870" s="27" t="str">
        <f>IF(C2870&lt;='Investment Calculator'!$C$8*'Investment Calculator'!$F$4,'Investment Calculator'!$C$6,"")</f>
        <v/>
      </c>
      <c r="E2870" s="27" t="str">
        <f>IFERROR((F2869+D2870)*'Investment Calculator'!$C$7/'Investment Calculator'!$F$4,"")</f>
        <v/>
      </c>
      <c r="F2870" s="27" t="str">
        <f>IFERROR(ABS(FV('Investment Calculator'!$C$7/'Investment Calculator'!$F$4,'SIP Schedule'!C2870,'SIP Schedule'!D2870,,1)),"")</f>
        <v/>
      </c>
    </row>
    <row r="2871" spans="3:6" x14ac:dyDescent="0.3">
      <c r="C2871" s="1" t="str">
        <f>IF(C2870&lt;'Investment Calculator'!$C$8*'Investment Calculator'!$F$4,'SIP Schedule'!C2870+1,"")</f>
        <v/>
      </c>
      <c r="D2871" s="27" t="str">
        <f>IF(C2871&lt;='Investment Calculator'!$C$8*'Investment Calculator'!$F$4,'Investment Calculator'!$C$6,"")</f>
        <v/>
      </c>
      <c r="E2871" s="27" t="str">
        <f>IFERROR((F2870+D2871)*'Investment Calculator'!$C$7/'Investment Calculator'!$F$4,"")</f>
        <v/>
      </c>
      <c r="F2871" s="27" t="str">
        <f>IFERROR(ABS(FV('Investment Calculator'!$C$7/'Investment Calculator'!$F$4,'SIP Schedule'!C2871,'SIP Schedule'!D2871,,1)),"")</f>
        <v/>
      </c>
    </row>
    <row r="2872" spans="3:6" x14ac:dyDescent="0.3">
      <c r="C2872" s="1" t="str">
        <f>IF(C2871&lt;'Investment Calculator'!$C$8*'Investment Calculator'!$F$4,'SIP Schedule'!C2871+1,"")</f>
        <v/>
      </c>
      <c r="D2872" s="27" t="str">
        <f>IF(C2872&lt;='Investment Calculator'!$C$8*'Investment Calculator'!$F$4,'Investment Calculator'!$C$6,"")</f>
        <v/>
      </c>
      <c r="E2872" s="27" t="str">
        <f>IFERROR((F2871+D2872)*'Investment Calculator'!$C$7/'Investment Calculator'!$F$4,"")</f>
        <v/>
      </c>
      <c r="F2872" s="27" t="str">
        <f>IFERROR(ABS(FV('Investment Calculator'!$C$7/'Investment Calculator'!$F$4,'SIP Schedule'!C2872,'SIP Schedule'!D2872,,1)),"")</f>
        <v/>
      </c>
    </row>
    <row r="2873" spans="3:6" x14ac:dyDescent="0.3">
      <c r="C2873" s="1" t="str">
        <f>IF(C2872&lt;'Investment Calculator'!$C$8*'Investment Calculator'!$F$4,'SIP Schedule'!C2872+1,"")</f>
        <v/>
      </c>
      <c r="D2873" s="27" t="str">
        <f>IF(C2873&lt;='Investment Calculator'!$C$8*'Investment Calculator'!$F$4,'Investment Calculator'!$C$6,"")</f>
        <v/>
      </c>
      <c r="E2873" s="27" t="str">
        <f>IFERROR((F2872+D2873)*'Investment Calculator'!$C$7/'Investment Calculator'!$F$4,"")</f>
        <v/>
      </c>
      <c r="F2873" s="27" t="str">
        <f>IFERROR(ABS(FV('Investment Calculator'!$C$7/'Investment Calculator'!$F$4,'SIP Schedule'!C2873,'SIP Schedule'!D2873,,1)),"")</f>
        <v/>
      </c>
    </row>
    <row r="2874" spans="3:6" x14ac:dyDescent="0.3">
      <c r="C2874" s="1" t="str">
        <f>IF(C2873&lt;'Investment Calculator'!$C$8*'Investment Calculator'!$F$4,'SIP Schedule'!C2873+1,"")</f>
        <v/>
      </c>
      <c r="D2874" s="27" t="str">
        <f>IF(C2874&lt;='Investment Calculator'!$C$8*'Investment Calculator'!$F$4,'Investment Calculator'!$C$6,"")</f>
        <v/>
      </c>
      <c r="E2874" s="27" t="str">
        <f>IFERROR((F2873+D2874)*'Investment Calculator'!$C$7/'Investment Calculator'!$F$4,"")</f>
        <v/>
      </c>
      <c r="F2874" s="27" t="str">
        <f>IFERROR(ABS(FV('Investment Calculator'!$C$7/'Investment Calculator'!$F$4,'SIP Schedule'!C2874,'SIP Schedule'!D2874,,1)),"")</f>
        <v/>
      </c>
    </row>
    <row r="2875" spans="3:6" x14ac:dyDescent="0.3">
      <c r="C2875" s="1" t="str">
        <f>IF(C2874&lt;'Investment Calculator'!$C$8*'Investment Calculator'!$F$4,'SIP Schedule'!C2874+1,"")</f>
        <v/>
      </c>
      <c r="D2875" s="27" t="str">
        <f>IF(C2875&lt;='Investment Calculator'!$C$8*'Investment Calculator'!$F$4,'Investment Calculator'!$C$6,"")</f>
        <v/>
      </c>
      <c r="E2875" s="27" t="str">
        <f>IFERROR((F2874+D2875)*'Investment Calculator'!$C$7/'Investment Calculator'!$F$4,"")</f>
        <v/>
      </c>
      <c r="F2875" s="27" t="str">
        <f>IFERROR(ABS(FV('Investment Calculator'!$C$7/'Investment Calculator'!$F$4,'SIP Schedule'!C2875,'SIP Schedule'!D2875,,1)),"")</f>
        <v/>
      </c>
    </row>
    <row r="2876" spans="3:6" x14ac:dyDescent="0.3">
      <c r="C2876" s="1" t="str">
        <f>IF(C2875&lt;'Investment Calculator'!$C$8*'Investment Calculator'!$F$4,'SIP Schedule'!C2875+1,"")</f>
        <v/>
      </c>
      <c r="D2876" s="27" t="str">
        <f>IF(C2876&lt;='Investment Calculator'!$C$8*'Investment Calculator'!$F$4,'Investment Calculator'!$C$6,"")</f>
        <v/>
      </c>
      <c r="E2876" s="27" t="str">
        <f>IFERROR((F2875+D2876)*'Investment Calculator'!$C$7/'Investment Calculator'!$F$4,"")</f>
        <v/>
      </c>
      <c r="F2876" s="27" t="str">
        <f>IFERROR(ABS(FV('Investment Calculator'!$C$7/'Investment Calculator'!$F$4,'SIP Schedule'!C2876,'SIP Schedule'!D2876,,1)),"")</f>
        <v/>
      </c>
    </row>
    <row r="2877" spans="3:6" x14ac:dyDescent="0.3">
      <c r="C2877" s="1" t="str">
        <f>IF(C2876&lt;'Investment Calculator'!$C$8*'Investment Calculator'!$F$4,'SIP Schedule'!C2876+1,"")</f>
        <v/>
      </c>
      <c r="D2877" s="27" t="str">
        <f>IF(C2877&lt;='Investment Calculator'!$C$8*'Investment Calculator'!$F$4,'Investment Calculator'!$C$6,"")</f>
        <v/>
      </c>
      <c r="E2877" s="27" t="str">
        <f>IFERROR((F2876+D2877)*'Investment Calculator'!$C$7/'Investment Calculator'!$F$4,"")</f>
        <v/>
      </c>
      <c r="F2877" s="27" t="str">
        <f>IFERROR(ABS(FV('Investment Calculator'!$C$7/'Investment Calculator'!$F$4,'SIP Schedule'!C2877,'SIP Schedule'!D2877,,1)),"")</f>
        <v/>
      </c>
    </row>
    <row r="2878" spans="3:6" x14ac:dyDescent="0.3">
      <c r="C2878" s="1" t="str">
        <f>IF(C2877&lt;'Investment Calculator'!$C$8*'Investment Calculator'!$F$4,'SIP Schedule'!C2877+1,"")</f>
        <v/>
      </c>
      <c r="D2878" s="27" t="str">
        <f>IF(C2878&lt;='Investment Calculator'!$C$8*'Investment Calculator'!$F$4,'Investment Calculator'!$C$6,"")</f>
        <v/>
      </c>
      <c r="E2878" s="27" t="str">
        <f>IFERROR((F2877+D2878)*'Investment Calculator'!$C$7/'Investment Calculator'!$F$4,"")</f>
        <v/>
      </c>
      <c r="F2878" s="27" t="str">
        <f>IFERROR(ABS(FV('Investment Calculator'!$C$7/'Investment Calculator'!$F$4,'SIP Schedule'!C2878,'SIP Schedule'!D2878,,1)),"")</f>
        <v/>
      </c>
    </row>
    <row r="2879" spans="3:6" x14ac:dyDescent="0.3">
      <c r="C2879" s="1" t="str">
        <f>IF(C2878&lt;'Investment Calculator'!$C$8*'Investment Calculator'!$F$4,'SIP Schedule'!C2878+1,"")</f>
        <v/>
      </c>
      <c r="D2879" s="27" t="str">
        <f>IF(C2879&lt;='Investment Calculator'!$C$8*'Investment Calculator'!$F$4,'Investment Calculator'!$C$6,"")</f>
        <v/>
      </c>
      <c r="E2879" s="27" t="str">
        <f>IFERROR((F2878+D2879)*'Investment Calculator'!$C$7/'Investment Calculator'!$F$4,"")</f>
        <v/>
      </c>
      <c r="F2879" s="27" t="str">
        <f>IFERROR(ABS(FV('Investment Calculator'!$C$7/'Investment Calculator'!$F$4,'SIP Schedule'!C2879,'SIP Schedule'!D2879,,1)),"")</f>
        <v/>
      </c>
    </row>
    <row r="2880" spans="3:6" x14ac:dyDescent="0.3">
      <c r="C2880" s="1" t="str">
        <f>IF(C2879&lt;'Investment Calculator'!$C$8*'Investment Calculator'!$F$4,'SIP Schedule'!C2879+1,"")</f>
        <v/>
      </c>
      <c r="D2880" s="27" t="str">
        <f>IF(C2880&lt;='Investment Calculator'!$C$8*'Investment Calculator'!$F$4,'Investment Calculator'!$C$6,"")</f>
        <v/>
      </c>
      <c r="E2880" s="27" t="str">
        <f>IFERROR((F2879+D2880)*'Investment Calculator'!$C$7/'Investment Calculator'!$F$4,"")</f>
        <v/>
      </c>
      <c r="F2880" s="27" t="str">
        <f>IFERROR(ABS(FV('Investment Calculator'!$C$7/'Investment Calculator'!$F$4,'SIP Schedule'!C2880,'SIP Schedule'!D2880,,1)),"")</f>
        <v/>
      </c>
    </row>
    <row r="2881" spans="3:6" x14ac:dyDescent="0.3">
      <c r="C2881" s="1" t="str">
        <f>IF(C2880&lt;'Investment Calculator'!$C$8*'Investment Calculator'!$F$4,'SIP Schedule'!C2880+1,"")</f>
        <v/>
      </c>
      <c r="D2881" s="27" t="str">
        <f>IF(C2881&lt;='Investment Calculator'!$C$8*'Investment Calculator'!$F$4,'Investment Calculator'!$C$6,"")</f>
        <v/>
      </c>
      <c r="E2881" s="27" t="str">
        <f>IFERROR((F2880+D2881)*'Investment Calculator'!$C$7/'Investment Calculator'!$F$4,"")</f>
        <v/>
      </c>
      <c r="F2881" s="27" t="str">
        <f>IFERROR(ABS(FV('Investment Calculator'!$C$7/'Investment Calculator'!$F$4,'SIP Schedule'!C2881,'SIP Schedule'!D2881,,1)),"")</f>
        <v/>
      </c>
    </row>
    <row r="2882" spans="3:6" x14ac:dyDescent="0.3">
      <c r="C2882" s="1" t="str">
        <f>IF(C2881&lt;'Investment Calculator'!$C$8*'Investment Calculator'!$F$4,'SIP Schedule'!C2881+1,"")</f>
        <v/>
      </c>
      <c r="D2882" s="27" t="str">
        <f>IF(C2882&lt;='Investment Calculator'!$C$8*'Investment Calculator'!$F$4,'Investment Calculator'!$C$6,"")</f>
        <v/>
      </c>
      <c r="E2882" s="27" t="str">
        <f>IFERROR((F2881+D2882)*'Investment Calculator'!$C$7/'Investment Calculator'!$F$4,"")</f>
        <v/>
      </c>
      <c r="F2882" s="27" t="str">
        <f>IFERROR(ABS(FV('Investment Calculator'!$C$7/'Investment Calculator'!$F$4,'SIP Schedule'!C2882,'SIP Schedule'!D2882,,1)),"")</f>
        <v/>
      </c>
    </row>
    <row r="2883" spans="3:6" x14ac:dyDescent="0.3">
      <c r="C2883" s="1" t="str">
        <f>IF(C2882&lt;'Investment Calculator'!$C$8*'Investment Calculator'!$F$4,'SIP Schedule'!C2882+1,"")</f>
        <v/>
      </c>
      <c r="D2883" s="27" t="str">
        <f>IF(C2883&lt;='Investment Calculator'!$C$8*'Investment Calculator'!$F$4,'Investment Calculator'!$C$6,"")</f>
        <v/>
      </c>
      <c r="E2883" s="27" t="str">
        <f>IFERROR((F2882+D2883)*'Investment Calculator'!$C$7/'Investment Calculator'!$F$4,"")</f>
        <v/>
      </c>
      <c r="F2883" s="27" t="str">
        <f>IFERROR(ABS(FV('Investment Calculator'!$C$7/'Investment Calculator'!$F$4,'SIP Schedule'!C2883,'SIP Schedule'!D2883,,1)),"")</f>
        <v/>
      </c>
    </row>
    <row r="2884" spans="3:6" x14ac:dyDescent="0.3">
      <c r="C2884" s="1" t="str">
        <f>IF(C2883&lt;'Investment Calculator'!$C$8*'Investment Calculator'!$F$4,'SIP Schedule'!C2883+1,"")</f>
        <v/>
      </c>
      <c r="D2884" s="27" t="str">
        <f>IF(C2884&lt;='Investment Calculator'!$C$8*'Investment Calculator'!$F$4,'Investment Calculator'!$C$6,"")</f>
        <v/>
      </c>
      <c r="E2884" s="27" t="str">
        <f>IFERROR((F2883+D2884)*'Investment Calculator'!$C$7/'Investment Calculator'!$F$4,"")</f>
        <v/>
      </c>
      <c r="F2884" s="27" t="str">
        <f>IFERROR(ABS(FV('Investment Calculator'!$C$7/'Investment Calculator'!$F$4,'SIP Schedule'!C2884,'SIP Schedule'!D2884,,1)),"")</f>
        <v/>
      </c>
    </row>
    <row r="2885" spans="3:6" x14ac:dyDescent="0.3">
      <c r="C2885" s="1" t="str">
        <f>IF(C2884&lt;'Investment Calculator'!$C$8*'Investment Calculator'!$F$4,'SIP Schedule'!C2884+1,"")</f>
        <v/>
      </c>
      <c r="D2885" s="27" t="str">
        <f>IF(C2885&lt;='Investment Calculator'!$C$8*'Investment Calculator'!$F$4,'Investment Calculator'!$C$6,"")</f>
        <v/>
      </c>
      <c r="E2885" s="27" t="str">
        <f>IFERROR((F2884+D2885)*'Investment Calculator'!$C$7/'Investment Calculator'!$F$4,"")</f>
        <v/>
      </c>
      <c r="F2885" s="27" t="str">
        <f>IFERROR(ABS(FV('Investment Calculator'!$C$7/'Investment Calculator'!$F$4,'SIP Schedule'!C2885,'SIP Schedule'!D2885,,1)),"")</f>
        <v/>
      </c>
    </row>
    <row r="2886" spans="3:6" x14ac:dyDescent="0.3">
      <c r="C2886" s="1" t="str">
        <f>IF(C2885&lt;'Investment Calculator'!$C$8*'Investment Calculator'!$F$4,'SIP Schedule'!C2885+1,"")</f>
        <v/>
      </c>
      <c r="D2886" s="27" t="str">
        <f>IF(C2886&lt;='Investment Calculator'!$C$8*'Investment Calculator'!$F$4,'Investment Calculator'!$C$6,"")</f>
        <v/>
      </c>
      <c r="E2886" s="27" t="str">
        <f>IFERROR((F2885+D2886)*'Investment Calculator'!$C$7/'Investment Calculator'!$F$4,"")</f>
        <v/>
      </c>
      <c r="F2886" s="27" t="str">
        <f>IFERROR(ABS(FV('Investment Calculator'!$C$7/'Investment Calculator'!$F$4,'SIP Schedule'!C2886,'SIP Schedule'!D2886,,1)),"")</f>
        <v/>
      </c>
    </row>
    <row r="2887" spans="3:6" x14ac:dyDescent="0.3">
      <c r="C2887" s="1" t="str">
        <f>IF(C2886&lt;'Investment Calculator'!$C$8*'Investment Calculator'!$F$4,'SIP Schedule'!C2886+1,"")</f>
        <v/>
      </c>
      <c r="D2887" s="27" t="str">
        <f>IF(C2887&lt;='Investment Calculator'!$C$8*'Investment Calculator'!$F$4,'Investment Calculator'!$C$6,"")</f>
        <v/>
      </c>
      <c r="E2887" s="27" t="str">
        <f>IFERROR((F2886+D2887)*'Investment Calculator'!$C$7/'Investment Calculator'!$F$4,"")</f>
        <v/>
      </c>
      <c r="F2887" s="27" t="str">
        <f>IFERROR(ABS(FV('Investment Calculator'!$C$7/'Investment Calculator'!$F$4,'SIP Schedule'!C2887,'SIP Schedule'!D2887,,1)),"")</f>
        <v/>
      </c>
    </row>
    <row r="2888" spans="3:6" x14ac:dyDescent="0.3">
      <c r="C2888" s="1" t="str">
        <f>IF(C2887&lt;'Investment Calculator'!$C$8*'Investment Calculator'!$F$4,'SIP Schedule'!C2887+1,"")</f>
        <v/>
      </c>
      <c r="D2888" s="27" t="str">
        <f>IF(C2888&lt;='Investment Calculator'!$C$8*'Investment Calculator'!$F$4,'Investment Calculator'!$C$6,"")</f>
        <v/>
      </c>
      <c r="E2888" s="27" t="str">
        <f>IFERROR((F2887+D2888)*'Investment Calculator'!$C$7/'Investment Calculator'!$F$4,"")</f>
        <v/>
      </c>
      <c r="F2888" s="27" t="str">
        <f>IFERROR(ABS(FV('Investment Calculator'!$C$7/'Investment Calculator'!$F$4,'SIP Schedule'!C2888,'SIP Schedule'!D2888,,1)),"")</f>
        <v/>
      </c>
    </row>
    <row r="2889" spans="3:6" x14ac:dyDescent="0.3">
      <c r="C2889" s="1" t="str">
        <f>IF(C2888&lt;'Investment Calculator'!$C$8*'Investment Calculator'!$F$4,'SIP Schedule'!C2888+1,"")</f>
        <v/>
      </c>
      <c r="D2889" s="27" t="str">
        <f>IF(C2889&lt;='Investment Calculator'!$C$8*'Investment Calculator'!$F$4,'Investment Calculator'!$C$6,"")</f>
        <v/>
      </c>
      <c r="E2889" s="27" t="str">
        <f>IFERROR((F2888+D2889)*'Investment Calculator'!$C$7/'Investment Calculator'!$F$4,"")</f>
        <v/>
      </c>
      <c r="F2889" s="27" t="str">
        <f>IFERROR(ABS(FV('Investment Calculator'!$C$7/'Investment Calculator'!$F$4,'SIP Schedule'!C2889,'SIP Schedule'!D2889,,1)),"")</f>
        <v/>
      </c>
    </row>
    <row r="2890" spans="3:6" x14ac:dyDescent="0.3">
      <c r="C2890" s="1" t="str">
        <f>IF(C2889&lt;'Investment Calculator'!$C$8*'Investment Calculator'!$F$4,'SIP Schedule'!C2889+1,"")</f>
        <v/>
      </c>
      <c r="D2890" s="27" t="str">
        <f>IF(C2890&lt;='Investment Calculator'!$C$8*'Investment Calculator'!$F$4,'Investment Calculator'!$C$6,"")</f>
        <v/>
      </c>
      <c r="E2890" s="27" t="str">
        <f>IFERROR((F2889+D2890)*'Investment Calculator'!$C$7/'Investment Calculator'!$F$4,"")</f>
        <v/>
      </c>
      <c r="F2890" s="27" t="str">
        <f>IFERROR(ABS(FV('Investment Calculator'!$C$7/'Investment Calculator'!$F$4,'SIP Schedule'!C2890,'SIP Schedule'!D2890,,1)),"")</f>
        <v/>
      </c>
    </row>
    <row r="2891" spans="3:6" x14ac:dyDescent="0.3">
      <c r="C2891" s="1" t="str">
        <f>IF(C2890&lt;'Investment Calculator'!$C$8*'Investment Calculator'!$F$4,'SIP Schedule'!C2890+1,"")</f>
        <v/>
      </c>
      <c r="D2891" s="27" t="str">
        <f>IF(C2891&lt;='Investment Calculator'!$C$8*'Investment Calculator'!$F$4,'Investment Calculator'!$C$6,"")</f>
        <v/>
      </c>
      <c r="E2891" s="27" t="str">
        <f>IFERROR((F2890+D2891)*'Investment Calculator'!$C$7/'Investment Calculator'!$F$4,"")</f>
        <v/>
      </c>
      <c r="F2891" s="27" t="str">
        <f>IFERROR(ABS(FV('Investment Calculator'!$C$7/'Investment Calculator'!$F$4,'SIP Schedule'!C2891,'SIP Schedule'!D2891,,1)),"")</f>
        <v/>
      </c>
    </row>
    <row r="2892" spans="3:6" x14ac:dyDescent="0.3">
      <c r="C2892" s="1" t="str">
        <f>IF(C2891&lt;'Investment Calculator'!$C$8*'Investment Calculator'!$F$4,'SIP Schedule'!C2891+1,"")</f>
        <v/>
      </c>
      <c r="D2892" s="27" t="str">
        <f>IF(C2892&lt;='Investment Calculator'!$C$8*'Investment Calculator'!$F$4,'Investment Calculator'!$C$6,"")</f>
        <v/>
      </c>
      <c r="E2892" s="27" t="str">
        <f>IFERROR((F2891+D2892)*'Investment Calculator'!$C$7/'Investment Calculator'!$F$4,"")</f>
        <v/>
      </c>
      <c r="F2892" s="27" t="str">
        <f>IFERROR(ABS(FV('Investment Calculator'!$C$7/'Investment Calculator'!$F$4,'SIP Schedule'!C2892,'SIP Schedule'!D2892,,1)),"")</f>
        <v/>
      </c>
    </row>
    <row r="2893" spans="3:6" x14ac:dyDescent="0.3">
      <c r="C2893" s="1" t="str">
        <f>IF(C2892&lt;'Investment Calculator'!$C$8*'Investment Calculator'!$F$4,'SIP Schedule'!C2892+1,"")</f>
        <v/>
      </c>
      <c r="D2893" s="27" t="str">
        <f>IF(C2893&lt;='Investment Calculator'!$C$8*'Investment Calculator'!$F$4,'Investment Calculator'!$C$6,"")</f>
        <v/>
      </c>
      <c r="E2893" s="27" t="str">
        <f>IFERROR((F2892+D2893)*'Investment Calculator'!$C$7/'Investment Calculator'!$F$4,"")</f>
        <v/>
      </c>
      <c r="F2893" s="27" t="str">
        <f>IFERROR(ABS(FV('Investment Calculator'!$C$7/'Investment Calculator'!$F$4,'SIP Schedule'!C2893,'SIP Schedule'!D2893,,1)),"")</f>
        <v/>
      </c>
    </row>
    <row r="2894" spans="3:6" x14ac:dyDescent="0.3">
      <c r="C2894" s="1" t="str">
        <f>IF(C2893&lt;'Investment Calculator'!$C$8*'Investment Calculator'!$F$4,'SIP Schedule'!C2893+1,"")</f>
        <v/>
      </c>
      <c r="D2894" s="27" t="str">
        <f>IF(C2894&lt;='Investment Calculator'!$C$8*'Investment Calculator'!$F$4,'Investment Calculator'!$C$6,"")</f>
        <v/>
      </c>
      <c r="E2894" s="27" t="str">
        <f>IFERROR((F2893+D2894)*'Investment Calculator'!$C$7/'Investment Calculator'!$F$4,"")</f>
        <v/>
      </c>
      <c r="F2894" s="27" t="str">
        <f>IFERROR(ABS(FV('Investment Calculator'!$C$7/'Investment Calculator'!$F$4,'SIP Schedule'!C2894,'SIP Schedule'!D2894,,1)),"")</f>
        <v/>
      </c>
    </row>
    <row r="2895" spans="3:6" x14ac:dyDescent="0.3">
      <c r="C2895" s="1" t="str">
        <f>IF(C2894&lt;'Investment Calculator'!$C$8*'Investment Calculator'!$F$4,'SIP Schedule'!C2894+1,"")</f>
        <v/>
      </c>
      <c r="D2895" s="27" t="str">
        <f>IF(C2895&lt;='Investment Calculator'!$C$8*'Investment Calculator'!$F$4,'Investment Calculator'!$C$6,"")</f>
        <v/>
      </c>
      <c r="E2895" s="27" t="str">
        <f>IFERROR((F2894+D2895)*'Investment Calculator'!$C$7/'Investment Calculator'!$F$4,"")</f>
        <v/>
      </c>
      <c r="F2895" s="27" t="str">
        <f>IFERROR(ABS(FV('Investment Calculator'!$C$7/'Investment Calculator'!$F$4,'SIP Schedule'!C2895,'SIP Schedule'!D2895,,1)),"")</f>
        <v/>
      </c>
    </row>
    <row r="2896" spans="3:6" x14ac:dyDescent="0.3">
      <c r="C2896" s="1" t="str">
        <f>IF(C2895&lt;'Investment Calculator'!$C$8*'Investment Calculator'!$F$4,'SIP Schedule'!C2895+1,"")</f>
        <v/>
      </c>
      <c r="D2896" s="27" t="str">
        <f>IF(C2896&lt;='Investment Calculator'!$C$8*'Investment Calculator'!$F$4,'Investment Calculator'!$C$6,"")</f>
        <v/>
      </c>
      <c r="E2896" s="27" t="str">
        <f>IFERROR((F2895+D2896)*'Investment Calculator'!$C$7/'Investment Calculator'!$F$4,"")</f>
        <v/>
      </c>
      <c r="F2896" s="27" t="str">
        <f>IFERROR(ABS(FV('Investment Calculator'!$C$7/'Investment Calculator'!$F$4,'SIP Schedule'!C2896,'SIP Schedule'!D2896,,1)),"")</f>
        <v/>
      </c>
    </row>
    <row r="2897" spans="3:6" x14ac:dyDescent="0.3">
      <c r="C2897" s="1" t="str">
        <f>IF(C2896&lt;'Investment Calculator'!$C$8*'Investment Calculator'!$F$4,'SIP Schedule'!C2896+1,"")</f>
        <v/>
      </c>
      <c r="D2897" s="27" t="str">
        <f>IF(C2897&lt;='Investment Calculator'!$C$8*'Investment Calculator'!$F$4,'Investment Calculator'!$C$6,"")</f>
        <v/>
      </c>
      <c r="E2897" s="27" t="str">
        <f>IFERROR((F2896+D2897)*'Investment Calculator'!$C$7/'Investment Calculator'!$F$4,"")</f>
        <v/>
      </c>
      <c r="F2897" s="27" t="str">
        <f>IFERROR(ABS(FV('Investment Calculator'!$C$7/'Investment Calculator'!$F$4,'SIP Schedule'!C2897,'SIP Schedule'!D2897,,1)),"")</f>
        <v/>
      </c>
    </row>
    <row r="2898" spans="3:6" x14ac:dyDescent="0.3">
      <c r="C2898" s="1" t="str">
        <f>IF(C2897&lt;'Investment Calculator'!$C$8*'Investment Calculator'!$F$4,'SIP Schedule'!C2897+1,"")</f>
        <v/>
      </c>
      <c r="D2898" s="27" t="str">
        <f>IF(C2898&lt;='Investment Calculator'!$C$8*'Investment Calculator'!$F$4,'Investment Calculator'!$C$6,"")</f>
        <v/>
      </c>
      <c r="E2898" s="27" t="str">
        <f>IFERROR((F2897+D2898)*'Investment Calculator'!$C$7/'Investment Calculator'!$F$4,"")</f>
        <v/>
      </c>
      <c r="F2898" s="27" t="str">
        <f>IFERROR(ABS(FV('Investment Calculator'!$C$7/'Investment Calculator'!$F$4,'SIP Schedule'!C2898,'SIP Schedule'!D2898,,1)),"")</f>
        <v/>
      </c>
    </row>
    <row r="2899" spans="3:6" x14ac:dyDescent="0.3">
      <c r="C2899" s="1" t="str">
        <f>IF(C2898&lt;'Investment Calculator'!$C$8*'Investment Calculator'!$F$4,'SIP Schedule'!C2898+1,"")</f>
        <v/>
      </c>
      <c r="D2899" s="27" t="str">
        <f>IF(C2899&lt;='Investment Calculator'!$C$8*'Investment Calculator'!$F$4,'Investment Calculator'!$C$6,"")</f>
        <v/>
      </c>
      <c r="E2899" s="27" t="str">
        <f>IFERROR((F2898+D2899)*'Investment Calculator'!$C$7/'Investment Calculator'!$F$4,"")</f>
        <v/>
      </c>
      <c r="F2899" s="27" t="str">
        <f>IFERROR(ABS(FV('Investment Calculator'!$C$7/'Investment Calculator'!$F$4,'SIP Schedule'!C2899,'SIP Schedule'!D2899,,1)),"")</f>
        <v/>
      </c>
    </row>
    <row r="2900" spans="3:6" x14ac:dyDescent="0.3">
      <c r="C2900" s="1" t="str">
        <f>IF(C2899&lt;'Investment Calculator'!$C$8*'Investment Calculator'!$F$4,'SIP Schedule'!C2899+1,"")</f>
        <v/>
      </c>
      <c r="D2900" s="27" t="str">
        <f>IF(C2900&lt;='Investment Calculator'!$C$8*'Investment Calculator'!$F$4,'Investment Calculator'!$C$6,"")</f>
        <v/>
      </c>
      <c r="E2900" s="27" t="str">
        <f>IFERROR((F2899+D2900)*'Investment Calculator'!$C$7/'Investment Calculator'!$F$4,"")</f>
        <v/>
      </c>
      <c r="F2900" s="27" t="str">
        <f>IFERROR(ABS(FV('Investment Calculator'!$C$7/'Investment Calculator'!$F$4,'SIP Schedule'!C2900,'SIP Schedule'!D2900,,1)),"")</f>
        <v/>
      </c>
    </row>
    <row r="2901" spans="3:6" x14ac:dyDescent="0.3">
      <c r="C2901" s="1" t="str">
        <f>IF(C2900&lt;'Investment Calculator'!$C$8*'Investment Calculator'!$F$4,'SIP Schedule'!C2900+1,"")</f>
        <v/>
      </c>
      <c r="D2901" s="27" t="str">
        <f>IF(C2901&lt;='Investment Calculator'!$C$8*'Investment Calculator'!$F$4,'Investment Calculator'!$C$6,"")</f>
        <v/>
      </c>
      <c r="E2901" s="27" t="str">
        <f>IFERROR((F2900+D2901)*'Investment Calculator'!$C$7/'Investment Calculator'!$F$4,"")</f>
        <v/>
      </c>
      <c r="F2901" s="27" t="str">
        <f>IFERROR(ABS(FV('Investment Calculator'!$C$7/'Investment Calculator'!$F$4,'SIP Schedule'!C2901,'SIP Schedule'!D2901,,1)),"")</f>
        <v/>
      </c>
    </row>
    <row r="2902" spans="3:6" x14ac:dyDescent="0.3">
      <c r="C2902" s="1" t="str">
        <f>IF(C2901&lt;'Investment Calculator'!$C$8*'Investment Calculator'!$F$4,'SIP Schedule'!C2901+1,"")</f>
        <v/>
      </c>
      <c r="D2902" s="27" t="str">
        <f>IF(C2902&lt;='Investment Calculator'!$C$8*'Investment Calculator'!$F$4,'Investment Calculator'!$C$6,"")</f>
        <v/>
      </c>
      <c r="E2902" s="27" t="str">
        <f>IFERROR((F2901+D2902)*'Investment Calculator'!$C$7/'Investment Calculator'!$F$4,"")</f>
        <v/>
      </c>
      <c r="F2902" s="27" t="str">
        <f>IFERROR(ABS(FV('Investment Calculator'!$C$7/'Investment Calculator'!$F$4,'SIP Schedule'!C2902,'SIP Schedule'!D2902,,1)),"")</f>
        <v/>
      </c>
    </row>
    <row r="2903" spans="3:6" x14ac:dyDescent="0.3">
      <c r="C2903" s="1" t="str">
        <f>IF(C2902&lt;'Investment Calculator'!$C$8*'Investment Calculator'!$F$4,'SIP Schedule'!C2902+1,"")</f>
        <v/>
      </c>
      <c r="D2903" s="27" t="str">
        <f>IF(C2903&lt;='Investment Calculator'!$C$8*'Investment Calculator'!$F$4,'Investment Calculator'!$C$6,"")</f>
        <v/>
      </c>
      <c r="E2903" s="27" t="str">
        <f>IFERROR((F2902+D2903)*'Investment Calculator'!$C$7/'Investment Calculator'!$F$4,"")</f>
        <v/>
      </c>
      <c r="F2903" s="27" t="str">
        <f>IFERROR(ABS(FV('Investment Calculator'!$C$7/'Investment Calculator'!$F$4,'SIP Schedule'!C2903,'SIP Schedule'!D2903,,1)),"")</f>
        <v/>
      </c>
    </row>
    <row r="2904" spans="3:6" x14ac:dyDescent="0.3">
      <c r="C2904" s="1" t="str">
        <f>IF(C2903&lt;'Investment Calculator'!$C$8*'Investment Calculator'!$F$4,'SIP Schedule'!C2903+1,"")</f>
        <v/>
      </c>
      <c r="D2904" s="27" t="str">
        <f>IF(C2904&lt;='Investment Calculator'!$C$8*'Investment Calculator'!$F$4,'Investment Calculator'!$C$6,"")</f>
        <v/>
      </c>
      <c r="E2904" s="27" t="str">
        <f>IFERROR((F2903+D2904)*'Investment Calculator'!$C$7/'Investment Calculator'!$F$4,"")</f>
        <v/>
      </c>
      <c r="F2904" s="27" t="str">
        <f>IFERROR(ABS(FV('Investment Calculator'!$C$7/'Investment Calculator'!$F$4,'SIP Schedule'!C2904,'SIP Schedule'!D2904,,1)),"")</f>
        <v/>
      </c>
    </row>
    <row r="2905" spans="3:6" x14ac:dyDescent="0.3">
      <c r="C2905" s="1" t="str">
        <f>IF(C2904&lt;'Investment Calculator'!$C$8*'Investment Calculator'!$F$4,'SIP Schedule'!C2904+1,"")</f>
        <v/>
      </c>
      <c r="D2905" s="27" t="str">
        <f>IF(C2905&lt;='Investment Calculator'!$C$8*'Investment Calculator'!$F$4,'Investment Calculator'!$C$6,"")</f>
        <v/>
      </c>
      <c r="E2905" s="27" t="str">
        <f>IFERROR((F2904+D2905)*'Investment Calculator'!$C$7/'Investment Calculator'!$F$4,"")</f>
        <v/>
      </c>
      <c r="F2905" s="27" t="str">
        <f>IFERROR(ABS(FV('Investment Calculator'!$C$7/'Investment Calculator'!$F$4,'SIP Schedule'!C2905,'SIP Schedule'!D2905,,1)),"")</f>
        <v/>
      </c>
    </row>
    <row r="2906" spans="3:6" x14ac:dyDescent="0.3">
      <c r="C2906" s="1" t="str">
        <f>IF(C2905&lt;'Investment Calculator'!$C$8*'Investment Calculator'!$F$4,'SIP Schedule'!C2905+1,"")</f>
        <v/>
      </c>
      <c r="D2906" s="27" t="str">
        <f>IF(C2906&lt;='Investment Calculator'!$C$8*'Investment Calculator'!$F$4,'Investment Calculator'!$C$6,"")</f>
        <v/>
      </c>
      <c r="E2906" s="27" t="str">
        <f>IFERROR((F2905+D2906)*'Investment Calculator'!$C$7/'Investment Calculator'!$F$4,"")</f>
        <v/>
      </c>
      <c r="F2906" s="27" t="str">
        <f>IFERROR(ABS(FV('Investment Calculator'!$C$7/'Investment Calculator'!$F$4,'SIP Schedule'!C2906,'SIP Schedule'!D2906,,1)),"")</f>
        <v/>
      </c>
    </row>
    <row r="2907" spans="3:6" x14ac:dyDescent="0.3">
      <c r="C2907" s="1" t="str">
        <f>IF(C2906&lt;'Investment Calculator'!$C$8*'Investment Calculator'!$F$4,'SIP Schedule'!C2906+1,"")</f>
        <v/>
      </c>
      <c r="D2907" s="27" t="str">
        <f>IF(C2907&lt;='Investment Calculator'!$C$8*'Investment Calculator'!$F$4,'Investment Calculator'!$C$6,"")</f>
        <v/>
      </c>
      <c r="E2907" s="27" t="str">
        <f>IFERROR((F2906+D2907)*'Investment Calculator'!$C$7/'Investment Calculator'!$F$4,"")</f>
        <v/>
      </c>
      <c r="F2907" s="27" t="str">
        <f>IFERROR(ABS(FV('Investment Calculator'!$C$7/'Investment Calculator'!$F$4,'SIP Schedule'!C2907,'SIP Schedule'!D2907,,1)),"")</f>
        <v/>
      </c>
    </row>
    <row r="2908" spans="3:6" x14ac:dyDescent="0.3">
      <c r="C2908" s="1" t="str">
        <f>IF(C2907&lt;'Investment Calculator'!$C$8*'Investment Calculator'!$F$4,'SIP Schedule'!C2907+1,"")</f>
        <v/>
      </c>
      <c r="D2908" s="27" t="str">
        <f>IF(C2908&lt;='Investment Calculator'!$C$8*'Investment Calculator'!$F$4,'Investment Calculator'!$C$6,"")</f>
        <v/>
      </c>
      <c r="E2908" s="27" t="str">
        <f>IFERROR((F2907+D2908)*'Investment Calculator'!$C$7/'Investment Calculator'!$F$4,"")</f>
        <v/>
      </c>
      <c r="F2908" s="27" t="str">
        <f>IFERROR(ABS(FV('Investment Calculator'!$C$7/'Investment Calculator'!$F$4,'SIP Schedule'!C2908,'SIP Schedule'!D2908,,1)),"")</f>
        <v/>
      </c>
    </row>
    <row r="2909" spans="3:6" x14ac:dyDescent="0.3">
      <c r="C2909" s="1" t="str">
        <f>IF(C2908&lt;'Investment Calculator'!$C$8*'Investment Calculator'!$F$4,'SIP Schedule'!C2908+1,"")</f>
        <v/>
      </c>
      <c r="D2909" s="27" t="str">
        <f>IF(C2909&lt;='Investment Calculator'!$C$8*'Investment Calculator'!$F$4,'Investment Calculator'!$C$6,"")</f>
        <v/>
      </c>
      <c r="E2909" s="27" t="str">
        <f>IFERROR((F2908+D2909)*'Investment Calculator'!$C$7/'Investment Calculator'!$F$4,"")</f>
        <v/>
      </c>
      <c r="F2909" s="27" t="str">
        <f>IFERROR(ABS(FV('Investment Calculator'!$C$7/'Investment Calculator'!$F$4,'SIP Schedule'!C2909,'SIP Schedule'!D2909,,1)),"")</f>
        <v/>
      </c>
    </row>
    <row r="2910" spans="3:6" x14ac:dyDescent="0.3">
      <c r="C2910" s="1" t="str">
        <f>IF(C2909&lt;'Investment Calculator'!$C$8*'Investment Calculator'!$F$4,'SIP Schedule'!C2909+1,"")</f>
        <v/>
      </c>
      <c r="D2910" s="27" t="str">
        <f>IF(C2910&lt;='Investment Calculator'!$C$8*'Investment Calculator'!$F$4,'Investment Calculator'!$C$6,"")</f>
        <v/>
      </c>
      <c r="E2910" s="27" t="str">
        <f>IFERROR((F2909+D2910)*'Investment Calculator'!$C$7/'Investment Calculator'!$F$4,"")</f>
        <v/>
      </c>
      <c r="F2910" s="27" t="str">
        <f>IFERROR(ABS(FV('Investment Calculator'!$C$7/'Investment Calculator'!$F$4,'SIP Schedule'!C2910,'SIP Schedule'!D2910,,1)),"")</f>
        <v/>
      </c>
    </row>
    <row r="2911" spans="3:6" x14ac:dyDescent="0.3">
      <c r="C2911" s="1" t="str">
        <f>IF(C2910&lt;'Investment Calculator'!$C$8*'Investment Calculator'!$F$4,'SIP Schedule'!C2910+1,"")</f>
        <v/>
      </c>
      <c r="D2911" s="27" t="str">
        <f>IF(C2911&lt;='Investment Calculator'!$C$8*'Investment Calculator'!$F$4,'Investment Calculator'!$C$6,"")</f>
        <v/>
      </c>
      <c r="E2911" s="27" t="str">
        <f>IFERROR((F2910+D2911)*'Investment Calculator'!$C$7/'Investment Calculator'!$F$4,"")</f>
        <v/>
      </c>
      <c r="F2911" s="27" t="str">
        <f>IFERROR(ABS(FV('Investment Calculator'!$C$7/'Investment Calculator'!$F$4,'SIP Schedule'!C2911,'SIP Schedule'!D2911,,1)),"")</f>
        <v/>
      </c>
    </row>
    <row r="2912" spans="3:6" x14ac:dyDescent="0.3">
      <c r="C2912" s="1" t="str">
        <f>IF(C2911&lt;'Investment Calculator'!$C$8*'Investment Calculator'!$F$4,'SIP Schedule'!C2911+1,"")</f>
        <v/>
      </c>
      <c r="D2912" s="27" t="str">
        <f>IF(C2912&lt;='Investment Calculator'!$C$8*'Investment Calculator'!$F$4,'Investment Calculator'!$C$6,"")</f>
        <v/>
      </c>
      <c r="E2912" s="27" t="str">
        <f>IFERROR((F2911+D2912)*'Investment Calculator'!$C$7/'Investment Calculator'!$F$4,"")</f>
        <v/>
      </c>
      <c r="F2912" s="27" t="str">
        <f>IFERROR(ABS(FV('Investment Calculator'!$C$7/'Investment Calculator'!$F$4,'SIP Schedule'!C2912,'SIP Schedule'!D2912,,1)),"")</f>
        <v/>
      </c>
    </row>
    <row r="2913" spans="3:6" x14ac:dyDescent="0.3">
      <c r="C2913" s="1" t="str">
        <f>IF(C2912&lt;'Investment Calculator'!$C$8*'Investment Calculator'!$F$4,'SIP Schedule'!C2912+1,"")</f>
        <v/>
      </c>
      <c r="D2913" s="27" t="str">
        <f>IF(C2913&lt;='Investment Calculator'!$C$8*'Investment Calculator'!$F$4,'Investment Calculator'!$C$6,"")</f>
        <v/>
      </c>
      <c r="E2913" s="27" t="str">
        <f>IFERROR((F2912+D2913)*'Investment Calculator'!$C$7/'Investment Calculator'!$F$4,"")</f>
        <v/>
      </c>
      <c r="F2913" s="27" t="str">
        <f>IFERROR(ABS(FV('Investment Calculator'!$C$7/'Investment Calculator'!$F$4,'SIP Schedule'!C2913,'SIP Schedule'!D2913,,1)),"")</f>
        <v/>
      </c>
    </row>
    <row r="2914" spans="3:6" x14ac:dyDescent="0.3">
      <c r="C2914" s="1" t="str">
        <f>IF(C2913&lt;'Investment Calculator'!$C$8*'Investment Calculator'!$F$4,'SIP Schedule'!C2913+1,"")</f>
        <v/>
      </c>
      <c r="D2914" s="27" t="str">
        <f>IF(C2914&lt;='Investment Calculator'!$C$8*'Investment Calculator'!$F$4,'Investment Calculator'!$C$6,"")</f>
        <v/>
      </c>
      <c r="E2914" s="27" t="str">
        <f>IFERROR((F2913+D2914)*'Investment Calculator'!$C$7/'Investment Calculator'!$F$4,"")</f>
        <v/>
      </c>
      <c r="F2914" s="27" t="str">
        <f>IFERROR(ABS(FV('Investment Calculator'!$C$7/'Investment Calculator'!$F$4,'SIP Schedule'!C2914,'SIP Schedule'!D2914,,1)),"")</f>
        <v/>
      </c>
    </row>
    <row r="2915" spans="3:6" x14ac:dyDescent="0.3">
      <c r="C2915" s="1" t="str">
        <f>IF(C2914&lt;'Investment Calculator'!$C$8*'Investment Calculator'!$F$4,'SIP Schedule'!C2914+1,"")</f>
        <v/>
      </c>
      <c r="D2915" s="27" t="str">
        <f>IF(C2915&lt;='Investment Calculator'!$C$8*'Investment Calculator'!$F$4,'Investment Calculator'!$C$6,"")</f>
        <v/>
      </c>
      <c r="E2915" s="27" t="str">
        <f>IFERROR((F2914+D2915)*'Investment Calculator'!$C$7/'Investment Calculator'!$F$4,"")</f>
        <v/>
      </c>
      <c r="F2915" s="27" t="str">
        <f>IFERROR(ABS(FV('Investment Calculator'!$C$7/'Investment Calculator'!$F$4,'SIP Schedule'!C2915,'SIP Schedule'!D2915,,1)),"")</f>
        <v/>
      </c>
    </row>
    <row r="2916" spans="3:6" x14ac:dyDescent="0.3">
      <c r="C2916" s="1" t="str">
        <f>IF(C2915&lt;'Investment Calculator'!$C$8*'Investment Calculator'!$F$4,'SIP Schedule'!C2915+1,"")</f>
        <v/>
      </c>
      <c r="D2916" s="27" t="str">
        <f>IF(C2916&lt;='Investment Calculator'!$C$8*'Investment Calculator'!$F$4,'Investment Calculator'!$C$6,"")</f>
        <v/>
      </c>
      <c r="E2916" s="27" t="str">
        <f>IFERROR((F2915+D2916)*'Investment Calculator'!$C$7/'Investment Calculator'!$F$4,"")</f>
        <v/>
      </c>
      <c r="F2916" s="27" t="str">
        <f>IFERROR(ABS(FV('Investment Calculator'!$C$7/'Investment Calculator'!$F$4,'SIP Schedule'!C2916,'SIP Schedule'!D2916,,1)),"")</f>
        <v/>
      </c>
    </row>
    <row r="2917" spans="3:6" x14ac:dyDescent="0.3">
      <c r="C2917" s="1" t="str">
        <f>IF(C2916&lt;'Investment Calculator'!$C$8*'Investment Calculator'!$F$4,'SIP Schedule'!C2916+1,"")</f>
        <v/>
      </c>
      <c r="D2917" s="27" t="str">
        <f>IF(C2917&lt;='Investment Calculator'!$C$8*'Investment Calculator'!$F$4,'Investment Calculator'!$C$6,"")</f>
        <v/>
      </c>
      <c r="E2917" s="27" t="str">
        <f>IFERROR((F2916+D2917)*'Investment Calculator'!$C$7/'Investment Calculator'!$F$4,"")</f>
        <v/>
      </c>
      <c r="F2917" s="27" t="str">
        <f>IFERROR(ABS(FV('Investment Calculator'!$C$7/'Investment Calculator'!$F$4,'SIP Schedule'!C2917,'SIP Schedule'!D2917,,1)),"")</f>
        <v/>
      </c>
    </row>
    <row r="2918" spans="3:6" x14ac:dyDescent="0.3">
      <c r="C2918" s="1" t="str">
        <f>IF(C2917&lt;'Investment Calculator'!$C$8*'Investment Calculator'!$F$4,'SIP Schedule'!C2917+1,"")</f>
        <v/>
      </c>
      <c r="D2918" s="27" t="str">
        <f>IF(C2918&lt;='Investment Calculator'!$C$8*'Investment Calculator'!$F$4,'Investment Calculator'!$C$6,"")</f>
        <v/>
      </c>
      <c r="E2918" s="27" t="str">
        <f>IFERROR((F2917+D2918)*'Investment Calculator'!$C$7/'Investment Calculator'!$F$4,"")</f>
        <v/>
      </c>
      <c r="F2918" s="27" t="str">
        <f>IFERROR(ABS(FV('Investment Calculator'!$C$7/'Investment Calculator'!$F$4,'SIP Schedule'!C2918,'SIP Schedule'!D2918,,1)),"")</f>
        <v/>
      </c>
    </row>
    <row r="2919" spans="3:6" x14ac:dyDescent="0.3">
      <c r="C2919" s="1" t="str">
        <f>IF(C2918&lt;'Investment Calculator'!$C$8*'Investment Calculator'!$F$4,'SIP Schedule'!C2918+1,"")</f>
        <v/>
      </c>
      <c r="D2919" s="27" t="str">
        <f>IF(C2919&lt;='Investment Calculator'!$C$8*'Investment Calculator'!$F$4,'Investment Calculator'!$C$6,"")</f>
        <v/>
      </c>
      <c r="E2919" s="27" t="str">
        <f>IFERROR((F2918+D2919)*'Investment Calculator'!$C$7/'Investment Calculator'!$F$4,"")</f>
        <v/>
      </c>
      <c r="F2919" s="27" t="str">
        <f>IFERROR(ABS(FV('Investment Calculator'!$C$7/'Investment Calculator'!$F$4,'SIP Schedule'!C2919,'SIP Schedule'!D2919,,1)),"")</f>
        <v/>
      </c>
    </row>
    <row r="2920" spans="3:6" x14ac:dyDescent="0.3">
      <c r="C2920" s="1" t="str">
        <f>IF(C2919&lt;'Investment Calculator'!$C$8*'Investment Calculator'!$F$4,'SIP Schedule'!C2919+1,"")</f>
        <v/>
      </c>
      <c r="D2920" s="27" t="str">
        <f>IF(C2920&lt;='Investment Calculator'!$C$8*'Investment Calculator'!$F$4,'Investment Calculator'!$C$6,"")</f>
        <v/>
      </c>
      <c r="E2920" s="27" t="str">
        <f>IFERROR((F2919+D2920)*'Investment Calculator'!$C$7/'Investment Calculator'!$F$4,"")</f>
        <v/>
      </c>
      <c r="F2920" s="27" t="str">
        <f>IFERROR(ABS(FV('Investment Calculator'!$C$7/'Investment Calculator'!$F$4,'SIP Schedule'!C2920,'SIP Schedule'!D2920,,1)),"")</f>
        <v/>
      </c>
    </row>
    <row r="2921" spans="3:6" x14ac:dyDescent="0.3">
      <c r="C2921" s="1" t="str">
        <f>IF(C2920&lt;'Investment Calculator'!$C$8*'Investment Calculator'!$F$4,'SIP Schedule'!C2920+1,"")</f>
        <v/>
      </c>
      <c r="D2921" s="27" t="str">
        <f>IF(C2921&lt;='Investment Calculator'!$C$8*'Investment Calculator'!$F$4,'Investment Calculator'!$C$6,"")</f>
        <v/>
      </c>
      <c r="E2921" s="27" t="str">
        <f>IFERROR((F2920+D2921)*'Investment Calculator'!$C$7/'Investment Calculator'!$F$4,"")</f>
        <v/>
      </c>
      <c r="F2921" s="27" t="str">
        <f>IFERROR(ABS(FV('Investment Calculator'!$C$7/'Investment Calculator'!$F$4,'SIP Schedule'!C2921,'SIP Schedule'!D2921,,1)),"")</f>
        <v/>
      </c>
    </row>
    <row r="2922" spans="3:6" x14ac:dyDescent="0.3">
      <c r="C2922" s="1" t="str">
        <f>IF(C2921&lt;'Investment Calculator'!$C$8*'Investment Calculator'!$F$4,'SIP Schedule'!C2921+1,"")</f>
        <v/>
      </c>
      <c r="D2922" s="27" t="str">
        <f>IF(C2922&lt;='Investment Calculator'!$C$8*'Investment Calculator'!$F$4,'Investment Calculator'!$C$6,"")</f>
        <v/>
      </c>
      <c r="E2922" s="27" t="str">
        <f>IFERROR((F2921+D2922)*'Investment Calculator'!$C$7/'Investment Calculator'!$F$4,"")</f>
        <v/>
      </c>
      <c r="F2922" s="27" t="str">
        <f>IFERROR(ABS(FV('Investment Calculator'!$C$7/'Investment Calculator'!$F$4,'SIP Schedule'!C2922,'SIP Schedule'!D2922,,1)),"")</f>
        <v/>
      </c>
    </row>
    <row r="2923" spans="3:6" x14ac:dyDescent="0.3">
      <c r="C2923" s="1" t="str">
        <f>IF(C2922&lt;'Investment Calculator'!$C$8*'Investment Calculator'!$F$4,'SIP Schedule'!C2922+1,"")</f>
        <v/>
      </c>
      <c r="D2923" s="27" t="str">
        <f>IF(C2923&lt;='Investment Calculator'!$C$8*'Investment Calculator'!$F$4,'Investment Calculator'!$C$6,"")</f>
        <v/>
      </c>
      <c r="E2923" s="27" t="str">
        <f>IFERROR((F2922+D2923)*'Investment Calculator'!$C$7/'Investment Calculator'!$F$4,"")</f>
        <v/>
      </c>
      <c r="F2923" s="27" t="str">
        <f>IFERROR(ABS(FV('Investment Calculator'!$C$7/'Investment Calculator'!$F$4,'SIP Schedule'!C2923,'SIP Schedule'!D2923,,1)),"")</f>
        <v/>
      </c>
    </row>
    <row r="2924" spans="3:6" x14ac:dyDescent="0.3">
      <c r="C2924" s="1" t="str">
        <f>IF(C2923&lt;'Investment Calculator'!$C$8*'Investment Calculator'!$F$4,'SIP Schedule'!C2923+1,"")</f>
        <v/>
      </c>
      <c r="D2924" s="27" t="str">
        <f>IF(C2924&lt;='Investment Calculator'!$C$8*'Investment Calculator'!$F$4,'Investment Calculator'!$C$6,"")</f>
        <v/>
      </c>
      <c r="E2924" s="27" t="str">
        <f>IFERROR((F2923+D2924)*'Investment Calculator'!$C$7/'Investment Calculator'!$F$4,"")</f>
        <v/>
      </c>
      <c r="F2924" s="27" t="str">
        <f>IFERROR(ABS(FV('Investment Calculator'!$C$7/'Investment Calculator'!$F$4,'SIP Schedule'!C2924,'SIP Schedule'!D2924,,1)),"")</f>
        <v/>
      </c>
    </row>
    <row r="2925" spans="3:6" x14ac:dyDescent="0.3">
      <c r="C2925" s="1" t="str">
        <f>IF(C2924&lt;'Investment Calculator'!$C$8*'Investment Calculator'!$F$4,'SIP Schedule'!C2924+1,"")</f>
        <v/>
      </c>
      <c r="D2925" s="27" t="str">
        <f>IF(C2925&lt;='Investment Calculator'!$C$8*'Investment Calculator'!$F$4,'Investment Calculator'!$C$6,"")</f>
        <v/>
      </c>
      <c r="E2925" s="27" t="str">
        <f>IFERROR((F2924+D2925)*'Investment Calculator'!$C$7/'Investment Calculator'!$F$4,"")</f>
        <v/>
      </c>
      <c r="F2925" s="27" t="str">
        <f>IFERROR(ABS(FV('Investment Calculator'!$C$7/'Investment Calculator'!$F$4,'SIP Schedule'!C2925,'SIP Schedule'!D2925,,1)),"")</f>
        <v/>
      </c>
    </row>
    <row r="2926" spans="3:6" x14ac:dyDescent="0.3">
      <c r="C2926" s="1" t="str">
        <f>IF(C2925&lt;'Investment Calculator'!$C$8*'Investment Calculator'!$F$4,'SIP Schedule'!C2925+1,"")</f>
        <v/>
      </c>
      <c r="D2926" s="27" t="str">
        <f>IF(C2926&lt;='Investment Calculator'!$C$8*'Investment Calculator'!$F$4,'Investment Calculator'!$C$6,"")</f>
        <v/>
      </c>
      <c r="E2926" s="27" t="str">
        <f>IFERROR((F2925+D2926)*'Investment Calculator'!$C$7/'Investment Calculator'!$F$4,"")</f>
        <v/>
      </c>
      <c r="F2926" s="27" t="str">
        <f>IFERROR(ABS(FV('Investment Calculator'!$C$7/'Investment Calculator'!$F$4,'SIP Schedule'!C2926,'SIP Schedule'!D2926,,1)),"")</f>
        <v/>
      </c>
    </row>
    <row r="2927" spans="3:6" x14ac:dyDescent="0.3">
      <c r="C2927" s="1" t="str">
        <f>IF(C2926&lt;'Investment Calculator'!$C$8*'Investment Calculator'!$F$4,'SIP Schedule'!C2926+1,"")</f>
        <v/>
      </c>
      <c r="D2927" s="27" t="str">
        <f>IF(C2927&lt;='Investment Calculator'!$C$8*'Investment Calculator'!$F$4,'Investment Calculator'!$C$6,"")</f>
        <v/>
      </c>
      <c r="E2927" s="27" t="str">
        <f>IFERROR((F2926+D2927)*'Investment Calculator'!$C$7/'Investment Calculator'!$F$4,"")</f>
        <v/>
      </c>
      <c r="F2927" s="27" t="str">
        <f>IFERROR(ABS(FV('Investment Calculator'!$C$7/'Investment Calculator'!$F$4,'SIP Schedule'!C2927,'SIP Schedule'!D2927,,1)),"")</f>
        <v/>
      </c>
    </row>
    <row r="2928" spans="3:6" x14ac:dyDescent="0.3">
      <c r="C2928" s="1" t="str">
        <f>IF(C2927&lt;'Investment Calculator'!$C$8*'Investment Calculator'!$F$4,'SIP Schedule'!C2927+1,"")</f>
        <v/>
      </c>
      <c r="D2928" s="27" t="str">
        <f>IF(C2928&lt;='Investment Calculator'!$C$8*'Investment Calculator'!$F$4,'Investment Calculator'!$C$6,"")</f>
        <v/>
      </c>
      <c r="E2928" s="27" t="str">
        <f>IFERROR((F2927+D2928)*'Investment Calculator'!$C$7/'Investment Calculator'!$F$4,"")</f>
        <v/>
      </c>
      <c r="F2928" s="27" t="str">
        <f>IFERROR(ABS(FV('Investment Calculator'!$C$7/'Investment Calculator'!$F$4,'SIP Schedule'!C2928,'SIP Schedule'!D2928,,1)),"")</f>
        <v/>
      </c>
    </row>
    <row r="2929" spans="3:6" x14ac:dyDescent="0.3">
      <c r="C2929" s="1" t="str">
        <f>IF(C2928&lt;'Investment Calculator'!$C$8*'Investment Calculator'!$F$4,'SIP Schedule'!C2928+1,"")</f>
        <v/>
      </c>
      <c r="D2929" s="27" t="str">
        <f>IF(C2929&lt;='Investment Calculator'!$C$8*'Investment Calculator'!$F$4,'Investment Calculator'!$C$6,"")</f>
        <v/>
      </c>
      <c r="E2929" s="27" t="str">
        <f>IFERROR((F2928+D2929)*'Investment Calculator'!$C$7/'Investment Calculator'!$F$4,"")</f>
        <v/>
      </c>
      <c r="F2929" s="27" t="str">
        <f>IFERROR(ABS(FV('Investment Calculator'!$C$7/'Investment Calculator'!$F$4,'SIP Schedule'!C2929,'SIP Schedule'!D2929,,1)),"")</f>
        <v/>
      </c>
    </row>
    <row r="2930" spans="3:6" x14ac:dyDescent="0.3">
      <c r="C2930" s="1" t="str">
        <f>IF(C2929&lt;'Investment Calculator'!$C$8*'Investment Calculator'!$F$4,'SIP Schedule'!C2929+1,"")</f>
        <v/>
      </c>
      <c r="D2930" s="27" t="str">
        <f>IF(C2930&lt;='Investment Calculator'!$C$8*'Investment Calculator'!$F$4,'Investment Calculator'!$C$6,"")</f>
        <v/>
      </c>
      <c r="E2930" s="27" t="str">
        <f>IFERROR((F2929+D2930)*'Investment Calculator'!$C$7/'Investment Calculator'!$F$4,"")</f>
        <v/>
      </c>
      <c r="F2930" s="27" t="str">
        <f>IFERROR(ABS(FV('Investment Calculator'!$C$7/'Investment Calculator'!$F$4,'SIP Schedule'!C2930,'SIP Schedule'!D2930,,1)),"")</f>
        <v/>
      </c>
    </row>
    <row r="2931" spans="3:6" x14ac:dyDescent="0.3">
      <c r="C2931" s="1" t="str">
        <f>IF(C2930&lt;'Investment Calculator'!$C$8*'Investment Calculator'!$F$4,'SIP Schedule'!C2930+1,"")</f>
        <v/>
      </c>
      <c r="D2931" s="27" t="str">
        <f>IF(C2931&lt;='Investment Calculator'!$C$8*'Investment Calculator'!$F$4,'Investment Calculator'!$C$6,"")</f>
        <v/>
      </c>
      <c r="E2931" s="27" t="str">
        <f>IFERROR((F2930+D2931)*'Investment Calculator'!$C$7/'Investment Calculator'!$F$4,"")</f>
        <v/>
      </c>
      <c r="F2931" s="27" t="str">
        <f>IFERROR(ABS(FV('Investment Calculator'!$C$7/'Investment Calculator'!$F$4,'SIP Schedule'!C2931,'SIP Schedule'!D2931,,1)),"")</f>
        <v/>
      </c>
    </row>
    <row r="2932" spans="3:6" x14ac:dyDescent="0.3">
      <c r="C2932" s="1" t="str">
        <f>IF(C2931&lt;'Investment Calculator'!$C$8*'Investment Calculator'!$F$4,'SIP Schedule'!C2931+1,"")</f>
        <v/>
      </c>
      <c r="D2932" s="27" t="str">
        <f>IF(C2932&lt;='Investment Calculator'!$C$8*'Investment Calculator'!$F$4,'Investment Calculator'!$C$6,"")</f>
        <v/>
      </c>
      <c r="E2932" s="27" t="str">
        <f>IFERROR((F2931+D2932)*'Investment Calculator'!$C$7/'Investment Calculator'!$F$4,"")</f>
        <v/>
      </c>
      <c r="F2932" s="27" t="str">
        <f>IFERROR(ABS(FV('Investment Calculator'!$C$7/'Investment Calculator'!$F$4,'SIP Schedule'!C2932,'SIP Schedule'!D2932,,1)),"")</f>
        <v/>
      </c>
    </row>
    <row r="2933" spans="3:6" x14ac:dyDescent="0.3">
      <c r="C2933" s="1" t="str">
        <f>IF(C2932&lt;'Investment Calculator'!$C$8*'Investment Calculator'!$F$4,'SIP Schedule'!C2932+1,"")</f>
        <v/>
      </c>
      <c r="D2933" s="27" t="str">
        <f>IF(C2933&lt;='Investment Calculator'!$C$8*'Investment Calculator'!$F$4,'Investment Calculator'!$C$6,"")</f>
        <v/>
      </c>
      <c r="E2933" s="27" t="str">
        <f>IFERROR((F2932+D2933)*'Investment Calculator'!$C$7/'Investment Calculator'!$F$4,"")</f>
        <v/>
      </c>
      <c r="F2933" s="27" t="str">
        <f>IFERROR(ABS(FV('Investment Calculator'!$C$7/'Investment Calculator'!$F$4,'SIP Schedule'!C2933,'SIP Schedule'!D2933,,1)),"")</f>
        <v/>
      </c>
    </row>
    <row r="2934" spans="3:6" x14ac:dyDescent="0.3">
      <c r="C2934" s="1" t="str">
        <f>IF(C2933&lt;'Investment Calculator'!$C$8*'Investment Calculator'!$F$4,'SIP Schedule'!C2933+1,"")</f>
        <v/>
      </c>
      <c r="D2934" s="27" t="str">
        <f>IF(C2934&lt;='Investment Calculator'!$C$8*'Investment Calculator'!$F$4,'Investment Calculator'!$C$6,"")</f>
        <v/>
      </c>
      <c r="E2934" s="27" t="str">
        <f>IFERROR((F2933+D2934)*'Investment Calculator'!$C$7/'Investment Calculator'!$F$4,"")</f>
        <v/>
      </c>
      <c r="F2934" s="27" t="str">
        <f>IFERROR(ABS(FV('Investment Calculator'!$C$7/'Investment Calculator'!$F$4,'SIP Schedule'!C2934,'SIP Schedule'!D2934,,1)),"")</f>
        <v/>
      </c>
    </row>
    <row r="2935" spans="3:6" x14ac:dyDescent="0.3">
      <c r="C2935" s="1" t="str">
        <f>IF(C2934&lt;'Investment Calculator'!$C$8*'Investment Calculator'!$F$4,'SIP Schedule'!C2934+1,"")</f>
        <v/>
      </c>
      <c r="D2935" s="27" t="str">
        <f>IF(C2935&lt;='Investment Calculator'!$C$8*'Investment Calculator'!$F$4,'Investment Calculator'!$C$6,"")</f>
        <v/>
      </c>
      <c r="E2935" s="27" t="str">
        <f>IFERROR((F2934+D2935)*'Investment Calculator'!$C$7/'Investment Calculator'!$F$4,"")</f>
        <v/>
      </c>
      <c r="F2935" s="27" t="str">
        <f>IFERROR(ABS(FV('Investment Calculator'!$C$7/'Investment Calculator'!$F$4,'SIP Schedule'!C2935,'SIP Schedule'!D2935,,1)),"")</f>
        <v/>
      </c>
    </row>
    <row r="2936" spans="3:6" x14ac:dyDescent="0.3">
      <c r="C2936" s="1" t="str">
        <f>IF(C2935&lt;'Investment Calculator'!$C$8*'Investment Calculator'!$F$4,'SIP Schedule'!C2935+1,"")</f>
        <v/>
      </c>
      <c r="D2936" s="27" t="str">
        <f>IF(C2936&lt;='Investment Calculator'!$C$8*'Investment Calculator'!$F$4,'Investment Calculator'!$C$6,"")</f>
        <v/>
      </c>
      <c r="E2936" s="27" t="str">
        <f>IFERROR((F2935+D2936)*'Investment Calculator'!$C$7/'Investment Calculator'!$F$4,"")</f>
        <v/>
      </c>
      <c r="F2936" s="27" t="str">
        <f>IFERROR(ABS(FV('Investment Calculator'!$C$7/'Investment Calculator'!$F$4,'SIP Schedule'!C2936,'SIP Schedule'!D2936,,1)),"")</f>
        <v/>
      </c>
    </row>
    <row r="2937" spans="3:6" x14ac:dyDescent="0.3">
      <c r="C2937" s="1" t="str">
        <f>IF(C2936&lt;'Investment Calculator'!$C$8*'Investment Calculator'!$F$4,'SIP Schedule'!C2936+1,"")</f>
        <v/>
      </c>
      <c r="D2937" s="27" t="str">
        <f>IF(C2937&lt;='Investment Calculator'!$C$8*'Investment Calculator'!$F$4,'Investment Calculator'!$C$6,"")</f>
        <v/>
      </c>
      <c r="E2937" s="27" t="str">
        <f>IFERROR((F2936+D2937)*'Investment Calculator'!$C$7/'Investment Calculator'!$F$4,"")</f>
        <v/>
      </c>
      <c r="F2937" s="27" t="str">
        <f>IFERROR(ABS(FV('Investment Calculator'!$C$7/'Investment Calculator'!$F$4,'SIP Schedule'!C2937,'SIP Schedule'!D2937,,1)),"")</f>
        <v/>
      </c>
    </row>
    <row r="2938" spans="3:6" x14ac:dyDescent="0.3">
      <c r="C2938" s="1" t="str">
        <f>IF(C2937&lt;'Investment Calculator'!$C$8*'Investment Calculator'!$F$4,'SIP Schedule'!C2937+1,"")</f>
        <v/>
      </c>
      <c r="D2938" s="27" t="str">
        <f>IF(C2938&lt;='Investment Calculator'!$C$8*'Investment Calculator'!$F$4,'Investment Calculator'!$C$6,"")</f>
        <v/>
      </c>
      <c r="E2938" s="27" t="str">
        <f>IFERROR((F2937+D2938)*'Investment Calculator'!$C$7/'Investment Calculator'!$F$4,"")</f>
        <v/>
      </c>
      <c r="F2938" s="27" t="str">
        <f>IFERROR(ABS(FV('Investment Calculator'!$C$7/'Investment Calculator'!$F$4,'SIP Schedule'!C2938,'SIP Schedule'!D2938,,1)),"")</f>
        <v/>
      </c>
    </row>
    <row r="2939" spans="3:6" x14ac:dyDescent="0.3">
      <c r="C2939" s="1" t="str">
        <f>IF(C2938&lt;'Investment Calculator'!$C$8*'Investment Calculator'!$F$4,'SIP Schedule'!C2938+1,"")</f>
        <v/>
      </c>
      <c r="D2939" s="27" t="str">
        <f>IF(C2939&lt;='Investment Calculator'!$C$8*'Investment Calculator'!$F$4,'Investment Calculator'!$C$6,"")</f>
        <v/>
      </c>
      <c r="E2939" s="27" t="str">
        <f>IFERROR((F2938+D2939)*'Investment Calculator'!$C$7/'Investment Calculator'!$F$4,"")</f>
        <v/>
      </c>
      <c r="F2939" s="27" t="str">
        <f>IFERROR(ABS(FV('Investment Calculator'!$C$7/'Investment Calculator'!$F$4,'SIP Schedule'!C2939,'SIP Schedule'!D2939,,1)),"")</f>
        <v/>
      </c>
    </row>
    <row r="2940" spans="3:6" x14ac:dyDescent="0.3">
      <c r="C2940" s="1" t="str">
        <f>IF(C2939&lt;'Investment Calculator'!$C$8*'Investment Calculator'!$F$4,'SIP Schedule'!C2939+1,"")</f>
        <v/>
      </c>
      <c r="D2940" s="27" t="str">
        <f>IF(C2940&lt;='Investment Calculator'!$C$8*'Investment Calculator'!$F$4,'Investment Calculator'!$C$6,"")</f>
        <v/>
      </c>
      <c r="E2940" s="27" t="str">
        <f>IFERROR((F2939+D2940)*'Investment Calculator'!$C$7/'Investment Calculator'!$F$4,"")</f>
        <v/>
      </c>
      <c r="F2940" s="27" t="str">
        <f>IFERROR(ABS(FV('Investment Calculator'!$C$7/'Investment Calculator'!$F$4,'SIP Schedule'!C2940,'SIP Schedule'!D2940,,1)),"")</f>
        <v/>
      </c>
    </row>
    <row r="2941" spans="3:6" x14ac:dyDescent="0.3">
      <c r="C2941" s="1" t="str">
        <f>IF(C2940&lt;'Investment Calculator'!$C$8*'Investment Calculator'!$F$4,'SIP Schedule'!C2940+1,"")</f>
        <v/>
      </c>
      <c r="D2941" s="27" t="str">
        <f>IF(C2941&lt;='Investment Calculator'!$C$8*'Investment Calculator'!$F$4,'Investment Calculator'!$C$6,"")</f>
        <v/>
      </c>
      <c r="E2941" s="27" t="str">
        <f>IFERROR((F2940+D2941)*'Investment Calculator'!$C$7/'Investment Calculator'!$F$4,"")</f>
        <v/>
      </c>
      <c r="F2941" s="27" t="str">
        <f>IFERROR(ABS(FV('Investment Calculator'!$C$7/'Investment Calculator'!$F$4,'SIP Schedule'!C2941,'SIP Schedule'!D2941,,1)),"")</f>
        <v/>
      </c>
    </row>
    <row r="2942" spans="3:6" x14ac:dyDescent="0.3">
      <c r="C2942" s="1" t="str">
        <f>IF(C2941&lt;'Investment Calculator'!$C$8*'Investment Calculator'!$F$4,'SIP Schedule'!C2941+1,"")</f>
        <v/>
      </c>
      <c r="D2942" s="27" t="str">
        <f>IF(C2942&lt;='Investment Calculator'!$C$8*'Investment Calculator'!$F$4,'Investment Calculator'!$C$6,"")</f>
        <v/>
      </c>
      <c r="E2942" s="27" t="str">
        <f>IFERROR((F2941+D2942)*'Investment Calculator'!$C$7/'Investment Calculator'!$F$4,"")</f>
        <v/>
      </c>
      <c r="F2942" s="27" t="str">
        <f>IFERROR(ABS(FV('Investment Calculator'!$C$7/'Investment Calculator'!$F$4,'SIP Schedule'!C2942,'SIP Schedule'!D2942,,1)),"")</f>
        <v/>
      </c>
    </row>
    <row r="2943" spans="3:6" x14ac:dyDescent="0.3">
      <c r="C2943" s="1" t="str">
        <f>IF(C2942&lt;'Investment Calculator'!$C$8*'Investment Calculator'!$F$4,'SIP Schedule'!C2942+1,"")</f>
        <v/>
      </c>
      <c r="D2943" s="27" t="str">
        <f>IF(C2943&lt;='Investment Calculator'!$C$8*'Investment Calculator'!$F$4,'Investment Calculator'!$C$6,"")</f>
        <v/>
      </c>
      <c r="E2943" s="27" t="str">
        <f>IFERROR((F2942+D2943)*'Investment Calculator'!$C$7/'Investment Calculator'!$F$4,"")</f>
        <v/>
      </c>
      <c r="F2943" s="27" t="str">
        <f>IFERROR(ABS(FV('Investment Calculator'!$C$7/'Investment Calculator'!$F$4,'SIP Schedule'!C2943,'SIP Schedule'!D2943,,1)),"")</f>
        <v/>
      </c>
    </row>
    <row r="2944" spans="3:6" x14ac:dyDescent="0.3">
      <c r="C2944" s="1" t="str">
        <f>IF(C2943&lt;'Investment Calculator'!$C$8*'Investment Calculator'!$F$4,'SIP Schedule'!C2943+1,"")</f>
        <v/>
      </c>
      <c r="D2944" s="27" t="str">
        <f>IF(C2944&lt;='Investment Calculator'!$C$8*'Investment Calculator'!$F$4,'Investment Calculator'!$C$6,"")</f>
        <v/>
      </c>
      <c r="E2944" s="27" t="str">
        <f>IFERROR((F2943+D2944)*'Investment Calculator'!$C$7/'Investment Calculator'!$F$4,"")</f>
        <v/>
      </c>
      <c r="F2944" s="27" t="str">
        <f>IFERROR(ABS(FV('Investment Calculator'!$C$7/'Investment Calculator'!$F$4,'SIP Schedule'!C2944,'SIP Schedule'!D2944,,1)),"")</f>
        <v/>
      </c>
    </row>
    <row r="2945" spans="3:6" x14ac:dyDescent="0.3">
      <c r="C2945" s="1" t="str">
        <f>IF(C2944&lt;'Investment Calculator'!$C$8*'Investment Calculator'!$F$4,'SIP Schedule'!C2944+1,"")</f>
        <v/>
      </c>
      <c r="D2945" s="27" t="str">
        <f>IF(C2945&lt;='Investment Calculator'!$C$8*'Investment Calculator'!$F$4,'Investment Calculator'!$C$6,"")</f>
        <v/>
      </c>
      <c r="E2945" s="27" t="str">
        <f>IFERROR((F2944+D2945)*'Investment Calculator'!$C$7/'Investment Calculator'!$F$4,"")</f>
        <v/>
      </c>
      <c r="F2945" s="27" t="str">
        <f>IFERROR(ABS(FV('Investment Calculator'!$C$7/'Investment Calculator'!$F$4,'SIP Schedule'!C2945,'SIP Schedule'!D2945,,1)),"")</f>
        <v/>
      </c>
    </row>
    <row r="2946" spans="3:6" x14ac:dyDescent="0.3">
      <c r="C2946" s="1" t="str">
        <f>IF(C2945&lt;'Investment Calculator'!$C$8*'Investment Calculator'!$F$4,'SIP Schedule'!C2945+1,"")</f>
        <v/>
      </c>
      <c r="D2946" s="27" t="str">
        <f>IF(C2946&lt;='Investment Calculator'!$C$8*'Investment Calculator'!$F$4,'Investment Calculator'!$C$6,"")</f>
        <v/>
      </c>
      <c r="E2946" s="27" t="str">
        <f>IFERROR((F2945+D2946)*'Investment Calculator'!$C$7/'Investment Calculator'!$F$4,"")</f>
        <v/>
      </c>
      <c r="F2946" s="27" t="str">
        <f>IFERROR(ABS(FV('Investment Calculator'!$C$7/'Investment Calculator'!$F$4,'SIP Schedule'!C2946,'SIP Schedule'!D2946,,1)),"")</f>
        <v/>
      </c>
    </row>
    <row r="2947" spans="3:6" x14ac:dyDescent="0.3">
      <c r="C2947" s="1" t="str">
        <f>IF(C2946&lt;'Investment Calculator'!$C$8*'Investment Calculator'!$F$4,'SIP Schedule'!C2946+1,"")</f>
        <v/>
      </c>
      <c r="D2947" s="27" t="str">
        <f>IF(C2947&lt;='Investment Calculator'!$C$8*'Investment Calculator'!$F$4,'Investment Calculator'!$C$6,"")</f>
        <v/>
      </c>
      <c r="E2947" s="27" t="str">
        <f>IFERROR((F2946+D2947)*'Investment Calculator'!$C$7/'Investment Calculator'!$F$4,"")</f>
        <v/>
      </c>
      <c r="F2947" s="27" t="str">
        <f>IFERROR(ABS(FV('Investment Calculator'!$C$7/'Investment Calculator'!$F$4,'SIP Schedule'!C2947,'SIP Schedule'!D2947,,1)),"")</f>
        <v/>
      </c>
    </row>
    <row r="2948" spans="3:6" x14ac:dyDescent="0.3">
      <c r="C2948" s="1" t="str">
        <f>IF(C2947&lt;'Investment Calculator'!$C$8*'Investment Calculator'!$F$4,'SIP Schedule'!C2947+1,"")</f>
        <v/>
      </c>
      <c r="D2948" s="27" t="str">
        <f>IF(C2948&lt;='Investment Calculator'!$C$8*'Investment Calculator'!$F$4,'Investment Calculator'!$C$6,"")</f>
        <v/>
      </c>
      <c r="E2948" s="27" t="str">
        <f>IFERROR((F2947+D2948)*'Investment Calculator'!$C$7/'Investment Calculator'!$F$4,"")</f>
        <v/>
      </c>
      <c r="F2948" s="27" t="str">
        <f>IFERROR(ABS(FV('Investment Calculator'!$C$7/'Investment Calculator'!$F$4,'SIP Schedule'!C2948,'SIP Schedule'!D2948,,1)),"")</f>
        <v/>
      </c>
    </row>
    <row r="2949" spans="3:6" x14ac:dyDescent="0.3">
      <c r="C2949" s="1" t="str">
        <f>IF(C2948&lt;'Investment Calculator'!$C$8*'Investment Calculator'!$F$4,'SIP Schedule'!C2948+1,"")</f>
        <v/>
      </c>
      <c r="D2949" s="27" t="str">
        <f>IF(C2949&lt;='Investment Calculator'!$C$8*'Investment Calculator'!$F$4,'Investment Calculator'!$C$6,"")</f>
        <v/>
      </c>
      <c r="E2949" s="27" t="str">
        <f>IFERROR((F2948+D2949)*'Investment Calculator'!$C$7/'Investment Calculator'!$F$4,"")</f>
        <v/>
      </c>
      <c r="F2949" s="27" t="str">
        <f>IFERROR(ABS(FV('Investment Calculator'!$C$7/'Investment Calculator'!$F$4,'SIP Schedule'!C2949,'SIP Schedule'!D2949,,1)),"")</f>
        <v/>
      </c>
    </row>
    <row r="2950" spans="3:6" x14ac:dyDescent="0.3">
      <c r="C2950" s="1" t="str">
        <f>IF(C2949&lt;'Investment Calculator'!$C$8*'Investment Calculator'!$F$4,'SIP Schedule'!C2949+1,"")</f>
        <v/>
      </c>
      <c r="D2950" s="27" t="str">
        <f>IF(C2950&lt;='Investment Calculator'!$C$8*'Investment Calculator'!$F$4,'Investment Calculator'!$C$6,"")</f>
        <v/>
      </c>
      <c r="E2950" s="27" t="str">
        <f>IFERROR((F2949+D2950)*'Investment Calculator'!$C$7/'Investment Calculator'!$F$4,"")</f>
        <v/>
      </c>
      <c r="F2950" s="27" t="str">
        <f>IFERROR(ABS(FV('Investment Calculator'!$C$7/'Investment Calculator'!$F$4,'SIP Schedule'!C2950,'SIP Schedule'!D2950,,1)),"")</f>
        <v/>
      </c>
    </row>
    <row r="2951" spans="3:6" x14ac:dyDescent="0.3">
      <c r="C2951" s="1" t="str">
        <f>IF(C2950&lt;'Investment Calculator'!$C$8*'Investment Calculator'!$F$4,'SIP Schedule'!C2950+1,"")</f>
        <v/>
      </c>
      <c r="D2951" s="27" t="str">
        <f>IF(C2951&lt;='Investment Calculator'!$C$8*'Investment Calculator'!$F$4,'Investment Calculator'!$C$6,"")</f>
        <v/>
      </c>
      <c r="E2951" s="27" t="str">
        <f>IFERROR((F2950+D2951)*'Investment Calculator'!$C$7/'Investment Calculator'!$F$4,"")</f>
        <v/>
      </c>
      <c r="F2951" s="27" t="str">
        <f>IFERROR(ABS(FV('Investment Calculator'!$C$7/'Investment Calculator'!$F$4,'SIP Schedule'!C2951,'SIP Schedule'!D2951,,1)),"")</f>
        <v/>
      </c>
    </row>
    <row r="2952" spans="3:6" x14ac:dyDescent="0.3">
      <c r="C2952" s="1" t="str">
        <f>IF(C2951&lt;'Investment Calculator'!$C$8*'Investment Calculator'!$F$4,'SIP Schedule'!C2951+1,"")</f>
        <v/>
      </c>
      <c r="D2952" s="27" t="str">
        <f>IF(C2952&lt;='Investment Calculator'!$C$8*'Investment Calculator'!$F$4,'Investment Calculator'!$C$6,"")</f>
        <v/>
      </c>
      <c r="E2952" s="27" t="str">
        <f>IFERROR((F2951+D2952)*'Investment Calculator'!$C$7/'Investment Calculator'!$F$4,"")</f>
        <v/>
      </c>
      <c r="F2952" s="27" t="str">
        <f>IFERROR(ABS(FV('Investment Calculator'!$C$7/'Investment Calculator'!$F$4,'SIP Schedule'!C2952,'SIP Schedule'!D2952,,1)),"")</f>
        <v/>
      </c>
    </row>
    <row r="2953" spans="3:6" x14ac:dyDescent="0.3">
      <c r="C2953" s="1" t="str">
        <f>IF(C2952&lt;'Investment Calculator'!$C$8*'Investment Calculator'!$F$4,'SIP Schedule'!C2952+1,"")</f>
        <v/>
      </c>
      <c r="D2953" s="27" t="str">
        <f>IF(C2953&lt;='Investment Calculator'!$C$8*'Investment Calculator'!$F$4,'Investment Calculator'!$C$6,"")</f>
        <v/>
      </c>
      <c r="E2953" s="27" t="str">
        <f>IFERROR((F2952+D2953)*'Investment Calculator'!$C$7/'Investment Calculator'!$F$4,"")</f>
        <v/>
      </c>
      <c r="F2953" s="27" t="str">
        <f>IFERROR(ABS(FV('Investment Calculator'!$C$7/'Investment Calculator'!$F$4,'SIP Schedule'!C2953,'SIP Schedule'!D2953,,1)),"")</f>
        <v/>
      </c>
    </row>
    <row r="2954" spans="3:6" x14ac:dyDescent="0.3">
      <c r="C2954" s="1" t="str">
        <f>IF(C2953&lt;'Investment Calculator'!$C$8*'Investment Calculator'!$F$4,'SIP Schedule'!C2953+1,"")</f>
        <v/>
      </c>
      <c r="D2954" s="27" t="str">
        <f>IF(C2954&lt;='Investment Calculator'!$C$8*'Investment Calculator'!$F$4,'Investment Calculator'!$C$6,"")</f>
        <v/>
      </c>
      <c r="E2954" s="27" t="str">
        <f>IFERROR((F2953+D2954)*'Investment Calculator'!$C$7/'Investment Calculator'!$F$4,"")</f>
        <v/>
      </c>
      <c r="F2954" s="27" t="str">
        <f>IFERROR(ABS(FV('Investment Calculator'!$C$7/'Investment Calculator'!$F$4,'SIP Schedule'!C2954,'SIP Schedule'!D2954,,1)),"")</f>
        <v/>
      </c>
    </row>
    <row r="2955" spans="3:6" x14ac:dyDescent="0.3">
      <c r="C2955" s="1" t="str">
        <f>IF(C2954&lt;'Investment Calculator'!$C$8*'Investment Calculator'!$F$4,'SIP Schedule'!C2954+1,"")</f>
        <v/>
      </c>
      <c r="D2955" s="27" t="str">
        <f>IF(C2955&lt;='Investment Calculator'!$C$8*'Investment Calculator'!$F$4,'Investment Calculator'!$C$6,"")</f>
        <v/>
      </c>
      <c r="E2955" s="27" t="str">
        <f>IFERROR((F2954+D2955)*'Investment Calculator'!$C$7/'Investment Calculator'!$F$4,"")</f>
        <v/>
      </c>
      <c r="F2955" s="27" t="str">
        <f>IFERROR(ABS(FV('Investment Calculator'!$C$7/'Investment Calculator'!$F$4,'SIP Schedule'!C2955,'SIP Schedule'!D2955,,1)),"")</f>
        <v/>
      </c>
    </row>
    <row r="2956" spans="3:6" x14ac:dyDescent="0.3">
      <c r="C2956" s="1" t="str">
        <f>IF(C2955&lt;'Investment Calculator'!$C$8*'Investment Calculator'!$F$4,'SIP Schedule'!C2955+1,"")</f>
        <v/>
      </c>
      <c r="D2956" s="27" t="str">
        <f>IF(C2956&lt;='Investment Calculator'!$C$8*'Investment Calculator'!$F$4,'Investment Calculator'!$C$6,"")</f>
        <v/>
      </c>
      <c r="E2956" s="27" t="str">
        <f>IFERROR((F2955+D2956)*'Investment Calculator'!$C$7/'Investment Calculator'!$F$4,"")</f>
        <v/>
      </c>
      <c r="F2956" s="27" t="str">
        <f>IFERROR(ABS(FV('Investment Calculator'!$C$7/'Investment Calculator'!$F$4,'SIP Schedule'!C2956,'SIP Schedule'!D2956,,1)),"")</f>
        <v/>
      </c>
    </row>
    <row r="2957" spans="3:6" x14ac:dyDescent="0.3">
      <c r="C2957" s="1" t="str">
        <f>IF(C2956&lt;'Investment Calculator'!$C$8*'Investment Calculator'!$F$4,'SIP Schedule'!C2956+1,"")</f>
        <v/>
      </c>
      <c r="D2957" s="27" t="str">
        <f>IF(C2957&lt;='Investment Calculator'!$C$8*'Investment Calculator'!$F$4,'Investment Calculator'!$C$6,"")</f>
        <v/>
      </c>
      <c r="E2957" s="27" t="str">
        <f>IFERROR((F2956+D2957)*'Investment Calculator'!$C$7/'Investment Calculator'!$F$4,"")</f>
        <v/>
      </c>
      <c r="F2957" s="27" t="str">
        <f>IFERROR(ABS(FV('Investment Calculator'!$C$7/'Investment Calculator'!$F$4,'SIP Schedule'!C2957,'SIP Schedule'!D2957,,1)),"")</f>
        <v/>
      </c>
    </row>
    <row r="2958" spans="3:6" x14ac:dyDescent="0.3">
      <c r="C2958" s="1" t="str">
        <f>IF(C2957&lt;'Investment Calculator'!$C$8*'Investment Calculator'!$F$4,'SIP Schedule'!C2957+1,"")</f>
        <v/>
      </c>
      <c r="D2958" s="27" t="str">
        <f>IF(C2958&lt;='Investment Calculator'!$C$8*'Investment Calculator'!$F$4,'Investment Calculator'!$C$6,"")</f>
        <v/>
      </c>
      <c r="E2958" s="27" t="str">
        <f>IFERROR((F2957+D2958)*'Investment Calculator'!$C$7/'Investment Calculator'!$F$4,"")</f>
        <v/>
      </c>
      <c r="F2958" s="27" t="str">
        <f>IFERROR(ABS(FV('Investment Calculator'!$C$7/'Investment Calculator'!$F$4,'SIP Schedule'!C2958,'SIP Schedule'!D2958,,1)),"")</f>
        <v/>
      </c>
    </row>
    <row r="2959" spans="3:6" x14ac:dyDescent="0.3">
      <c r="C2959" s="1" t="str">
        <f>IF(C2958&lt;'Investment Calculator'!$C$8*'Investment Calculator'!$F$4,'SIP Schedule'!C2958+1,"")</f>
        <v/>
      </c>
      <c r="D2959" s="27" t="str">
        <f>IF(C2959&lt;='Investment Calculator'!$C$8*'Investment Calculator'!$F$4,'Investment Calculator'!$C$6,"")</f>
        <v/>
      </c>
      <c r="E2959" s="27" t="str">
        <f>IFERROR((F2958+D2959)*'Investment Calculator'!$C$7/'Investment Calculator'!$F$4,"")</f>
        <v/>
      </c>
      <c r="F2959" s="27" t="str">
        <f>IFERROR(ABS(FV('Investment Calculator'!$C$7/'Investment Calculator'!$F$4,'SIP Schedule'!C2959,'SIP Schedule'!D2959,,1)),"")</f>
        <v/>
      </c>
    </row>
    <row r="2960" spans="3:6" x14ac:dyDescent="0.3">
      <c r="C2960" s="1" t="str">
        <f>IF(C2959&lt;'Investment Calculator'!$C$8*'Investment Calculator'!$F$4,'SIP Schedule'!C2959+1,"")</f>
        <v/>
      </c>
      <c r="D2960" s="27" t="str">
        <f>IF(C2960&lt;='Investment Calculator'!$C$8*'Investment Calculator'!$F$4,'Investment Calculator'!$C$6,"")</f>
        <v/>
      </c>
      <c r="E2960" s="27" t="str">
        <f>IFERROR((F2959+D2960)*'Investment Calculator'!$C$7/'Investment Calculator'!$F$4,"")</f>
        <v/>
      </c>
      <c r="F2960" s="27" t="str">
        <f>IFERROR(ABS(FV('Investment Calculator'!$C$7/'Investment Calculator'!$F$4,'SIP Schedule'!C2960,'SIP Schedule'!D2960,,1)),"")</f>
        <v/>
      </c>
    </row>
    <row r="2961" spans="3:6" x14ac:dyDescent="0.3">
      <c r="C2961" s="1" t="str">
        <f>IF(C2960&lt;'Investment Calculator'!$C$8*'Investment Calculator'!$F$4,'SIP Schedule'!C2960+1,"")</f>
        <v/>
      </c>
      <c r="D2961" s="27" t="str">
        <f>IF(C2961&lt;='Investment Calculator'!$C$8*'Investment Calculator'!$F$4,'Investment Calculator'!$C$6,"")</f>
        <v/>
      </c>
      <c r="E2961" s="27" t="str">
        <f>IFERROR((F2960+D2961)*'Investment Calculator'!$C$7/'Investment Calculator'!$F$4,"")</f>
        <v/>
      </c>
      <c r="F2961" s="27" t="str">
        <f>IFERROR(ABS(FV('Investment Calculator'!$C$7/'Investment Calculator'!$F$4,'SIP Schedule'!C2961,'SIP Schedule'!D2961,,1)),"")</f>
        <v/>
      </c>
    </row>
    <row r="2962" spans="3:6" x14ac:dyDescent="0.3">
      <c r="C2962" s="1" t="str">
        <f>IF(C2961&lt;'Investment Calculator'!$C$8*'Investment Calculator'!$F$4,'SIP Schedule'!C2961+1,"")</f>
        <v/>
      </c>
      <c r="D2962" s="27" t="str">
        <f>IF(C2962&lt;='Investment Calculator'!$C$8*'Investment Calculator'!$F$4,'Investment Calculator'!$C$6,"")</f>
        <v/>
      </c>
      <c r="E2962" s="27" t="str">
        <f>IFERROR((F2961+D2962)*'Investment Calculator'!$C$7/'Investment Calculator'!$F$4,"")</f>
        <v/>
      </c>
      <c r="F2962" s="27" t="str">
        <f>IFERROR(ABS(FV('Investment Calculator'!$C$7/'Investment Calculator'!$F$4,'SIP Schedule'!C2962,'SIP Schedule'!D2962,,1)),"")</f>
        <v/>
      </c>
    </row>
    <row r="2963" spans="3:6" x14ac:dyDescent="0.3">
      <c r="C2963" s="1" t="str">
        <f>IF(C2962&lt;'Investment Calculator'!$C$8*'Investment Calculator'!$F$4,'SIP Schedule'!C2962+1,"")</f>
        <v/>
      </c>
      <c r="D2963" s="27" t="str">
        <f>IF(C2963&lt;='Investment Calculator'!$C$8*'Investment Calculator'!$F$4,'Investment Calculator'!$C$6,"")</f>
        <v/>
      </c>
      <c r="E2963" s="27" t="str">
        <f>IFERROR((F2962+D2963)*'Investment Calculator'!$C$7/'Investment Calculator'!$F$4,"")</f>
        <v/>
      </c>
      <c r="F2963" s="27" t="str">
        <f>IFERROR(ABS(FV('Investment Calculator'!$C$7/'Investment Calculator'!$F$4,'SIP Schedule'!C2963,'SIP Schedule'!D2963,,1)),"")</f>
        <v/>
      </c>
    </row>
    <row r="2964" spans="3:6" x14ac:dyDescent="0.3">
      <c r="C2964" s="1" t="str">
        <f>IF(C2963&lt;'Investment Calculator'!$C$8*'Investment Calculator'!$F$4,'SIP Schedule'!C2963+1,"")</f>
        <v/>
      </c>
      <c r="D2964" s="27" t="str">
        <f>IF(C2964&lt;='Investment Calculator'!$C$8*'Investment Calculator'!$F$4,'Investment Calculator'!$C$6,"")</f>
        <v/>
      </c>
      <c r="E2964" s="27" t="str">
        <f>IFERROR((F2963+D2964)*'Investment Calculator'!$C$7/'Investment Calculator'!$F$4,"")</f>
        <v/>
      </c>
      <c r="F2964" s="27" t="str">
        <f>IFERROR(ABS(FV('Investment Calculator'!$C$7/'Investment Calculator'!$F$4,'SIP Schedule'!C2964,'SIP Schedule'!D2964,,1)),"")</f>
        <v/>
      </c>
    </row>
    <row r="2965" spans="3:6" x14ac:dyDescent="0.3">
      <c r="C2965" s="1" t="str">
        <f>IF(C2964&lt;'Investment Calculator'!$C$8*'Investment Calculator'!$F$4,'SIP Schedule'!C2964+1,"")</f>
        <v/>
      </c>
      <c r="D2965" s="27" t="str">
        <f>IF(C2965&lt;='Investment Calculator'!$C$8*'Investment Calculator'!$F$4,'Investment Calculator'!$C$6,"")</f>
        <v/>
      </c>
      <c r="E2965" s="27" t="str">
        <f>IFERROR((F2964+D2965)*'Investment Calculator'!$C$7/'Investment Calculator'!$F$4,"")</f>
        <v/>
      </c>
      <c r="F2965" s="27" t="str">
        <f>IFERROR(ABS(FV('Investment Calculator'!$C$7/'Investment Calculator'!$F$4,'SIP Schedule'!C2965,'SIP Schedule'!D2965,,1)),"")</f>
        <v/>
      </c>
    </row>
    <row r="2966" spans="3:6" x14ac:dyDescent="0.3">
      <c r="C2966" s="1" t="str">
        <f>IF(C2965&lt;'Investment Calculator'!$C$8*'Investment Calculator'!$F$4,'SIP Schedule'!C2965+1,"")</f>
        <v/>
      </c>
      <c r="D2966" s="27" t="str">
        <f>IF(C2966&lt;='Investment Calculator'!$C$8*'Investment Calculator'!$F$4,'Investment Calculator'!$C$6,"")</f>
        <v/>
      </c>
      <c r="E2966" s="27" t="str">
        <f>IFERROR((F2965+D2966)*'Investment Calculator'!$C$7/'Investment Calculator'!$F$4,"")</f>
        <v/>
      </c>
      <c r="F2966" s="27" t="str">
        <f>IFERROR(ABS(FV('Investment Calculator'!$C$7/'Investment Calculator'!$F$4,'SIP Schedule'!C2966,'SIP Schedule'!D2966,,1)),"")</f>
        <v/>
      </c>
    </row>
    <row r="2967" spans="3:6" x14ac:dyDescent="0.3">
      <c r="C2967" s="1" t="str">
        <f>IF(C2966&lt;'Investment Calculator'!$C$8*'Investment Calculator'!$F$4,'SIP Schedule'!C2966+1,"")</f>
        <v/>
      </c>
      <c r="D2967" s="27" t="str">
        <f>IF(C2967&lt;='Investment Calculator'!$C$8*'Investment Calculator'!$F$4,'Investment Calculator'!$C$6,"")</f>
        <v/>
      </c>
      <c r="E2967" s="27" t="str">
        <f>IFERROR((F2966+D2967)*'Investment Calculator'!$C$7/'Investment Calculator'!$F$4,"")</f>
        <v/>
      </c>
      <c r="F2967" s="27" t="str">
        <f>IFERROR(ABS(FV('Investment Calculator'!$C$7/'Investment Calculator'!$F$4,'SIP Schedule'!C2967,'SIP Schedule'!D2967,,1)),"")</f>
        <v/>
      </c>
    </row>
    <row r="2968" spans="3:6" x14ac:dyDescent="0.3">
      <c r="C2968" s="1" t="str">
        <f>IF(C2967&lt;'Investment Calculator'!$C$8*'Investment Calculator'!$F$4,'SIP Schedule'!C2967+1,"")</f>
        <v/>
      </c>
      <c r="D2968" s="27" t="str">
        <f>IF(C2968&lt;='Investment Calculator'!$C$8*'Investment Calculator'!$F$4,'Investment Calculator'!$C$6,"")</f>
        <v/>
      </c>
      <c r="E2968" s="27" t="str">
        <f>IFERROR((F2967+D2968)*'Investment Calculator'!$C$7/'Investment Calculator'!$F$4,"")</f>
        <v/>
      </c>
      <c r="F2968" s="27" t="str">
        <f>IFERROR(ABS(FV('Investment Calculator'!$C$7/'Investment Calculator'!$F$4,'SIP Schedule'!C2968,'SIP Schedule'!D2968,,1)),"")</f>
        <v/>
      </c>
    </row>
    <row r="2969" spans="3:6" x14ac:dyDescent="0.3">
      <c r="C2969" s="1" t="str">
        <f>IF(C2968&lt;'Investment Calculator'!$C$8*'Investment Calculator'!$F$4,'SIP Schedule'!C2968+1,"")</f>
        <v/>
      </c>
      <c r="D2969" s="27" t="str">
        <f>IF(C2969&lt;='Investment Calculator'!$C$8*'Investment Calculator'!$F$4,'Investment Calculator'!$C$6,"")</f>
        <v/>
      </c>
      <c r="E2969" s="27" t="str">
        <f>IFERROR((F2968+D2969)*'Investment Calculator'!$C$7/'Investment Calculator'!$F$4,"")</f>
        <v/>
      </c>
      <c r="F2969" s="27" t="str">
        <f>IFERROR(ABS(FV('Investment Calculator'!$C$7/'Investment Calculator'!$F$4,'SIP Schedule'!C2969,'SIP Schedule'!D2969,,1)),"")</f>
        <v/>
      </c>
    </row>
    <row r="2970" spans="3:6" x14ac:dyDescent="0.3">
      <c r="C2970" s="1" t="str">
        <f>IF(C2969&lt;'Investment Calculator'!$C$8*'Investment Calculator'!$F$4,'SIP Schedule'!C2969+1,"")</f>
        <v/>
      </c>
      <c r="D2970" s="27" t="str">
        <f>IF(C2970&lt;='Investment Calculator'!$C$8*'Investment Calculator'!$F$4,'Investment Calculator'!$C$6,"")</f>
        <v/>
      </c>
      <c r="E2970" s="27" t="str">
        <f>IFERROR((F2969+D2970)*'Investment Calculator'!$C$7/'Investment Calculator'!$F$4,"")</f>
        <v/>
      </c>
      <c r="F2970" s="27" t="str">
        <f>IFERROR(ABS(FV('Investment Calculator'!$C$7/'Investment Calculator'!$F$4,'SIP Schedule'!C2970,'SIP Schedule'!D2970,,1)),"")</f>
        <v/>
      </c>
    </row>
    <row r="2971" spans="3:6" x14ac:dyDescent="0.3">
      <c r="C2971" s="1" t="str">
        <f>IF(C2970&lt;'Investment Calculator'!$C$8*'Investment Calculator'!$F$4,'SIP Schedule'!C2970+1,"")</f>
        <v/>
      </c>
      <c r="D2971" s="27" t="str">
        <f>IF(C2971&lt;='Investment Calculator'!$C$8*'Investment Calculator'!$F$4,'Investment Calculator'!$C$6,"")</f>
        <v/>
      </c>
      <c r="E2971" s="27" t="str">
        <f>IFERROR((F2970+D2971)*'Investment Calculator'!$C$7/'Investment Calculator'!$F$4,"")</f>
        <v/>
      </c>
      <c r="F2971" s="27" t="str">
        <f>IFERROR(ABS(FV('Investment Calculator'!$C$7/'Investment Calculator'!$F$4,'SIP Schedule'!C2971,'SIP Schedule'!D2971,,1)),"")</f>
        <v/>
      </c>
    </row>
    <row r="2972" spans="3:6" x14ac:dyDescent="0.3">
      <c r="C2972" s="1" t="str">
        <f>IF(C2971&lt;'Investment Calculator'!$C$8*'Investment Calculator'!$F$4,'SIP Schedule'!C2971+1,"")</f>
        <v/>
      </c>
      <c r="D2972" s="27" t="str">
        <f>IF(C2972&lt;='Investment Calculator'!$C$8*'Investment Calculator'!$F$4,'Investment Calculator'!$C$6,"")</f>
        <v/>
      </c>
      <c r="E2972" s="27" t="str">
        <f>IFERROR((F2971+D2972)*'Investment Calculator'!$C$7/'Investment Calculator'!$F$4,"")</f>
        <v/>
      </c>
      <c r="F2972" s="27" t="str">
        <f>IFERROR(ABS(FV('Investment Calculator'!$C$7/'Investment Calculator'!$F$4,'SIP Schedule'!C2972,'SIP Schedule'!D2972,,1)),"")</f>
        <v/>
      </c>
    </row>
    <row r="2973" spans="3:6" x14ac:dyDescent="0.3">
      <c r="C2973" s="1" t="str">
        <f>IF(C2972&lt;'Investment Calculator'!$C$8*'Investment Calculator'!$F$4,'SIP Schedule'!C2972+1,"")</f>
        <v/>
      </c>
      <c r="D2973" s="27" t="str">
        <f>IF(C2973&lt;='Investment Calculator'!$C$8*'Investment Calculator'!$F$4,'Investment Calculator'!$C$6,"")</f>
        <v/>
      </c>
      <c r="E2973" s="27" t="str">
        <f>IFERROR((F2972+D2973)*'Investment Calculator'!$C$7/'Investment Calculator'!$F$4,"")</f>
        <v/>
      </c>
      <c r="F2973" s="27" t="str">
        <f>IFERROR(ABS(FV('Investment Calculator'!$C$7/'Investment Calculator'!$F$4,'SIP Schedule'!C2973,'SIP Schedule'!D2973,,1)),"")</f>
        <v/>
      </c>
    </row>
    <row r="2974" spans="3:6" x14ac:dyDescent="0.3">
      <c r="C2974" s="1" t="str">
        <f>IF(C2973&lt;'Investment Calculator'!$C$8*'Investment Calculator'!$F$4,'SIP Schedule'!C2973+1,"")</f>
        <v/>
      </c>
      <c r="D2974" s="27" t="str">
        <f>IF(C2974&lt;='Investment Calculator'!$C$8*'Investment Calculator'!$F$4,'Investment Calculator'!$C$6,"")</f>
        <v/>
      </c>
      <c r="E2974" s="27" t="str">
        <f>IFERROR((F2973+D2974)*'Investment Calculator'!$C$7/'Investment Calculator'!$F$4,"")</f>
        <v/>
      </c>
      <c r="F2974" s="27" t="str">
        <f>IFERROR(ABS(FV('Investment Calculator'!$C$7/'Investment Calculator'!$F$4,'SIP Schedule'!C2974,'SIP Schedule'!D2974,,1)),"")</f>
        <v/>
      </c>
    </row>
    <row r="2975" spans="3:6" x14ac:dyDescent="0.3">
      <c r="C2975" s="1" t="str">
        <f>IF(C2974&lt;'Investment Calculator'!$C$8*'Investment Calculator'!$F$4,'SIP Schedule'!C2974+1,"")</f>
        <v/>
      </c>
      <c r="D2975" s="27" t="str">
        <f>IF(C2975&lt;='Investment Calculator'!$C$8*'Investment Calculator'!$F$4,'Investment Calculator'!$C$6,"")</f>
        <v/>
      </c>
      <c r="E2975" s="27" t="str">
        <f>IFERROR((F2974+D2975)*'Investment Calculator'!$C$7/'Investment Calculator'!$F$4,"")</f>
        <v/>
      </c>
      <c r="F2975" s="27" t="str">
        <f>IFERROR(ABS(FV('Investment Calculator'!$C$7/'Investment Calculator'!$F$4,'SIP Schedule'!C2975,'SIP Schedule'!D2975,,1)),"")</f>
        <v/>
      </c>
    </row>
    <row r="2976" spans="3:6" x14ac:dyDescent="0.3">
      <c r="C2976" s="1" t="str">
        <f>IF(C2975&lt;'Investment Calculator'!$C$8*'Investment Calculator'!$F$4,'SIP Schedule'!C2975+1,"")</f>
        <v/>
      </c>
      <c r="D2976" s="27" t="str">
        <f>IF(C2976&lt;='Investment Calculator'!$C$8*'Investment Calculator'!$F$4,'Investment Calculator'!$C$6,"")</f>
        <v/>
      </c>
      <c r="E2976" s="27" t="str">
        <f>IFERROR((F2975+D2976)*'Investment Calculator'!$C$7/'Investment Calculator'!$F$4,"")</f>
        <v/>
      </c>
      <c r="F2976" s="27" t="str">
        <f>IFERROR(ABS(FV('Investment Calculator'!$C$7/'Investment Calculator'!$F$4,'SIP Schedule'!C2976,'SIP Schedule'!D2976,,1)),"")</f>
        <v/>
      </c>
    </row>
    <row r="2977" spans="3:6" x14ac:dyDescent="0.3">
      <c r="C2977" s="1" t="str">
        <f>IF(C2976&lt;'Investment Calculator'!$C$8*'Investment Calculator'!$F$4,'SIP Schedule'!C2976+1,"")</f>
        <v/>
      </c>
      <c r="D2977" s="27" t="str">
        <f>IF(C2977&lt;='Investment Calculator'!$C$8*'Investment Calculator'!$F$4,'Investment Calculator'!$C$6,"")</f>
        <v/>
      </c>
      <c r="E2977" s="27" t="str">
        <f>IFERROR((F2976+D2977)*'Investment Calculator'!$C$7/'Investment Calculator'!$F$4,"")</f>
        <v/>
      </c>
      <c r="F2977" s="27" t="str">
        <f>IFERROR(ABS(FV('Investment Calculator'!$C$7/'Investment Calculator'!$F$4,'SIP Schedule'!C2977,'SIP Schedule'!D2977,,1)),"")</f>
        <v/>
      </c>
    </row>
    <row r="2978" spans="3:6" x14ac:dyDescent="0.3">
      <c r="C2978" s="1" t="str">
        <f>IF(C2977&lt;'Investment Calculator'!$C$8*'Investment Calculator'!$F$4,'SIP Schedule'!C2977+1,"")</f>
        <v/>
      </c>
      <c r="D2978" s="27" t="str">
        <f>IF(C2978&lt;='Investment Calculator'!$C$8*'Investment Calculator'!$F$4,'Investment Calculator'!$C$6,"")</f>
        <v/>
      </c>
      <c r="E2978" s="27" t="str">
        <f>IFERROR((F2977+D2978)*'Investment Calculator'!$C$7/'Investment Calculator'!$F$4,"")</f>
        <v/>
      </c>
      <c r="F2978" s="27" t="str">
        <f>IFERROR(ABS(FV('Investment Calculator'!$C$7/'Investment Calculator'!$F$4,'SIP Schedule'!C2978,'SIP Schedule'!D2978,,1)),"")</f>
        <v/>
      </c>
    </row>
    <row r="2979" spans="3:6" x14ac:dyDescent="0.3">
      <c r="C2979" s="1" t="str">
        <f>IF(C2978&lt;'Investment Calculator'!$C$8*'Investment Calculator'!$F$4,'SIP Schedule'!C2978+1,"")</f>
        <v/>
      </c>
      <c r="D2979" s="27" t="str">
        <f>IF(C2979&lt;='Investment Calculator'!$C$8*'Investment Calculator'!$F$4,'Investment Calculator'!$C$6,"")</f>
        <v/>
      </c>
      <c r="E2979" s="27" t="str">
        <f>IFERROR((F2978+D2979)*'Investment Calculator'!$C$7/'Investment Calculator'!$F$4,"")</f>
        <v/>
      </c>
      <c r="F2979" s="27" t="str">
        <f>IFERROR(ABS(FV('Investment Calculator'!$C$7/'Investment Calculator'!$F$4,'SIP Schedule'!C2979,'SIP Schedule'!D2979,,1)),"")</f>
        <v/>
      </c>
    </row>
    <row r="2980" spans="3:6" x14ac:dyDescent="0.3">
      <c r="C2980" s="1" t="str">
        <f>IF(C2979&lt;'Investment Calculator'!$C$8*'Investment Calculator'!$F$4,'SIP Schedule'!C2979+1,"")</f>
        <v/>
      </c>
      <c r="D2980" s="27" t="str">
        <f>IF(C2980&lt;='Investment Calculator'!$C$8*'Investment Calculator'!$F$4,'Investment Calculator'!$C$6,"")</f>
        <v/>
      </c>
      <c r="E2980" s="27" t="str">
        <f>IFERROR((F2979+D2980)*'Investment Calculator'!$C$7/'Investment Calculator'!$F$4,"")</f>
        <v/>
      </c>
      <c r="F2980" s="27" t="str">
        <f>IFERROR(ABS(FV('Investment Calculator'!$C$7/'Investment Calculator'!$F$4,'SIP Schedule'!C2980,'SIP Schedule'!D2980,,1)),"")</f>
        <v/>
      </c>
    </row>
    <row r="2981" spans="3:6" x14ac:dyDescent="0.3">
      <c r="C2981" s="1" t="str">
        <f>IF(C2980&lt;'Investment Calculator'!$C$8*'Investment Calculator'!$F$4,'SIP Schedule'!C2980+1,"")</f>
        <v/>
      </c>
      <c r="D2981" s="27" t="str">
        <f>IF(C2981&lt;='Investment Calculator'!$C$8*'Investment Calculator'!$F$4,'Investment Calculator'!$C$6,"")</f>
        <v/>
      </c>
      <c r="E2981" s="27" t="str">
        <f>IFERROR((F2980+D2981)*'Investment Calculator'!$C$7/'Investment Calculator'!$F$4,"")</f>
        <v/>
      </c>
      <c r="F2981" s="27" t="str">
        <f>IFERROR(ABS(FV('Investment Calculator'!$C$7/'Investment Calculator'!$F$4,'SIP Schedule'!C2981,'SIP Schedule'!D2981,,1)),"")</f>
        <v/>
      </c>
    </row>
    <row r="2982" spans="3:6" x14ac:dyDescent="0.3">
      <c r="C2982" s="1" t="str">
        <f>IF(C2981&lt;'Investment Calculator'!$C$8*'Investment Calculator'!$F$4,'SIP Schedule'!C2981+1,"")</f>
        <v/>
      </c>
      <c r="D2982" s="27" t="str">
        <f>IF(C2982&lt;='Investment Calculator'!$C$8*'Investment Calculator'!$F$4,'Investment Calculator'!$C$6,"")</f>
        <v/>
      </c>
      <c r="E2982" s="27" t="str">
        <f>IFERROR((F2981+D2982)*'Investment Calculator'!$C$7/'Investment Calculator'!$F$4,"")</f>
        <v/>
      </c>
      <c r="F2982" s="27" t="str">
        <f>IFERROR(ABS(FV('Investment Calculator'!$C$7/'Investment Calculator'!$F$4,'SIP Schedule'!C2982,'SIP Schedule'!D2982,,1)),"")</f>
        <v/>
      </c>
    </row>
    <row r="2983" spans="3:6" x14ac:dyDescent="0.3">
      <c r="C2983" s="1" t="str">
        <f>IF(C2982&lt;'Investment Calculator'!$C$8*'Investment Calculator'!$F$4,'SIP Schedule'!C2982+1,"")</f>
        <v/>
      </c>
      <c r="D2983" s="27" t="str">
        <f>IF(C2983&lt;='Investment Calculator'!$C$8*'Investment Calculator'!$F$4,'Investment Calculator'!$C$6,"")</f>
        <v/>
      </c>
      <c r="E2983" s="27" t="str">
        <f>IFERROR((F2982+D2983)*'Investment Calculator'!$C$7/'Investment Calculator'!$F$4,"")</f>
        <v/>
      </c>
      <c r="F2983" s="27" t="str">
        <f>IFERROR(ABS(FV('Investment Calculator'!$C$7/'Investment Calculator'!$F$4,'SIP Schedule'!C2983,'SIP Schedule'!D2983,,1)),"")</f>
        <v/>
      </c>
    </row>
    <row r="2984" spans="3:6" x14ac:dyDescent="0.3">
      <c r="C2984" s="1" t="str">
        <f>IF(C2983&lt;'Investment Calculator'!$C$8*'Investment Calculator'!$F$4,'SIP Schedule'!C2983+1,"")</f>
        <v/>
      </c>
      <c r="D2984" s="27" t="str">
        <f>IF(C2984&lt;='Investment Calculator'!$C$8*'Investment Calculator'!$F$4,'Investment Calculator'!$C$6,"")</f>
        <v/>
      </c>
      <c r="E2984" s="27" t="str">
        <f>IFERROR((F2983+D2984)*'Investment Calculator'!$C$7/'Investment Calculator'!$F$4,"")</f>
        <v/>
      </c>
      <c r="F2984" s="27" t="str">
        <f>IFERROR(ABS(FV('Investment Calculator'!$C$7/'Investment Calculator'!$F$4,'SIP Schedule'!C2984,'SIP Schedule'!D2984,,1)),"")</f>
        <v/>
      </c>
    </row>
    <row r="2985" spans="3:6" x14ac:dyDescent="0.3">
      <c r="C2985" s="1" t="str">
        <f>IF(C2984&lt;'Investment Calculator'!$C$8*'Investment Calculator'!$F$4,'SIP Schedule'!C2984+1,"")</f>
        <v/>
      </c>
      <c r="D2985" s="27" t="str">
        <f>IF(C2985&lt;='Investment Calculator'!$C$8*'Investment Calculator'!$F$4,'Investment Calculator'!$C$6,"")</f>
        <v/>
      </c>
      <c r="E2985" s="27" t="str">
        <f>IFERROR((F2984+D2985)*'Investment Calculator'!$C$7/'Investment Calculator'!$F$4,"")</f>
        <v/>
      </c>
      <c r="F2985" s="27" t="str">
        <f>IFERROR(ABS(FV('Investment Calculator'!$C$7/'Investment Calculator'!$F$4,'SIP Schedule'!C2985,'SIP Schedule'!D2985,,1)),"")</f>
        <v/>
      </c>
    </row>
    <row r="2986" spans="3:6" x14ac:dyDescent="0.3">
      <c r="C2986" s="1" t="str">
        <f>IF(C2985&lt;'Investment Calculator'!$C$8*'Investment Calculator'!$F$4,'SIP Schedule'!C2985+1,"")</f>
        <v/>
      </c>
      <c r="D2986" s="27" t="str">
        <f>IF(C2986&lt;='Investment Calculator'!$C$8*'Investment Calculator'!$F$4,'Investment Calculator'!$C$6,"")</f>
        <v/>
      </c>
      <c r="E2986" s="27" t="str">
        <f>IFERROR((F2985+D2986)*'Investment Calculator'!$C$7/'Investment Calculator'!$F$4,"")</f>
        <v/>
      </c>
      <c r="F2986" s="27" t="str">
        <f>IFERROR(ABS(FV('Investment Calculator'!$C$7/'Investment Calculator'!$F$4,'SIP Schedule'!C2986,'SIP Schedule'!D2986,,1)),"")</f>
        <v/>
      </c>
    </row>
    <row r="2987" spans="3:6" x14ac:dyDescent="0.3">
      <c r="C2987" s="1" t="str">
        <f>IF(C2986&lt;'Investment Calculator'!$C$8*'Investment Calculator'!$F$4,'SIP Schedule'!C2986+1,"")</f>
        <v/>
      </c>
      <c r="D2987" s="27" t="str">
        <f>IF(C2987&lt;='Investment Calculator'!$C$8*'Investment Calculator'!$F$4,'Investment Calculator'!$C$6,"")</f>
        <v/>
      </c>
      <c r="E2987" s="27" t="str">
        <f>IFERROR((F2986+D2987)*'Investment Calculator'!$C$7/'Investment Calculator'!$F$4,"")</f>
        <v/>
      </c>
      <c r="F2987" s="27" t="str">
        <f>IFERROR(ABS(FV('Investment Calculator'!$C$7/'Investment Calculator'!$F$4,'SIP Schedule'!C2987,'SIP Schedule'!D2987,,1)),"")</f>
        <v/>
      </c>
    </row>
    <row r="2988" spans="3:6" x14ac:dyDescent="0.3">
      <c r="C2988" s="1" t="str">
        <f>IF(C2987&lt;'Investment Calculator'!$C$8*'Investment Calculator'!$F$4,'SIP Schedule'!C2987+1,"")</f>
        <v/>
      </c>
      <c r="D2988" s="27" t="str">
        <f>IF(C2988&lt;='Investment Calculator'!$C$8*'Investment Calculator'!$F$4,'Investment Calculator'!$C$6,"")</f>
        <v/>
      </c>
      <c r="E2988" s="27" t="str">
        <f>IFERROR((F2987+D2988)*'Investment Calculator'!$C$7/'Investment Calculator'!$F$4,"")</f>
        <v/>
      </c>
      <c r="F2988" s="27" t="str">
        <f>IFERROR(ABS(FV('Investment Calculator'!$C$7/'Investment Calculator'!$F$4,'SIP Schedule'!C2988,'SIP Schedule'!D2988,,1)),"")</f>
        <v/>
      </c>
    </row>
    <row r="2989" spans="3:6" x14ac:dyDescent="0.3">
      <c r="C2989" s="1" t="str">
        <f>IF(C2988&lt;'Investment Calculator'!$C$8*'Investment Calculator'!$F$4,'SIP Schedule'!C2988+1,"")</f>
        <v/>
      </c>
      <c r="D2989" s="27" t="str">
        <f>IF(C2989&lt;='Investment Calculator'!$C$8*'Investment Calculator'!$F$4,'Investment Calculator'!$C$6,"")</f>
        <v/>
      </c>
      <c r="E2989" s="27" t="str">
        <f>IFERROR((F2988+D2989)*'Investment Calculator'!$C$7/'Investment Calculator'!$F$4,"")</f>
        <v/>
      </c>
      <c r="F2989" s="27" t="str">
        <f>IFERROR(ABS(FV('Investment Calculator'!$C$7/'Investment Calculator'!$F$4,'SIP Schedule'!C2989,'SIP Schedule'!D2989,,1)),"")</f>
        <v/>
      </c>
    </row>
    <row r="2990" spans="3:6" x14ac:dyDescent="0.3">
      <c r="C2990" s="1" t="str">
        <f>IF(C2989&lt;'Investment Calculator'!$C$8*'Investment Calculator'!$F$4,'SIP Schedule'!C2989+1,"")</f>
        <v/>
      </c>
      <c r="D2990" s="27" t="str">
        <f>IF(C2990&lt;='Investment Calculator'!$C$8*'Investment Calculator'!$F$4,'Investment Calculator'!$C$6,"")</f>
        <v/>
      </c>
      <c r="E2990" s="27" t="str">
        <f>IFERROR((F2989+D2990)*'Investment Calculator'!$C$7/'Investment Calculator'!$F$4,"")</f>
        <v/>
      </c>
      <c r="F2990" s="27" t="str">
        <f>IFERROR(ABS(FV('Investment Calculator'!$C$7/'Investment Calculator'!$F$4,'SIP Schedule'!C2990,'SIP Schedule'!D2990,,1)),"")</f>
        <v/>
      </c>
    </row>
    <row r="2991" spans="3:6" x14ac:dyDescent="0.3">
      <c r="C2991" s="1" t="str">
        <f>IF(C2990&lt;'Investment Calculator'!$C$8*'Investment Calculator'!$F$4,'SIP Schedule'!C2990+1,"")</f>
        <v/>
      </c>
      <c r="D2991" s="27" t="str">
        <f>IF(C2991&lt;='Investment Calculator'!$C$8*'Investment Calculator'!$F$4,'Investment Calculator'!$C$6,"")</f>
        <v/>
      </c>
      <c r="E2991" s="27" t="str">
        <f>IFERROR((F2990+D2991)*'Investment Calculator'!$C$7/'Investment Calculator'!$F$4,"")</f>
        <v/>
      </c>
      <c r="F2991" s="27" t="str">
        <f>IFERROR(ABS(FV('Investment Calculator'!$C$7/'Investment Calculator'!$F$4,'SIP Schedule'!C2991,'SIP Schedule'!D2991,,1)),"")</f>
        <v/>
      </c>
    </row>
    <row r="2992" spans="3:6" x14ac:dyDescent="0.3">
      <c r="C2992" s="1" t="str">
        <f>IF(C2991&lt;'Investment Calculator'!$C$8*'Investment Calculator'!$F$4,'SIP Schedule'!C2991+1,"")</f>
        <v/>
      </c>
      <c r="D2992" s="27" t="str">
        <f>IF(C2992&lt;='Investment Calculator'!$C$8*'Investment Calculator'!$F$4,'Investment Calculator'!$C$6,"")</f>
        <v/>
      </c>
      <c r="E2992" s="27" t="str">
        <f>IFERROR((F2991+D2992)*'Investment Calculator'!$C$7/'Investment Calculator'!$F$4,"")</f>
        <v/>
      </c>
      <c r="F2992" s="27" t="str">
        <f>IFERROR(ABS(FV('Investment Calculator'!$C$7/'Investment Calculator'!$F$4,'SIP Schedule'!C2992,'SIP Schedule'!D2992,,1)),"")</f>
        <v/>
      </c>
    </row>
    <row r="2993" spans="3:6" x14ac:dyDescent="0.3">
      <c r="C2993" s="1" t="str">
        <f>IF(C2992&lt;'Investment Calculator'!$C$8*'Investment Calculator'!$F$4,'SIP Schedule'!C2992+1,"")</f>
        <v/>
      </c>
      <c r="D2993" s="27" t="str">
        <f>IF(C2993&lt;='Investment Calculator'!$C$8*'Investment Calculator'!$F$4,'Investment Calculator'!$C$6,"")</f>
        <v/>
      </c>
      <c r="E2993" s="27" t="str">
        <f>IFERROR((F2992+D2993)*'Investment Calculator'!$C$7/'Investment Calculator'!$F$4,"")</f>
        <v/>
      </c>
      <c r="F2993" s="27" t="str">
        <f>IFERROR(ABS(FV('Investment Calculator'!$C$7/'Investment Calculator'!$F$4,'SIP Schedule'!C2993,'SIP Schedule'!D2993,,1)),"")</f>
        <v/>
      </c>
    </row>
    <row r="2994" spans="3:6" x14ac:dyDescent="0.3">
      <c r="C2994" s="1" t="str">
        <f>IF(C2993&lt;'Investment Calculator'!$C$8*'Investment Calculator'!$F$4,'SIP Schedule'!C2993+1,"")</f>
        <v/>
      </c>
      <c r="D2994" s="27" t="str">
        <f>IF(C2994&lt;='Investment Calculator'!$C$8*'Investment Calculator'!$F$4,'Investment Calculator'!$C$6,"")</f>
        <v/>
      </c>
      <c r="E2994" s="27" t="str">
        <f>IFERROR((F2993+D2994)*'Investment Calculator'!$C$7/'Investment Calculator'!$F$4,"")</f>
        <v/>
      </c>
      <c r="F2994" s="27" t="str">
        <f>IFERROR(ABS(FV('Investment Calculator'!$C$7/'Investment Calculator'!$F$4,'SIP Schedule'!C2994,'SIP Schedule'!D2994,,1)),"")</f>
        <v/>
      </c>
    </row>
    <row r="2995" spans="3:6" x14ac:dyDescent="0.3">
      <c r="C2995" s="1" t="str">
        <f>IF(C2994&lt;'Investment Calculator'!$C$8*'Investment Calculator'!$F$4,'SIP Schedule'!C2994+1,"")</f>
        <v/>
      </c>
      <c r="D2995" s="27" t="str">
        <f>IF(C2995&lt;='Investment Calculator'!$C$8*'Investment Calculator'!$F$4,'Investment Calculator'!$C$6,"")</f>
        <v/>
      </c>
      <c r="E2995" s="27" t="str">
        <f>IFERROR((F2994+D2995)*'Investment Calculator'!$C$7/'Investment Calculator'!$F$4,"")</f>
        <v/>
      </c>
      <c r="F2995" s="27" t="str">
        <f>IFERROR(ABS(FV('Investment Calculator'!$C$7/'Investment Calculator'!$F$4,'SIP Schedule'!C2995,'SIP Schedule'!D2995,,1)),"")</f>
        <v/>
      </c>
    </row>
    <row r="2996" spans="3:6" x14ac:dyDescent="0.3">
      <c r="C2996" s="1" t="str">
        <f>IF(C2995&lt;'Investment Calculator'!$C$8*'Investment Calculator'!$F$4,'SIP Schedule'!C2995+1,"")</f>
        <v/>
      </c>
      <c r="D2996" s="27" t="str">
        <f>IF(C2996&lt;='Investment Calculator'!$C$8*'Investment Calculator'!$F$4,'Investment Calculator'!$C$6,"")</f>
        <v/>
      </c>
      <c r="E2996" s="27" t="str">
        <f>IFERROR((F2995+D2996)*'Investment Calculator'!$C$7/'Investment Calculator'!$F$4,"")</f>
        <v/>
      </c>
      <c r="F2996" s="27" t="str">
        <f>IFERROR(ABS(FV('Investment Calculator'!$C$7/'Investment Calculator'!$F$4,'SIP Schedule'!C2996,'SIP Schedule'!D2996,,1)),"")</f>
        <v/>
      </c>
    </row>
    <row r="2997" spans="3:6" x14ac:dyDescent="0.3">
      <c r="C2997" s="1" t="str">
        <f>IF(C2996&lt;'Investment Calculator'!$C$8*'Investment Calculator'!$F$4,'SIP Schedule'!C2996+1,"")</f>
        <v/>
      </c>
      <c r="D2997" s="27" t="str">
        <f>IF(C2997&lt;='Investment Calculator'!$C$8*'Investment Calculator'!$F$4,'Investment Calculator'!$C$6,"")</f>
        <v/>
      </c>
      <c r="E2997" s="27" t="str">
        <f>IFERROR((F2996+D2997)*'Investment Calculator'!$C$7/'Investment Calculator'!$F$4,"")</f>
        <v/>
      </c>
      <c r="F2997" s="27" t="str">
        <f>IFERROR(ABS(FV('Investment Calculator'!$C$7/'Investment Calculator'!$F$4,'SIP Schedule'!C2997,'SIP Schedule'!D2997,,1)),"")</f>
        <v/>
      </c>
    </row>
    <row r="2998" spans="3:6" x14ac:dyDescent="0.3">
      <c r="C2998" s="1" t="str">
        <f>IF(C2997&lt;'Investment Calculator'!$C$8*'Investment Calculator'!$F$4,'SIP Schedule'!C2997+1,"")</f>
        <v/>
      </c>
      <c r="D2998" s="27" t="str">
        <f>IF(C2998&lt;='Investment Calculator'!$C$8*'Investment Calculator'!$F$4,'Investment Calculator'!$C$6,"")</f>
        <v/>
      </c>
      <c r="E2998" s="27" t="str">
        <f>IFERROR((F2997+D2998)*'Investment Calculator'!$C$7/'Investment Calculator'!$F$4,"")</f>
        <v/>
      </c>
      <c r="F2998" s="27" t="str">
        <f>IFERROR(ABS(FV('Investment Calculator'!$C$7/'Investment Calculator'!$F$4,'SIP Schedule'!C2998,'SIP Schedule'!D2998,,1)),"")</f>
        <v/>
      </c>
    </row>
    <row r="2999" spans="3:6" x14ac:dyDescent="0.3">
      <c r="C2999" s="1" t="str">
        <f>IF(C2998&lt;'Investment Calculator'!$C$8*'Investment Calculator'!$F$4,'SIP Schedule'!C2998+1,"")</f>
        <v/>
      </c>
      <c r="D2999" s="27" t="str">
        <f>IF(C2999&lt;='Investment Calculator'!$C$8*'Investment Calculator'!$F$4,'Investment Calculator'!$C$6,"")</f>
        <v/>
      </c>
      <c r="E2999" s="27" t="str">
        <f>IFERROR((F2998+D2999)*'Investment Calculator'!$C$7/'Investment Calculator'!$F$4,"")</f>
        <v/>
      </c>
      <c r="F2999" s="27" t="str">
        <f>IFERROR(ABS(FV('Investment Calculator'!$C$7/'Investment Calculator'!$F$4,'SIP Schedule'!C2999,'SIP Schedule'!D2999,,1)),"")</f>
        <v/>
      </c>
    </row>
    <row r="3000" spans="3:6" x14ac:dyDescent="0.3">
      <c r="C3000" s="1" t="str">
        <f>IF(C2999&lt;'Investment Calculator'!$C$8*'Investment Calculator'!$F$4,'SIP Schedule'!C2999+1,"")</f>
        <v/>
      </c>
      <c r="D3000" s="27" t="str">
        <f>IF(C3000&lt;='Investment Calculator'!$C$8*'Investment Calculator'!$F$4,'Investment Calculator'!$C$6,"")</f>
        <v/>
      </c>
      <c r="E3000" s="27" t="str">
        <f>IFERROR((F2999+D3000)*'Investment Calculator'!$C$7/'Investment Calculator'!$F$4,"")</f>
        <v/>
      </c>
      <c r="F3000" s="27" t="str">
        <f>IFERROR(ABS(FV('Investment Calculator'!$C$7/'Investment Calculator'!$F$4,'SIP Schedule'!C3000,'SIP Schedule'!D3000,,1)),"")</f>
        <v/>
      </c>
    </row>
    <row r="3001" spans="3:6" x14ac:dyDescent="0.3">
      <c r="C3001" s="1" t="str">
        <f>IF(C3000&lt;'Investment Calculator'!$C$8*'Investment Calculator'!$F$4,'SIP Schedule'!C3000+1,"")</f>
        <v/>
      </c>
      <c r="D3001" s="27" t="str">
        <f>IF(C3001&lt;='Investment Calculator'!$C$8*'Investment Calculator'!$F$4,'Investment Calculator'!$C$6,"")</f>
        <v/>
      </c>
      <c r="E3001" s="27" t="str">
        <f>IFERROR((F3000+D3001)*'Investment Calculator'!$C$7/'Investment Calculator'!$F$4,"")</f>
        <v/>
      </c>
      <c r="F3001" s="27" t="str">
        <f>IFERROR(ABS(FV('Investment Calculator'!$C$7/'Investment Calculator'!$F$4,'SIP Schedule'!C3001,'SIP Schedule'!D3001,,1)),"")</f>
        <v/>
      </c>
    </row>
    <row r="3002" spans="3:6" x14ac:dyDescent="0.3">
      <c r="C3002" s="1" t="str">
        <f>IF(C3001&lt;'Investment Calculator'!$C$8*'Investment Calculator'!$F$4,'SIP Schedule'!C3001+1,"")</f>
        <v/>
      </c>
      <c r="D3002" s="27" t="str">
        <f>IF(C3002&lt;='Investment Calculator'!$C$8*'Investment Calculator'!$F$4,'Investment Calculator'!$C$6,"")</f>
        <v/>
      </c>
      <c r="E3002" s="27" t="str">
        <f>IFERROR((F3001+D3002)*'Investment Calculator'!$C$7/'Investment Calculator'!$F$4,"")</f>
        <v/>
      </c>
      <c r="F3002" s="27" t="str">
        <f>IFERROR(ABS(FV('Investment Calculator'!$C$7/'Investment Calculator'!$F$4,'SIP Schedule'!C3002,'SIP Schedule'!D3002,,1)),"")</f>
        <v/>
      </c>
    </row>
    <row r="3003" spans="3:6" x14ac:dyDescent="0.3">
      <c r="C3003" s="1" t="str">
        <f>IF(C3002&lt;'Investment Calculator'!$C$8*'Investment Calculator'!$F$4,'SIP Schedule'!C3002+1,"")</f>
        <v/>
      </c>
      <c r="D3003" s="27" t="str">
        <f>IF(C3003&lt;='Investment Calculator'!$C$8*'Investment Calculator'!$F$4,'Investment Calculator'!$C$6,"")</f>
        <v/>
      </c>
      <c r="E3003" s="27" t="str">
        <f>IFERROR((F3002+D3003)*'Investment Calculator'!$C$7/'Investment Calculator'!$F$4,"")</f>
        <v/>
      </c>
      <c r="F3003" s="27" t="str">
        <f>IFERROR(ABS(FV('Investment Calculator'!$C$7/'Investment Calculator'!$F$4,'SIP Schedule'!C3003,'SIP Schedule'!D3003,,1)),"")</f>
        <v/>
      </c>
    </row>
    <row r="3004" spans="3:6" x14ac:dyDescent="0.3">
      <c r="C3004" s="1" t="str">
        <f>IF(C3003&lt;'Investment Calculator'!$C$8*'Investment Calculator'!$F$4,'SIP Schedule'!C3003+1,"")</f>
        <v/>
      </c>
      <c r="D3004" s="27" t="str">
        <f>IF(C3004&lt;='Investment Calculator'!$C$8*'Investment Calculator'!$F$4,'Investment Calculator'!$C$6,"")</f>
        <v/>
      </c>
      <c r="E3004" s="27" t="str">
        <f>IFERROR((F3003+D3004)*'Investment Calculator'!$C$7/'Investment Calculator'!$F$4,"")</f>
        <v/>
      </c>
      <c r="F3004" s="27" t="str">
        <f>IFERROR(ABS(FV('Investment Calculator'!$C$7/'Investment Calculator'!$F$4,'SIP Schedule'!C3004,'SIP Schedule'!D3004,,1)),"")</f>
        <v/>
      </c>
    </row>
    <row r="3005" spans="3:6" x14ac:dyDescent="0.3">
      <c r="C3005" s="1" t="str">
        <f>IF(C3004&lt;'Investment Calculator'!$C$8*'Investment Calculator'!$F$4,'SIP Schedule'!C3004+1,"")</f>
        <v/>
      </c>
      <c r="D3005" s="27" t="str">
        <f>IF(C3005&lt;='Investment Calculator'!$C$8*'Investment Calculator'!$F$4,'Investment Calculator'!$C$6,"")</f>
        <v/>
      </c>
      <c r="E3005" s="27" t="str">
        <f>IFERROR((F3004+D3005)*'Investment Calculator'!$C$7/'Investment Calculator'!$F$4,"")</f>
        <v/>
      </c>
      <c r="F3005" s="27" t="str">
        <f>IFERROR(ABS(FV('Investment Calculator'!$C$7/'Investment Calculator'!$F$4,'SIP Schedule'!C3005,'SIP Schedule'!D3005,,1)),"")</f>
        <v/>
      </c>
    </row>
    <row r="3006" spans="3:6" x14ac:dyDescent="0.3">
      <c r="C3006" s="1" t="str">
        <f>IF(C3005&lt;'Investment Calculator'!$C$8*'Investment Calculator'!$F$4,'SIP Schedule'!C3005+1,"")</f>
        <v/>
      </c>
      <c r="D3006" s="27" t="str">
        <f>IF(C3006&lt;='Investment Calculator'!$C$8*'Investment Calculator'!$F$4,'Investment Calculator'!$C$6,"")</f>
        <v/>
      </c>
      <c r="E3006" s="27" t="str">
        <f>IFERROR((F3005+D3006)*'Investment Calculator'!$C$7/'Investment Calculator'!$F$4,"")</f>
        <v/>
      </c>
      <c r="F3006" s="27" t="str">
        <f>IFERROR(ABS(FV('Investment Calculator'!$C$7/'Investment Calculator'!$F$4,'SIP Schedule'!C3006,'SIP Schedule'!D3006,,1)),"")</f>
        <v/>
      </c>
    </row>
    <row r="3007" spans="3:6" x14ac:dyDescent="0.3">
      <c r="C3007" s="1" t="str">
        <f>IF(C3006&lt;'Investment Calculator'!$C$8*'Investment Calculator'!$F$4,'SIP Schedule'!C3006+1,"")</f>
        <v/>
      </c>
      <c r="D3007" s="27" t="str">
        <f>IF(C3007&lt;='Investment Calculator'!$C$8*'Investment Calculator'!$F$4,'Investment Calculator'!$C$6,"")</f>
        <v/>
      </c>
      <c r="E3007" s="27" t="str">
        <f>IFERROR((F3006+D3007)*'Investment Calculator'!$C$7/'Investment Calculator'!$F$4,"")</f>
        <v/>
      </c>
      <c r="F3007" s="27" t="str">
        <f>IFERROR(ABS(FV('Investment Calculator'!$C$7/'Investment Calculator'!$F$4,'SIP Schedule'!C3007,'SIP Schedule'!D3007,,1)),"")</f>
        <v/>
      </c>
    </row>
    <row r="3008" spans="3:6" x14ac:dyDescent="0.3">
      <c r="C3008" s="1" t="str">
        <f>IF(C3007&lt;'Investment Calculator'!$C$8*'Investment Calculator'!$F$4,'SIP Schedule'!C3007+1,"")</f>
        <v/>
      </c>
      <c r="D3008" s="27" t="str">
        <f>IF(C3008&lt;='Investment Calculator'!$C$8*'Investment Calculator'!$F$4,'Investment Calculator'!$C$6,"")</f>
        <v/>
      </c>
      <c r="E3008" s="27" t="str">
        <f>IFERROR((F3007+D3008)*'Investment Calculator'!$C$7/'Investment Calculator'!$F$4,"")</f>
        <v/>
      </c>
      <c r="F3008" s="27" t="str">
        <f>IFERROR(ABS(FV('Investment Calculator'!$C$7/'Investment Calculator'!$F$4,'SIP Schedule'!C3008,'SIP Schedule'!D3008,,1)),"")</f>
        <v/>
      </c>
    </row>
    <row r="3009" spans="3:6" x14ac:dyDescent="0.3">
      <c r="C3009" s="1" t="str">
        <f>IF(C3008&lt;'Investment Calculator'!$C$8*'Investment Calculator'!$F$4,'SIP Schedule'!C3008+1,"")</f>
        <v/>
      </c>
      <c r="D3009" s="27" t="str">
        <f>IF(C3009&lt;='Investment Calculator'!$C$8*'Investment Calculator'!$F$4,'Investment Calculator'!$C$6,"")</f>
        <v/>
      </c>
      <c r="E3009" s="27" t="str">
        <f>IFERROR((F3008+D3009)*'Investment Calculator'!$C$7/'Investment Calculator'!$F$4,"")</f>
        <v/>
      </c>
      <c r="F3009" s="27" t="str">
        <f>IFERROR(ABS(FV('Investment Calculator'!$C$7/'Investment Calculator'!$F$4,'SIP Schedule'!C3009,'SIP Schedule'!D3009,,1)),"")</f>
        <v/>
      </c>
    </row>
    <row r="3010" spans="3:6" x14ac:dyDescent="0.3">
      <c r="C3010" s="1" t="str">
        <f>IF(C3009&lt;'Investment Calculator'!$C$8*'Investment Calculator'!$F$4,'SIP Schedule'!C3009+1,"")</f>
        <v/>
      </c>
      <c r="D3010" s="27" t="str">
        <f>IF(C3010&lt;='Investment Calculator'!$C$8*'Investment Calculator'!$F$4,'Investment Calculator'!$C$6,"")</f>
        <v/>
      </c>
      <c r="E3010" s="27" t="str">
        <f>IFERROR((F3009+D3010)*'Investment Calculator'!$C$7/'Investment Calculator'!$F$4,"")</f>
        <v/>
      </c>
      <c r="F3010" s="27" t="str">
        <f>IFERROR(ABS(FV('Investment Calculator'!$C$7/'Investment Calculator'!$F$4,'SIP Schedule'!C3010,'SIP Schedule'!D3010,,1)),"")</f>
        <v/>
      </c>
    </row>
    <row r="3011" spans="3:6" x14ac:dyDescent="0.3">
      <c r="C3011" s="1" t="str">
        <f>IF(C3010&lt;'Investment Calculator'!$C$8*'Investment Calculator'!$F$4,'SIP Schedule'!C3010+1,"")</f>
        <v/>
      </c>
      <c r="D3011" s="27" t="str">
        <f>IF(C3011&lt;='Investment Calculator'!$C$8*'Investment Calculator'!$F$4,'Investment Calculator'!$C$6,"")</f>
        <v/>
      </c>
      <c r="E3011" s="27" t="str">
        <f>IFERROR((F3010+D3011)*'Investment Calculator'!$C$7/'Investment Calculator'!$F$4,"")</f>
        <v/>
      </c>
      <c r="F3011" s="27" t="str">
        <f>IFERROR(ABS(FV('Investment Calculator'!$C$7/'Investment Calculator'!$F$4,'SIP Schedule'!C3011,'SIP Schedule'!D3011,,1)),"")</f>
        <v/>
      </c>
    </row>
    <row r="3012" spans="3:6" x14ac:dyDescent="0.3">
      <c r="C3012" s="1" t="str">
        <f>IF(C3011&lt;'Investment Calculator'!$C$8*'Investment Calculator'!$F$4,'SIP Schedule'!C3011+1,"")</f>
        <v/>
      </c>
      <c r="D3012" s="27" t="str">
        <f>IF(C3012&lt;='Investment Calculator'!$C$8*'Investment Calculator'!$F$4,'Investment Calculator'!$C$6,"")</f>
        <v/>
      </c>
      <c r="E3012" s="27" t="str">
        <f>IFERROR((F3011+D3012)*'Investment Calculator'!$C$7/'Investment Calculator'!$F$4,"")</f>
        <v/>
      </c>
      <c r="F3012" s="27" t="str">
        <f>IFERROR(ABS(FV('Investment Calculator'!$C$7/'Investment Calculator'!$F$4,'SIP Schedule'!C3012,'SIP Schedule'!D3012,,1)),"")</f>
        <v/>
      </c>
    </row>
    <row r="3013" spans="3:6" x14ac:dyDescent="0.3">
      <c r="C3013" s="1" t="str">
        <f>IF(C3012&lt;'Investment Calculator'!$C$8*'Investment Calculator'!$F$4,'SIP Schedule'!C3012+1,"")</f>
        <v/>
      </c>
      <c r="D3013" s="27" t="str">
        <f>IF(C3013&lt;='Investment Calculator'!$C$8*'Investment Calculator'!$F$4,'Investment Calculator'!$C$6,"")</f>
        <v/>
      </c>
      <c r="E3013" s="27" t="str">
        <f>IFERROR((F3012+D3013)*'Investment Calculator'!$C$7/'Investment Calculator'!$F$4,"")</f>
        <v/>
      </c>
      <c r="F3013" s="27" t="str">
        <f>IFERROR(ABS(FV('Investment Calculator'!$C$7/'Investment Calculator'!$F$4,'SIP Schedule'!C3013,'SIP Schedule'!D3013,,1)),"")</f>
        <v/>
      </c>
    </row>
    <row r="3014" spans="3:6" x14ac:dyDescent="0.3">
      <c r="C3014" s="1" t="str">
        <f>IF(C3013&lt;'Investment Calculator'!$C$8*'Investment Calculator'!$F$4,'SIP Schedule'!C3013+1,"")</f>
        <v/>
      </c>
      <c r="D3014" s="27" t="str">
        <f>IF(C3014&lt;='Investment Calculator'!$C$8*'Investment Calculator'!$F$4,'Investment Calculator'!$C$6,"")</f>
        <v/>
      </c>
      <c r="E3014" s="27" t="str">
        <f>IFERROR((F3013+D3014)*'Investment Calculator'!$C$7/'Investment Calculator'!$F$4,"")</f>
        <v/>
      </c>
      <c r="F3014" s="27" t="str">
        <f>IFERROR(ABS(FV('Investment Calculator'!$C$7/'Investment Calculator'!$F$4,'SIP Schedule'!C3014,'SIP Schedule'!D3014,,1)),"")</f>
        <v/>
      </c>
    </row>
    <row r="3015" spans="3:6" x14ac:dyDescent="0.3">
      <c r="C3015" s="1" t="str">
        <f>IF(C3014&lt;'Investment Calculator'!$C$8*'Investment Calculator'!$F$4,'SIP Schedule'!C3014+1,"")</f>
        <v/>
      </c>
      <c r="D3015" s="27" t="str">
        <f>IF(C3015&lt;='Investment Calculator'!$C$8*'Investment Calculator'!$F$4,'Investment Calculator'!$C$6,"")</f>
        <v/>
      </c>
      <c r="E3015" s="27" t="str">
        <f>IFERROR((F3014+D3015)*'Investment Calculator'!$C$7/'Investment Calculator'!$F$4,"")</f>
        <v/>
      </c>
      <c r="F3015" s="27" t="str">
        <f>IFERROR(ABS(FV('Investment Calculator'!$C$7/'Investment Calculator'!$F$4,'SIP Schedule'!C3015,'SIP Schedule'!D3015,,1)),"")</f>
        <v/>
      </c>
    </row>
    <row r="3016" spans="3:6" x14ac:dyDescent="0.3">
      <c r="C3016" s="1" t="str">
        <f>IF(C3015&lt;'Investment Calculator'!$C$8*'Investment Calculator'!$F$4,'SIP Schedule'!C3015+1,"")</f>
        <v/>
      </c>
      <c r="D3016" s="27" t="str">
        <f>IF(C3016&lt;='Investment Calculator'!$C$8*'Investment Calculator'!$F$4,'Investment Calculator'!$C$6,"")</f>
        <v/>
      </c>
      <c r="E3016" s="27" t="str">
        <f>IFERROR((F3015+D3016)*'Investment Calculator'!$C$7/'Investment Calculator'!$F$4,"")</f>
        <v/>
      </c>
      <c r="F3016" s="27" t="str">
        <f>IFERROR(ABS(FV('Investment Calculator'!$C$7/'Investment Calculator'!$F$4,'SIP Schedule'!C3016,'SIP Schedule'!D3016,,1)),"")</f>
        <v/>
      </c>
    </row>
    <row r="3017" spans="3:6" x14ac:dyDescent="0.3">
      <c r="C3017" s="1" t="str">
        <f>IF(C3016&lt;'Investment Calculator'!$C$8*'Investment Calculator'!$F$4,'SIP Schedule'!C3016+1,"")</f>
        <v/>
      </c>
      <c r="D3017" s="27" t="str">
        <f>IF(C3017&lt;='Investment Calculator'!$C$8*'Investment Calculator'!$F$4,'Investment Calculator'!$C$6,"")</f>
        <v/>
      </c>
      <c r="E3017" s="27" t="str">
        <f>IFERROR((F3016+D3017)*'Investment Calculator'!$C$7/'Investment Calculator'!$F$4,"")</f>
        <v/>
      </c>
      <c r="F3017" s="27" t="str">
        <f>IFERROR(ABS(FV('Investment Calculator'!$C$7/'Investment Calculator'!$F$4,'SIP Schedule'!C3017,'SIP Schedule'!D3017,,1)),"")</f>
        <v/>
      </c>
    </row>
    <row r="3018" spans="3:6" x14ac:dyDescent="0.3">
      <c r="C3018" s="1" t="str">
        <f>IF(C3017&lt;'Investment Calculator'!$C$8*'Investment Calculator'!$F$4,'SIP Schedule'!C3017+1,"")</f>
        <v/>
      </c>
      <c r="D3018" s="27" t="str">
        <f>IF(C3018&lt;='Investment Calculator'!$C$8*'Investment Calculator'!$F$4,'Investment Calculator'!$C$6,"")</f>
        <v/>
      </c>
      <c r="E3018" s="27" t="str">
        <f>IFERROR((F3017+D3018)*'Investment Calculator'!$C$7/'Investment Calculator'!$F$4,"")</f>
        <v/>
      </c>
      <c r="F3018" s="27" t="str">
        <f>IFERROR(ABS(FV('Investment Calculator'!$C$7/'Investment Calculator'!$F$4,'SIP Schedule'!C3018,'SIP Schedule'!D3018,,1)),"")</f>
        <v/>
      </c>
    </row>
    <row r="3019" spans="3:6" x14ac:dyDescent="0.3">
      <c r="C3019" s="1" t="str">
        <f>IF(C3018&lt;'Investment Calculator'!$C$8*'Investment Calculator'!$F$4,'SIP Schedule'!C3018+1,"")</f>
        <v/>
      </c>
      <c r="D3019" s="27" t="str">
        <f>IF(C3019&lt;='Investment Calculator'!$C$8*'Investment Calculator'!$F$4,'Investment Calculator'!$C$6,"")</f>
        <v/>
      </c>
      <c r="E3019" s="27" t="str">
        <f>IFERROR((F3018+D3019)*'Investment Calculator'!$C$7/'Investment Calculator'!$F$4,"")</f>
        <v/>
      </c>
      <c r="F3019" s="27" t="str">
        <f>IFERROR(ABS(FV('Investment Calculator'!$C$7/'Investment Calculator'!$F$4,'SIP Schedule'!C3019,'SIP Schedule'!D3019,,1)),"")</f>
        <v/>
      </c>
    </row>
    <row r="3020" spans="3:6" x14ac:dyDescent="0.3">
      <c r="C3020" s="1" t="str">
        <f>IF(C3019&lt;'Investment Calculator'!$C$8*'Investment Calculator'!$F$4,'SIP Schedule'!C3019+1,"")</f>
        <v/>
      </c>
      <c r="D3020" s="27" t="str">
        <f>IF(C3020&lt;='Investment Calculator'!$C$8*'Investment Calculator'!$F$4,'Investment Calculator'!$C$6,"")</f>
        <v/>
      </c>
      <c r="E3020" s="27" t="str">
        <f>IFERROR((F3019+D3020)*'Investment Calculator'!$C$7/'Investment Calculator'!$F$4,"")</f>
        <v/>
      </c>
      <c r="F3020" s="27" t="str">
        <f>IFERROR(ABS(FV('Investment Calculator'!$C$7/'Investment Calculator'!$F$4,'SIP Schedule'!C3020,'SIP Schedule'!D3020,,1)),"")</f>
        <v/>
      </c>
    </row>
    <row r="3021" spans="3:6" x14ac:dyDescent="0.3">
      <c r="C3021" s="1" t="str">
        <f>IF(C3020&lt;'Investment Calculator'!$C$8*'Investment Calculator'!$F$4,'SIP Schedule'!C3020+1,"")</f>
        <v/>
      </c>
      <c r="D3021" s="27" t="str">
        <f>IF(C3021&lt;='Investment Calculator'!$C$8*'Investment Calculator'!$F$4,'Investment Calculator'!$C$6,"")</f>
        <v/>
      </c>
      <c r="E3021" s="27" t="str">
        <f>IFERROR((F3020+D3021)*'Investment Calculator'!$C$7/'Investment Calculator'!$F$4,"")</f>
        <v/>
      </c>
      <c r="F3021" s="27" t="str">
        <f>IFERROR(ABS(FV('Investment Calculator'!$C$7/'Investment Calculator'!$F$4,'SIP Schedule'!C3021,'SIP Schedule'!D3021,,1)),"")</f>
        <v/>
      </c>
    </row>
    <row r="3022" spans="3:6" x14ac:dyDescent="0.3">
      <c r="C3022" s="1" t="str">
        <f>IF(C3021&lt;'Investment Calculator'!$C$8*'Investment Calculator'!$F$4,'SIP Schedule'!C3021+1,"")</f>
        <v/>
      </c>
      <c r="D3022" s="27" t="str">
        <f>IF(C3022&lt;='Investment Calculator'!$C$8*'Investment Calculator'!$F$4,'Investment Calculator'!$C$6,"")</f>
        <v/>
      </c>
      <c r="E3022" s="27" t="str">
        <f>IFERROR((F3021+D3022)*'Investment Calculator'!$C$7/'Investment Calculator'!$F$4,"")</f>
        <v/>
      </c>
      <c r="F3022" s="27" t="str">
        <f>IFERROR(ABS(FV('Investment Calculator'!$C$7/'Investment Calculator'!$F$4,'SIP Schedule'!C3022,'SIP Schedule'!D3022,,1)),"")</f>
        <v/>
      </c>
    </row>
    <row r="3023" spans="3:6" x14ac:dyDescent="0.3">
      <c r="C3023" s="1" t="str">
        <f>IF(C3022&lt;'Investment Calculator'!$C$8*'Investment Calculator'!$F$4,'SIP Schedule'!C3022+1,"")</f>
        <v/>
      </c>
      <c r="D3023" s="27" t="str">
        <f>IF(C3023&lt;='Investment Calculator'!$C$8*'Investment Calculator'!$F$4,'Investment Calculator'!$C$6,"")</f>
        <v/>
      </c>
      <c r="E3023" s="27" t="str">
        <f>IFERROR((F3022+D3023)*'Investment Calculator'!$C$7/'Investment Calculator'!$F$4,"")</f>
        <v/>
      </c>
      <c r="F3023" s="27" t="str">
        <f>IFERROR(ABS(FV('Investment Calculator'!$C$7/'Investment Calculator'!$F$4,'SIP Schedule'!C3023,'SIP Schedule'!D3023,,1)),"")</f>
        <v/>
      </c>
    </row>
    <row r="3024" spans="3:6" x14ac:dyDescent="0.3">
      <c r="C3024" s="1" t="str">
        <f>IF(C3023&lt;'Investment Calculator'!$C$8*'Investment Calculator'!$F$4,'SIP Schedule'!C3023+1,"")</f>
        <v/>
      </c>
      <c r="D3024" s="27" t="str">
        <f>IF(C3024&lt;='Investment Calculator'!$C$8*'Investment Calculator'!$F$4,'Investment Calculator'!$C$6,"")</f>
        <v/>
      </c>
      <c r="E3024" s="27" t="str">
        <f>IFERROR((F3023+D3024)*'Investment Calculator'!$C$7/'Investment Calculator'!$F$4,"")</f>
        <v/>
      </c>
      <c r="F3024" s="27" t="str">
        <f>IFERROR(ABS(FV('Investment Calculator'!$C$7/'Investment Calculator'!$F$4,'SIP Schedule'!C3024,'SIP Schedule'!D3024,,1)),"")</f>
        <v/>
      </c>
    </row>
    <row r="3025" spans="3:6" x14ac:dyDescent="0.3">
      <c r="C3025" s="1" t="str">
        <f>IF(C3024&lt;'Investment Calculator'!$C$8*'Investment Calculator'!$F$4,'SIP Schedule'!C3024+1,"")</f>
        <v/>
      </c>
      <c r="D3025" s="27" t="str">
        <f>IF(C3025&lt;='Investment Calculator'!$C$8*'Investment Calculator'!$F$4,'Investment Calculator'!$C$6,"")</f>
        <v/>
      </c>
      <c r="E3025" s="27" t="str">
        <f>IFERROR((F3024+D3025)*'Investment Calculator'!$C$7/'Investment Calculator'!$F$4,"")</f>
        <v/>
      </c>
      <c r="F3025" s="27" t="str">
        <f>IFERROR(ABS(FV('Investment Calculator'!$C$7/'Investment Calculator'!$F$4,'SIP Schedule'!C3025,'SIP Schedule'!D3025,,1)),"")</f>
        <v/>
      </c>
    </row>
    <row r="3026" spans="3:6" x14ac:dyDescent="0.3">
      <c r="C3026" s="1" t="str">
        <f>IF(C3025&lt;'Investment Calculator'!$C$8*'Investment Calculator'!$F$4,'SIP Schedule'!C3025+1,"")</f>
        <v/>
      </c>
      <c r="D3026" s="27" t="str">
        <f>IF(C3026&lt;='Investment Calculator'!$C$8*'Investment Calculator'!$F$4,'Investment Calculator'!$C$6,"")</f>
        <v/>
      </c>
      <c r="E3026" s="27" t="str">
        <f>IFERROR((F3025+D3026)*'Investment Calculator'!$C$7/'Investment Calculator'!$F$4,"")</f>
        <v/>
      </c>
      <c r="F3026" s="27" t="str">
        <f>IFERROR(ABS(FV('Investment Calculator'!$C$7/'Investment Calculator'!$F$4,'SIP Schedule'!C3026,'SIP Schedule'!D3026,,1)),"")</f>
        <v/>
      </c>
    </row>
    <row r="3027" spans="3:6" x14ac:dyDescent="0.3">
      <c r="C3027" s="1" t="str">
        <f>IF(C3026&lt;'Investment Calculator'!$C$8*'Investment Calculator'!$F$4,'SIP Schedule'!C3026+1,"")</f>
        <v/>
      </c>
      <c r="D3027" s="27" t="str">
        <f>IF(C3027&lt;='Investment Calculator'!$C$8*'Investment Calculator'!$F$4,'Investment Calculator'!$C$6,"")</f>
        <v/>
      </c>
      <c r="E3027" s="27" t="str">
        <f>IFERROR((F3026+D3027)*'Investment Calculator'!$C$7/'Investment Calculator'!$F$4,"")</f>
        <v/>
      </c>
      <c r="F3027" s="27" t="str">
        <f>IFERROR(ABS(FV('Investment Calculator'!$C$7/'Investment Calculator'!$F$4,'SIP Schedule'!C3027,'SIP Schedule'!D3027,,1)),"")</f>
        <v/>
      </c>
    </row>
    <row r="3028" spans="3:6" x14ac:dyDescent="0.3">
      <c r="C3028" s="1" t="str">
        <f>IF(C3027&lt;'Investment Calculator'!$C$8*'Investment Calculator'!$F$4,'SIP Schedule'!C3027+1,"")</f>
        <v/>
      </c>
      <c r="D3028" s="27" t="str">
        <f>IF(C3028&lt;='Investment Calculator'!$C$8*'Investment Calculator'!$F$4,'Investment Calculator'!$C$6,"")</f>
        <v/>
      </c>
      <c r="E3028" s="27" t="str">
        <f>IFERROR((F3027+D3028)*'Investment Calculator'!$C$7/'Investment Calculator'!$F$4,"")</f>
        <v/>
      </c>
      <c r="F3028" s="27" t="str">
        <f>IFERROR(ABS(FV('Investment Calculator'!$C$7/'Investment Calculator'!$F$4,'SIP Schedule'!C3028,'SIP Schedule'!D3028,,1)),"")</f>
        <v/>
      </c>
    </row>
    <row r="3029" spans="3:6" x14ac:dyDescent="0.3">
      <c r="C3029" s="1" t="str">
        <f>IF(C3028&lt;'Investment Calculator'!$C$8*'Investment Calculator'!$F$4,'SIP Schedule'!C3028+1,"")</f>
        <v/>
      </c>
      <c r="D3029" s="27" t="str">
        <f>IF(C3029&lt;='Investment Calculator'!$C$8*'Investment Calculator'!$F$4,'Investment Calculator'!$C$6,"")</f>
        <v/>
      </c>
      <c r="E3029" s="27" t="str">
        <f>IFERROR((F3028+D3029)*'Investment Calculator'!$C$7/'Investment Calculator'!$F$4,"")</f>
        <v/>
      </c>
      <c r="F3029" s="27" t="str">
        <f>IFERROR(ABS(FV('Investment Calculator'!$C$7/'Investment Calculator'!$F$4,'SIP Schedule'!C3029,'SIP Schedule'!D3029,,1)),"")</f>
        <v/>
      </c>
    </row>
    <row r="3030" spans="3:6" x14ac:dyDescent="0.3">
      <c r="C3030" s="1" t="str">
        <f>IF(C3029&lt;'Investment Calculator'!$C$8*'Investment Calculator'!$F$4,'SIP Schedule'!C3029+1,"")</f>
        <v/>
      </c>
      <c r="D3030" s="27" t="str">
        <f>IF(C3030&lt;='Investment Calculator'!$C$8*'Investment Calculator'!$F$4,'Investment Calculator'!$C$6,"")</f>
        <v/>
      </c>
      <c r="E3030" s="27" t="str">
        <f>IFERROR((F3029+D3030)*'Investment Calculator'!$C$7/'Investment Calculator'!$F$4,"")</f>
        <v/>
      </c>
      <c r="F3030" s="27" t="str">
        <f>IFERROR(ABS(FV('Investment Calculator'!$C$7/'Investment Calculator'!$F$4,'SIP Schedule'!C3030,'SIP Schedule'!D3030,,1)),"")</f>
        <v/>
      </c>
    </row>
    <row r="3031" spans="3:6" x14ac:dyDescent="0.3">
      <c r="C3031" s="1" t="str">
        <f>IF(C3030&lt;'Investment Calculator'!$C$8*'Investment Calculator'!$F$4,'SIP Schedule'!C3030+1,"")</f>
        <v/>
      </c>
      <c r="D3031" s="27" t="str">
        <f>IF(C3031&lt;='Investment Calculator'!$C$8*'Investment Calculator'!$F$4,'Investment Calculator'!$C$6,"")</f>
        <v/>
      </c>
      <c r="E3031" s="27" t="str">
        <f>IFERROR((F3030+D3031)*'Investment Calculator'!$C$7/'Investment Calculator'!$F$4,"")</f>
        <v/>
      </c>
      <c r="F3031" s="27" t="str">
        <f>IFERROR(ABS(FV('Investment Calculator'!$C$7/'Investment Calculator'!$F$4,'SIP Schedule'!C3031,'SIP Schedule'!D3031,,1)),"")</f>
        <v/>
      </c>
    </row>
    <row r="3032" spans="3:6" x14ac:dyDescent="0.3">
      <c r="C3032" s="1" t="str">
        <f>IF(C3031&lt;'Investment Calculator'!$C$8*'Investment Calculator'!$F$4,'SIP Schedule'!C3031+1,"")</f>
        <v/>
      </c>
      <c r="D3032" s="27" t="str">
        <f>IF(C3032&lt;='Investment Calculator'!$C$8*'Investment Calculator'!$F$4,'Investment Calculator'!$C$6,"")</f>
        <v/>
      </c>
      <c r="E3032" s="27" t="str">
        <f>IFERROR((F3031+D3032)*'Investment Calculator'!$C$7/'Investment Calculator'!$F$4,"")</f>
        <v/>
      </c>
      <c r="F3032" s="27" t="str">
        <f>IFERROR(ABS(FV('Investment Calculator'!$C$7/'Investment Calculator'!$F$4,'SIP Schedule'!C3032,'SIP Schedule'!D3032,,1)),"")</f>
        <v/>
      </c>
    </row>
    <row r="3033" spans="3:6" x14ac:dyDescent="0.3">
      <c r="C3033" s="1" t="str">
        <f>IF(C3032&lt;'Investment Calculator'!$C$8*'Investment Calculator'!$F$4,'SIP Schedule'!C3032+1,"")</f>
        <v/>
      </c>
      <c r="D3033" s="27" t="str">
        <f>IF(C3033&lt;='Investment Calculator'!$C$8*'Investment Calculator'!$F$4,'Investment Calculator'!$C$6,"")</f>
        <v/>
      </c>
      <c r="E3033" s="27" t="str">
        <f>IFERROR((F3032+D3033)*'Investment Calculator'!$C$7/'Investment Calculator'!$F$4,"")</f>
        <v/>
      </c>
      <c r="F3033" s="27" t="str">
        <f>IFERROR(ABS(FV('Investment Calculator'!$C$7/'Investment Calculator'!$F$4,'SIP Schedule'!C3033,'SIP Schedule'!D3033,,1)),"")</f>
        <v/>
      </c>
    </row>
    <row r="3034" spans="3:6" x14ac:dyDescent="0.3">
      <c r="C3034" s="1" t="str">
        <f>IF(C3033&lt;'Investment Calculator'!$C$8*'Investment Calculator'!$F$4,'SIP Schedule'!C3033+1,"")</f>
        <v/>
      </c>
      <c r="D3034" s="27" t="str">
        <f>IF(C3034&lt;='Investment Calculator'!$C$8*'Investment Calculator'!$F$4,'Investment Calculator'!$C$6,"")</f>
        <v/>
      </c>
      <c r="E3034" s="27" t="str">
        <f>IFERROR((F3033+D3034)*'Investment Calculator'!$C$7/'Investment Calculator'!$F$4,"")</f>
        <v/>
      </c>
      <c r="F3034" s="27" t="str">
        <f>IFERROR(ABS(FV('Investment Calculator'!$C$7/'Investment Calculator'!$F$4,'SIP Schedule'!C3034,'SIP Schedule'!D3034,,1)),"")</f>
        <v/>
      </c>
    </row>
    <row r="3035" spans="3:6" x14ac:dyDescent="0.3">
      <c r="C3035" s="1" t="str">
        <f>IF(C3034&lt;'Investment Calculator'!$C$8*'Investment Calculator'!$F$4,'SIP Schedule'!C3034+1,"")</f>
        <v/>
      </c>
      <c r="D3035" s="27" t="str">
        <f>IF(C3035&lt;='Investment Calculator'!$C$8*'Investment Calculator'!$F$4,'Investment Calculator'!$C$6,"")</f>
        <v/>
      </c>
      <c r="E3035" s="27" t="str">
        <f>IFERROR((F3034+D3035)*'Investment Calculator'!$C$7/'Investment Calculator'!$F$4,"")</f>
        <v/>
      </c>
      <c r="F3035" s="27" t="str">
        <f>IFERROR(ABS(FV('Investment Calculator'!$C$7/'Investment Calculator'!$F$4,'SIP Schedule'!C3035,'SIP Schedule'!D3035,,1)),"")</f>
        <v/>
      </c>
    </row>
    <row r="3036" spans="3:6" x14ac:dyDescent="0.3">
      <c r="C3036" s="1" t="str">
        <f>IF(C3035&lt;'Investment Calculator'!$C$8*'Investment Calculator'!$F$4,'SIP Schedule'!C3035+1,"")</f>
        <v/>
      </c>
      <c r="D3036" s="27" t="str">
        <f>IF(C3036&lt;='Investment Calculator'!$C$8*'Investment Calculator'!$F$4,'Investment Calculator'!$C$6,"")</f>
        <v/>
      </c>
      <c r="E3036" s="27" t="str">
        <f>IFERROR((F3035+D3036)*'Investment Calculator'!$C$7/'Investment Calculator'!$F$4,"")</f>
        <v/>
      </c>
      <c r="F3036" s="27" t="str">
        <f>IFERROR(ABS(FV('Investment Calculator'!$C$7/'Investment Calculator'!$F$4,'SIP Schedule'!C3036,'SIP Schedule'!D3036,,1)),"")</f>
        <v/>
      </c>
    </row>
    <row r="3037" spans="3:6" x14ac:dyDescent="0.3">
      <c r="C3037" s="1" t="str">
        <f>IF(C3036&lt;'Investment Calculator'!$C$8*'Investment Calculator'!$F$4,'SIP Schedule'!C3036+1,"")</f>
        <v/>
      </c>
      <c r="D3037" s="27" t="str">
        <f>IF(C3037&lt;='Investment Calculator'!$C$8*'Investment Calculator'!$F$4,'Investment Calculator'!$C$6,"")</f>
        <v/>
      </c>
      <c r="E3037" s="27" t="str">
        <f>IFERROR((F3036+D3037)*'Investment Calculator'!$C$7/'Investment Calculator'!$F$4,"")</f>
        <v/>
      </c>
      <c r="F3037" s="27" t="str">
        <f>IFERROR(ABS(FV('Investment Calculator'!$C$7/'Investment Calculator'!$F$4,'SIP Schedule'!C3037,'SIP Schedule'!D3037,,1)),"")</f>
        <v/>
      </c>
    </row>
    <row r="3038" spans="3:6" x14ac:dyDescent="0.3">
      <c r="C3038" s="1" t="str">
        <f>IF(C3037&lt;'Investment Calculator'!$C$8*'Investment Calculator'!$F$4,'SIP Schedule'!C3037+1,"")</f>
        <v/>
      </c>
      <c r="D3038" s="27" t="str">
        <f>IF(C3038&lt;='Investment Calculator'!$C$8*'Investment Calculator'!$F$4,'Investment Calculator'!$C$6,"")</f>
        <v/>
      </c>
      <c r="E3038" s="27" t="str">
        <f>IFERROR((F3037+D3038)*'Investment Calculator'!$C$7/'Investment Calculator'!$F$4,"")</f>
        <v/>
      </c>
      <c r="F3038" s="27" t="str">
        <f>IFERROR(ABS(FV('Investment Calculator'!$C$7/'Investment Calculator'!$F$4,'SIP Schedule'!C3038,'SIP Schedule'!D3038,,1)),"")</f>
        <v/>
      </c>
    </row>
    <row r="3039" spans="3:6" x14ac:dyDescent="0.3">
      <c r="C3039" s="1" t="str">
        <f>IF(C3038&lt;'Investment Calculator'!$C$8*'Investment Calculator'!$F$4,'SIP Schedule'!C3038+1,"")</f>
        <v/>
      </c>
      <c r="D3039" s="27" t="str">
        <f>IF(C3039&lt;='Investment Calculator'!$C$8*'Investment Calculator'!$F$4,'Investment Calculator'!$C$6,"")</f>
        <v/>
      </c>
      <c r="E3039" s="27" t="str">
        <f>IFERROR((F3038+D3039)*'Investment Calculator'!$C$7/'Investment Calculator'!$F$4,"")</f>
        <v/>
      </c>
      <c r="F3039" s="27" t="str">
        <f>IFERROR(ABS(FV('Investment Calculator'!$C$7/'Investment Calculator'!$F$4,'SIP Schedule'!C3039,'SIP Schedule'!D3039,,1)),"")</f>
        <v/>
      </c>
    </row>
    <row r="3040" spans="3:6" x14ac:dyDescent="0.3">
      <c r="C3040" s="1" t="str">
        <f>IF(C3039&lt;'Investment Calculator'!$C$8*'Investment Calculator'!$F$4,'SIP Schedule'!C3039+1,"")</f>
        <v/>
      </c>
      <c r="D3040" s="27" t="str">
        <f>IF(C3040&lt;='Investment Calculator'!$C$8*'Investment Calculator'!$F$4,'Investment Calculator'!$C$6,"")</f>
        <v/>
      </c>
      <c r="E3040" s="27" t="str">
        <f>IFERROR((F3039+D3040)*'Investment Calculator'!$C$7/'Investment Calculator'!$F$4,"")</f>
        <v/>
      </c>
      <c r="F3040" s="27" t="str">
        <f>IFERROR(ABS(FV('Investment Calculator'!$C$7/'Investment Calculator'!$F$4,'SIP Schedule'!C3040,'SIP Schedule'!D3040,,1)),"")</f>
        <v/>
      </c>
    </row>
    <row r="3041" spans="3:6" x14ac:dyDescent="0.3">
      <c r="C3041" s="1" t="str">
        <f>IF(C3040&lt;'Investment Calculator'!$C$8*'Investment Calculator'!$F$4,'SIP Schedule'!C3040+1,"")</f>
        <v/>
      </c>
      <c r="D3041" s="27" t="str">
        <f>IF(C3041&lt;='Investment Calculator'!$C$8*'Investment Calculator'!$F$4,'Investment Calculator'!$C$6,"")</f>
        <v/>
      </c>
      <c r="E3041" s="27" t="str">
        <f>IFERROR((F3040+D3041)*'Investment Calculator'!$C$7/'Investment Calculator'!$F$4,"")</f>
        <v/>
      </c>
      <c r="F3041" s="27" t="str">
        <f>IFERROR(ABS(FV('Investment Calculator'!$C$7/'Investment Calculator'!$F$4,'SIP Schedule'!C3041,'SIP Schedule'!D3041,,1)),"")</f>
        <v/>
      </c>
    </row>
    <row r="3042" spans="3:6" x14ac:dyDescent="0.3">
      <c r="C3042" s="1" t="str">
        <f>IF(C3041&lt;'Investment Calculator'!$C$8*'Investment Calculator'!$F$4,'SIP Schedule'!C3041+1,"")</f>
        <v/>
      </c>
      <c r="D3042" s="27" t="str">
        <f>IF(C3042&lt;='Investment Calculator'!$C$8*'Investment Calculator'!$F$4,'Investment Calculator'!$C$6,"")</f>
        <v/>
      </c>
      <c r="E3042" s="27" t="str">
        <f>IFERROR((F3041+D3042)*'Investment Calculator'!$C$7/'Investment Calculator'!$F$4,"")</f>
        <v/>
      </c>
      <c r="F3042" s="27" t="str">
        <f>IFERROR(ABS(FV('Investment Calculator'!$C$7/'Investment Calculator'!$F$4,'SIP Schedule'!C3042,'SIP Schedule'!D3042,,1)),"")</f>
        <v/>
      </c>
    </row>
    <row r="3043" spans="3:6" x14ac:dyDescent="0.3">
      <c r="C3043" s="1" t="str">
        <f>IF(C3042&lt;'Investment Calculator'!$C$8*'Investment Calculator'!$F$4,'SIP Schedule'!C3042+1,"")</f>
        <v/>
      </c>
      <c r="D3043" s="27" t="str">
        <f>IF(C3043&lt;='Investment Calculator'!$C$8*'Investment Calculator'!$F$4,'Investment Calculator'!$C$6,"")</f>
        <v/>
      </c>
      <c r="E3043" s="27" t="str">
        <f>IFERROR((F3042+D3043)*'Investment Calculator'!$C$7/'Investment Calculator'!$F$4,"")</f>
        <v/>
      </c>
      <c r="F3043" s="27" t="str">
        <f>IFERROR(ABS(FV('Investment Calculator'!$C$7/'Investment Calculator'!$F$4,'SIP Schedule'!C3043,'SIP Schedule'!D3043,,1)),"")</f>
        <v/>
      </c>
    </row>
    <row r="3044" spans="3:6" x14ac:dyDescent="0.3">
      <c r="C3044" s="1" t="str">
        <f>IF(C3043&lt;'Investment Calculator'!$C$8*'Investment Calculator'!$F$4,'SIP Schedule'!C3043+1,"")</f>
        <v/>
      </c>
      <c r="D3044" s="27" t="str">
        <f>IF(C3044&lt;='Investment Calculator'!$C$8*'Investment Calculator'!$F$4,'Investment Calculator'!$C$6,"")</f>
        <v/>
      </c>
      <c r="E3044" s="27" t="str">
        <f>IFERROR((F3043+D3044)*'Investment Calculator'!$C$7/'Investment Calculator'!$F$4,"")</f>
        <v/>
      </c>
      <c r="F3044" s="27" t="str">
        <f>IFERROR(ABS(FV('Investment Calculator'!$C$7/'Investment Calculator'!$F$4,'SIP Schedule'!C3044,'SIP Schedule'!D3044,,1)),"")</f>
        <v/>
      </c>
    </row>
    <row r="3045" spans="3:6" x14ac:dyDescent="0.3">
      <c r="C3045" s="1" t="str">
        <f>IF(C3044&lt;'Investment Calculator'!$C$8*'Investment Calculator'!$F$4,'SIP Schedule'!C3044+1,"")</f>
        <v/>
      </c>
      <c r="D3045" s="27" t="str">
        <f>IF(C3045&lt;='Investment Calculator'!$C$8*'Investment Calculator'!$F$4,'Investment Calculator'!$C$6,"")</f>
        <v/>
      </c>
      <c r="E3045" s="27" t="str">
        <f>IFERROR((F3044+D3045)*'Investment Calculator'!$C$7/'Investment Calculator'!$F$4,"")</f>
        <v/>
      </c>
      <c r="F3045" s="27" t="str">
        <f>IFERROR(ABS(FV('Investment Calculator'!$C$7/'Investment Calculator'!$F$4,'SIP Schedule'!C3045,'SIP Schedule'!D3045,,1)),"")</f>
        <v/>
      </c>
    </row>
    <row r="3046" spans="3:6" x14ac:dyDescent="0.3">
      <c r="C3046" s="1" t="str">
        <f>IF(C3045&lt;'Investment Calculator'!$C$8*'Investment Calculator'!$F$4,'SIP Schedule'!C3045+1,"")</f>
        <v/>
      </c>
      <c r="D3046" s="27" t="str">
        <f>IF(C3046&lt;='Investment Calculator'!$C$8*'Investment Calculator'!$F$4,'Investment Calculator'!$C$6,"")</f>
        <v/>
      </c>
      <c r="E3046" s="27" t="str">
        <f>IFERROR((F3045+D3046)*'Investment Calculator'!$C$7/'Investment Calculator'!$F$4,"")</f>
        <v/>
      </c>
      <c r="F3046" s="27" t="str">
        <f>IFERROR(ABS(FV('Investment Calculator'!$C$7/'Investment Calculator'!$F$4,'SIP Schedule'!C3046,'SIP Schedule'!D3046,,1)),"")</f>
        <v/>
      </c>
    </row>
    <row r="3047" spans="3:6" x14ac:dyDescent="0.3">
      <c r="C3047" s="1" t="str">
        <f>IF(C3046&lt;'Investment Calculator'!$C$8*'Investment Calculator'!$F$4,'SIP Schedule'!C3046+1,"")</f>
        <v/>
      </c>
      <c r="D3047" s="27" t="str">
        <f>IF(C3047&lt;='Investment Calculator'!$C$8*'Investment Calculator'!$F$4,'Investment Calculator'!$C$6,"")</f>
        <v/>
      </c>
      <c r="E3047" s="27" t="str">
        <f>IFERROR((F3046+D3047)*'Investment Calculator'!$C$7/'Investment Calculator'!$F$4,"")</f>
        <v/>
      </c>
      <c r="F3047" s="27" t="str">
        <f>IFERROR(ABS(FV('Investment Calculator'!$C$7/'Investment Calculator'!$F$4,'SIP Schedule'!C3047,'SIP Schedule'!D3047,,1)),"")</f>
        <v/>
      </c>
    </row>
    <row r="3048" spans="3:6" x14ac:dyDescent="0.3">
      <c r="C3048" s="1" t="str">
        <f>IF(C3047&lt;'Investment Calculator'!$C$8*'Investment Calculator'!$F$4,'SIP Schedule'!C3047+1,"")</f>
        <v/>
      </c>
      <c r="D3048" s="27" t="str">
        <f>IF(C3048&lt;='Investment Calculator'!$C$8*'Investment Calculator'!$F$4,'Investment Calculator'!$C$6,"")</f>
        <v/>
      </c>
      <c r="E3048" s="27" t="str">
        <f>IFERROR((F3047+D3048)*'Investment Calculator'!$C$7/'Investment Calculator'!$F$4,"")</f>
        <v/>
      </c>
      <c r="F3048" s="27" t="str">
        <f>IFERROR(ABS(FV('Investment Calculator'!$C$7/'Investment Calculator'!$F$4,'SIP Schedule'!C3048,'SIP Schedule'!D3048,,1)),"")</f>
        <v/>
      </c>
    </row>
    <row r="3049" spans="3:6" x14ac:dyDescent="0.3">
      <c r="C3049" s="1" t="str">
        <f>IF(C3048&lt;'Investment Calculator'!$C$8*'Investment Calculator'!$F$4,'SIP Schedule'!C3048+1,"")</f>
        <v/>
      </c>
      <c r="D3049" s="27" t="str">
        <f>IF(C3049&lt;='Investment Calculator'!$C$8*'Investment Calculator'!$F$4,'Investment Calculator'!$C$6,"")</f>
        <v/>
      </c>
      <c r="E3049" s="27" t="str">
        <f>IFERROR((F3048+D3049)*'Investment Calculator'!$C$7/'Investment Calculator'!$F$4,"")</f>
        <v/>
      </c>
      <c r="F3049" s="27" t="str">
        <f>IFERROR(ABS(FV('Investment Calculator'!$C$7/'Investment Calculator'!$F$4,'SIP Schedule'!C3049,'SIP Schedule'!D3049,,1)),"")</f>
        <v/>
      </c>
    </row>
    <row r="3050" spans="3:6" x14ac:dyDescent="0.3">
      <c r="C3050" s="1" t="str">
        <f>IF(C3049&lt;'Investment Calculator'!$C$8*'Investment Calculator'!$F$4,'SIP Schedule'!C3049+1,"")</f>
        <v/>
      </c>
      <c r="D3050" s="27" t="str">
        <f>IF(C3050&lt;='Investment Calculator'!$C$8*'Investment Calculator'!$F$4,'Investment Calculator'!$C$6,"")</f>
        <v/>
      </c>
      <c r="E3050" s="27" t="str">
        <f>IFERROR((F3049+D3050)*'Investment Calculator'!$C$7/'Investment Calculator'!$F$4,"")</f>
        <v/>
      </c>
      <c r="F3050" s="27" t="str">
        <f>IFERROR(ABS(FV('Investment Calculator'!$C$7/'Investment Calculator'!$F$4,'SIP Schedule'!C3050,'SIP Schedule'!D3050,,1)),"")</f>
        <v/>
      </c>
    </row>
    <row r="3051" spans="3:6" x14ac:dyDescent="0.3">
      <c r="C3051" s="1" t="str">
        <f>IF(C3050&lt;'Investment Calculator'!$C$8*'Investment Calculator'!$F$4,'SIP Schedule'!C3050+1,"")</f>
        <v/>
      </c>
      <c r="D3051" s="27" t="str">
        <f>IF(C3051&lt;='Investment Calculator'!$C$8*'Investment Calculator'!$F$4,'Investment Calculator'!$C$6,"")</f>
        <v/>
      </c>
      <c r="E3051" s="27" t="str">
        <f>IFERROR((F3050+D3051)*'Investment Calculator'!$C$7/'Investment Calculator'!$F$4,"")</f>
        <v/>
      </c>
      <c r="F3051" s="27" t="str">
        <f>IFERROR(ABS(FV('Investment Calculator'!$C$7/'Investment Calculator'!$F$4,'SIP Schedule'!C3051,'SIP Schedule'!D3051,,1)),"")</f>
        <v/>
      </c>
    </row>
    <row r="3052" spans="3:6" x14ac:dyDescent="0.3">
      <c r="C3052" s="1" t="str">
        <f>IF(C3051&lt;'Investment Calculator'!$C$8*'Investment Calculator'!$F$4,'SIP Schedule'!C3051+1,"")</f>
        <v/>
      </c>
      <c r="D3052" s="27" t="str">
        <f>IF(C3052&lt;='Investment Calculator'!$C$8*'Investment Calculator'!$F$4,'Investment Calculator'!$C$6,"")</f>
        <v/>
      </c>
      <c r="E3052" s="27" t="str">
        <f>IFERROR((F3051+D3052)*'Investment Calculator'!$C$7/'Investment Calculator'!$F$4,"")</f>
        <v/>
      </c>
      <c r="F3052" s="27" t="str">
        <f>IFERROR(ABS(FV('Investment Calculator'!$C$7/'Investment Calculator'!$F$4,'SIP Schedule'!C3052,'SIP Schedule'!D3052,,1)),"")</f>
        <v/>
      </c>
    </row>
    <row r="3053" spans="3:6" x14ac:dyDescent="0.3">
      <c r="C3053" s="1" t="str">
        <f>IF(C3052&lt;'Investment Calculator'!$C$8*'Investment Calculator'!$F$4,'SIP Schedule'!C3052+1,"")</f>
        <v/>
      </c>
      <c r="D3053" s="27" t="str">
        <f>IF(C3053&lt;='Investment Calculator'!$C$8*'Investment Calculator'!$F$4,'Investment Calculator'!$C$6,"")</f>
        <v/>
      </c>
      <c r="E3053" s="27" t="str">
        <f>IFERROR((F3052+D3053)*'Investment Calculator'!$C$7/'Investment Calculator'!$F$4,"")</f>
        <v/>
      </c>
      <c r="F3053" s="27" t="str">
        <f>IFERROR(ABS(FV('Investment Calculator'!$C$7/'Investment Calculator'!$F$4,'SIP Schedule'!C3053,'SIP Schedule'!D3053,,1)),"")</f>
        <v/>
      </c>
    </row>
    <row r="3054" spans="3:6" x14ac:dyDescent="0.3">
      <c r="C3054" s="1" t="str">
        <f>IF(C3053&lt;'Investment Calculator'!$C$8*'Investment Calculator'!$F$4,'SIP Schedule'!C3053+1,"")</f>
        <v/>
      </c>
      <c r="D3054" s="27" t="str">
        <f>IF(C3054&lt;='Investment Calculator'!$C$8*'Investment Calculator'!$F$4,'Investment Calculator'!$C$6,"")</f>
        <v/>
      </c>
      <c r="E3054" s="27" t="str">
        <f>IFERROR((F3053+D3054)*'Investment Calculator'!$C$7/'Investment Calculator'!$F$4,"")</f>
        <v/>
      </c>
      <c r="F3054" s="27" t="str">
        <f>IFERROR(ABS(FV('Investment Calculator'!$C$7/'Investment Calculator'!$F$4,'SIP Schedule'!C3054,'SIP Schedule'!D3054,,1)),"")</f>
        <v/>
      </c>
    </row>
    <row r="3055" spans="3:6" x14ac:dyDescent="0.3">
      <c r="C3055" s="1" t="str">
        <f>IF(C3054&lt;'Investment Calculator'!$C$8*'Investment Calculator'!$F$4,'SIP Schedule'!C3054+1,"")</f>
        <v/>
      </c>
      <c r="D3055" s="27" t="str">
        <f>IF(C3055&lt;='Investment Calculator'!$C$8*'Investment Calculator'!$F$4,'Investment Calculator'!$C$6,"")</f>
        <v/>
      </c>
      <c r="E3055" s="27" t="str">
        <f>IFERROR((F3054+D3055)*'Investment Calculator'!$C$7/'Investment Calculator'!$F$4,"")</f>
        <v/>
      </c>
      <c r="F3055" s="27" t="str">
        <f>IFERROR(ABS(FV('Investment Calculator'!$C$7/'Investment Calculator'!$F$4,'SIP Schedule'!C3055,'SIP Schedule'!D3055,,1)),"")</f>
        <v/>
      </c>
    </row>
    <row r="3056" spans="3:6" x14ac:dyDescent="0.3">
      <c r="C3056" s="1" t="str">
        <f>IF(C3055&lt;'Investment Calculator'!$C$8*'Investment Calculator'!$F$4,'SIP Schedule'!C3055+1,"")</f>
        <v/>
      </c>
      <c r="D3056" s="27" t="str">
        <f>IF(C3056&lt;='Investment Calculator'!$C$8*'Investment Calculator'!$F$4,'Investment Calculator'!$C$6,"")</f>
        <v/>
      </c>
      <c r="E3056" s="27" t="str">
        <f>IFERROR((F3055+D3056)*'Investment Calculator'!$C$7/'Investment Calculator'!$F$4,"")</f>
        <v/>
      </c>
      <c r="F3056" s="27" t="str">
        <f>IFERROR(ABS(FV('Investment Calculator'!$C$7/'Investment Calculator'!$F$4,'SIP Schedule'!C3056,'SIP Schedule'!D3056,,1)),"")</f>
        <v/>
      </c>
    </row>
    <row r="3057" spans="3:6" x14ac:dyDescent="0.3">
      <c r="C3057" s="1" t="str">
        <f>IF(C3056&lt;'Investment Calculator'!$C$8*'Investment Calculator'!$F$4,'SIP Schedule'!C3056+1,"")</f>
        <v/>
      </c>
      <c r="D3057" s="27" t="str">
        <f>IF(C3057&lt;='Investment Calculator'!$C$8*'Investment Calculator'!$F$4,'Investment Calculator'!$C$6,"")</f>
        <v/>
      </c>
      <c r="E3057" s="27" t="str">
        <f>IFERROR((F3056+D3057)*'Investment Calculator'!$C$7/'Investment Calculator'!$F$4,"")</f>
        <v/>
      </c>
      <c r="F3057" s="27" t="str">
        <f>IFERROR(ABS(FV('Investment Calculator'!$C$7/'Investment Calculator'!$F$4,'SIP Schedule'!C3057,'SIP Schedule'!D3057,,1)),"")</f>
        <v/>
      </c>
    </row>
    <row r="3058" spans="3:6" x14ac:dyDescent="0.3">
      <c r="C3058" s="1" t="str">
        <f>IF(C3057&lt;'Investment Calculator'!$C$8*'Investment Calculator'!$F$4,'SIP Schedule'!C3057+1,"")</f>
        <v/>
      </c>
      <c r="D3058" s="27" t="str">
        <f>IF(C3058&lt;='Investment Calculator'!$C$8*'Investment Calculator'!$F$4,'Investment Calculator'!$C$6,"")</f>
        <v/>
      </c>
      <c r="E3058" s="27" t="str">
        <f>IFERROR((F3057+D3058)*'Investment Calculator'!$C$7/'Investment Calculator'!$F$4,"")</f>
        <v/>
      </c>
      <c r="F3058" s="27" t="str">
        <f>IFERROR(ABS(FV('Investment Calculator'!$C$7/'Investment Calculator'!$F$4,'SIP Schedule'!C3058,'SIP Schedule'!D3058,,1)),"")</f>
        <v/>
      </c>
    </row>
    <row r="3059" spans="3:6" x14ac:dyDescent="0.3">
      <c r="C3059" s="1" t="str">
        <f>IF(C3058&lt;'Investment Calculator'!$C$8*'Investment Calculator'!$F$4,'SIP Schedule'!C3058+1,"")</f>
        <v/>
      </c>
      <c r="D3059" s="27" t="str">
        <f>IF(C3059&lt;='Investment Calculator'!$C$8*'Investment Calculator'!$F$4,'Investment Calculator'!$C$6,"")</f>
        <v/>
      </c>
      <c r="E3059" s="27" t="str">
        <f>IFERROR((F3058+D3059)*'Investment Calculator'!$C$7/'Investment Calculator'!$F$4,"")</f>
        <v/>
      </c>
      <c r="F3059" s="27" t="str">
        <f>IFERROR(ABS(FV('Investment Calculator'!$C$7/'Investment Calculator'!$F$4,'SIP Schedule'!C3059,'SIP Schedule'!D3059,,1)),"")</f>
        <v/>
      </c>
    </row>
    <row r="3060" spans="3:6" x14ac:dyDescent="0.3">
      <c r="C3060" s="1" t="str">
        <f>IF(C3059&lt;'Investment Calculator'!$C$8*'Investment Calculator'!$F$4,'SIP Schedule'!C3059+1,"")</f>
        <v/>
      </c>
      <c r="D3060" s="27" t="str">
        <f>IF(C3060&lt;='Investment Calculator'!$C$8*'Investment Calculator'!$F$4,'Investment Calculator'!$C$6,"")</f>
        <v/>
      </c>
      <c r="E3060" s="27" t="str">
        <f>IFERROR((F3059+D3060)*'Investment Calculator'!$C$7/'Investment Calculator'!$F$4,"")</f>
        <v/>
      </c>
      <c r="F3060" s="27" t="str">
        <f>IFERROR(ABS(FV('Investment Calculator'!$C$7/'Investment Calculator'!$F$4,'SIP Schedule'!C3060,'SIP Schedule'!D3060,,1)),"")</f>
        <v/>
      </c>
    </row>
    <row r="3061" spans="3:6" x14ac:dyDescent="0.3">
      <c r="C3061" s="1" t="str">
        <f>IF(C3060&lt;'Investment Calculator'!$C$8*'Investment Calculator'!$F$4,'SIP Schedule'!C3060+1,"")</f>
        <v/>
      </c>
      <c r="D3061" s="27" t="str">
        <f>IF(C3061&lt;='Investment Calculator'!$C$8*'Investment Calculator'!$F$4,'Investment Calculator'!$C$6,"")</f>
        <v/>
      </c>
      <c r="E3061" s="27" t="str">
        <f>IFERROR((F3060+D3061)*'Investment Calculator'!$C$7/'Investment Calculator'!$F$4,"")</f>
        <v/>
      </c>
      <c r="F3061" s="27" t="str">
        <f>IFERROR(ABS(FV('Investment Calculator'!$C$7/'Investment Calculator'!$F$4,'SIP Schedule'!C3061,'SIP Schedule'!D3061,,1)),"")</f>
        <v/>
      </c>
    </row>
    <row r="3062" spans="3:6" x14ac:dyDescent="0.3">
      <c r="C3062" s="1" t="str">
        <f>IF(C3061&lt;'Investment Calculator'!$C$8*'Investment Calculator'!$F$4,'SIP Schedule'!C3061+1,"")</f>
        <v/>
      </c>
      <c r="D3062" s="27" t="str">
        <f>IF(C3062&lt;='Investment Calculator'!$C$8*'Investment Calculator'!$F$4,'Investment Calculator'!$C$6,"")</f>
        <v/>
      </c>
      <c r="E3062" s="27" t="str">
        <f>IFERROR((F3061+D3062)*'Investment Calculator'!$C$7/'Investment Calculator'!$F$4,"")</f>
        <v/>
      </c>
      <c r="F3062" s="27" t="str">
        <f>IFERROR(ABS(FV('Investment Calculator'!$C$7/'Investment Calculator'!$F$4,'SIP Schedule'!C3062,'SIP Schedule'!D3062,,1)),"")</f>
        <v/>
      </c>
    </row>
    <row r="3063" spans="3:6" x14ac:dyDescent="0.3">
      <c r="C3063" s="1" t="str">
        <f>IF(C3062&lt;'Investment Calculator'!$C$8*'Investment Calculator'!$F$4,'SIP Schedule'!C3062+1,"")</f>
        <v/>
      </c>
      <c r="D3063" s="27" t="str">
        <f>IF(C3063&lt;='Investment Calculator'!$C$8*'Investment Calculator'!$F$4,'Investment Calculator'!$C$6,"")</f>
        <v/>
      </c>
      <c r="E3063" s="27" t="str">
        <f>IFERROR((F3062+D3063)*'Investment Calculator'!$C$7/'Investment Calculator'!$F$4,"")</f>
        <v/>
      </c>
      <c r="F3063" s="27" t="str">
        <f>IFERROR(ABS(FV('Investment Calculator'!$C$7/'Investment Calculator'!$F$4,'SIP Schedule'!C3063,'SIP Schedule'!D3063,,1)),"")</f>
        <v/>
      </c>
    </row>
    <row r="3064" spans="3:6" x14ac:dyDescent="0.3">
      <c r="C3064" s="1" t="str">
        <f>IF(C3063&lt;'Investment Calculator'!$C$8*'Investment Calculator'!$F$4,'SIP Schedule'!C3063+1,"")</f>
        <v/>
      </c>
      <c r="D3064" s="27" t="str">
        <f>IF(C3064&lt;='Investment Calculator'!$C$8*'Investment Calculator'!$F$4,'Investment Calculator'!$C$6,"")</f>
        <v/>
      </c>
      <c r="E3064" s="27" t="str">
        <f>IFERROR((F3063+D3064)*'Investment Calculator'!$C$7/'Investment Calculator'!$F$4,"")</f>
        <v/>
      </c>
      <c r="F3064" s="27" t="str">
        <f>IFERROR(ABS(FV('Investment Calculator'!$C$7/'Investment Calculator'!$F$4,'SIP Schedule'!C3064,'SIP Schedule'!D3064,,1)),"")</f>
        <v/>
      </c>
    </row>
    <row r="3065" spans="3:6" x14ac:dyDescent="0.3">
      <c r="C3065" s="1" t="str">
        <f>IF(C3064&lt;'Investment Calculator'!$C$8*'Investment Calculator'!$F$4,'SIP Schedule'!C3064+1,"")</f>
        <v/>
      </c>
      <c r="D3065" s="27" t="str">
        <f>IF(C3065&lt;='Investment Calculator'!$C$8*'Investment Calculator'!$F$4,'Investment Calculator'!$C$6,"")</f>
        <v/>
      </c>
      <c r="E3065" s="27" t="str">
        <f>IFERROR((F3064+D3065)*'Investment Calculator'!$C$7/'Investment Calculator'!$F$4,"")</f>
        <v/>
      </c>
      <c r="F3065" s="27" t="str">
        <f>IFERROR(ABS(FV('Investment Calculator'!$C$7/'Investment Calculator'!$F$4,'SIP Schedule'!C3065,'SIP Schedule'!D3065,,1)),"")</f>
        <v/>
      </c>
    </row>
    <row r="3066" spans="3:6" x14ac:dyDescent="0.3">
      <c r="C3066" s="1" t="str">
        <f>IF(C3065&lt;'Investment Calculator'!$C$8*'Investment Calculator'!$F$4,'SIP Schedule'!C3065+1,"")</f>
        <v/>
      </c>
      <c r="D3066" s="27" t="str">
        <f>IF(C3066&lt;='Investment Calculator'!$C$8*'Investment Calculator'!$F$4,'Investment Calculator'!$C$6,"")</f>
        <v/>
      </c>
      <c r="E3066" s="27" t="str">
        <f>IFERROR((F3065+D3066)*'Investment Calculator'!$C$7/'Investment Calculator'!$F$4,"")</f>
        <v/>
      </c>
      <c r="F3066" s="27" t="str">
        <f>IFERROR(ABS(FV('Investment Calculator'!$C$7/'Investment Calculator'!$F$4,'SIP Schedule'!C3066,'SIP Schedule'!D3066,,1)),"")</f>
        <v/>
      </c>
    </row>
    <row r="3067" spans="3:6" x14ac:dyDescent="0.3">
      <c r="C3067" s="1" t="str">
        <f>IF(C3066&lt;'Investment Calculator'!$C$8*'Investment Calculator'!$F$4,'SIP Schedule'!C3066+1,"")</f>
        <v/>
      </c>
      <c r="D3067" s="27" t="str">
        <f>IF(C3067&lt;='Investment Calculator'!$C$8*'Investment Calculator'!$F$4,'Investment Calculator'!$C$6,"")</f>
        <v/>
      </c>
      <c r="E3067" s="27" t="str">
        <f>IFERROR((F3066+D3067)*'Investment Calculator'!$C$7/'Investment Calculator'!$F$4,"")</f>
        <v/>
      </c>
      <c r="F3067" s="27" t="str">
        <f>IFERROR(ABS(FV('Investment Calculator'!$C$7/'Investment Calculator'!$F$4,'SIP Schedule'!C3067,'SIP Schedule'!D3067,,1)),"")</f>
        <v/>
      </c>
    </row>
    <row r="3068" spans="3:6" x14ac:dyDescent="0.3">
      <c r="C3068" s="1" t="str">
        <f>IF(C3067&lt;'Investment Calculator'!$C$8*'Investment Calculator'!$F$4,'SIP Schedule'!C3067+1,"")</f>
        <v/>
      </c>
      <c r="D3068" s="27" t="str">
        <f>IF(C3068&lt;='Investment Calculator'!$C$8*'Investment Calculator'!$F$4,'Investment Calculator'!$C$6,"")</f>
        <v/>
      </c>
      <c r="E3068" s="27" t="str">
        <f>IFERROR((F3067+D3068)*'Investment Calculator'!$C$7/'Investment Calculator'!$F$4,"")</f>
        <v/>
      </c>
      <c r="F3068" s="27" t="str">
        <f>IFERROR(ABS(FV('Investment Calculator'!$C$7/'Investment Calculator'!$F$4,'SIP Schedule'!C3068,'SIP Schedule'!D3068,,1)),"")</f>
        <v/>
      </c>
    </row>
    <row r="3069" spans="3:6" x14ac:dyDescent="0.3">
      <c r="C3069" s="1" t="str">
        <f>IF(C3068&lt;'Investment Calculator'!$C$8*'Investment Calculator'!$F$4,'SIP Schedule'!C3068+1,"")</f>
        <v/>
      </c>
      <c r="D3069" s="27" t="str">
        <f>IF(C3069&lt;='Investment Calculator'!$C$8*'Investment Calculator'!$F$4,'Investment Calculator'!$C$6,"")</f>
        <v/>
      </c>
      <c r="E3069" s="27" t="str">
        <f>IFERROR((F3068+D3069)*'Investment Calculator'!$C$7/'Investment Calculator'!$F$4,"")</f>
        <v/>
      </c>
      <c r="F3069" s="27" t="str">
        <f>IFERROR(ABS(FV('Investment Calculator'!$C$7/'Investment Calculator'!$F$4,'SIP Schedule'!C3069,'SIP Schedule'!D3069,,1)),"")</f>
        <v/>
      </c>
    </row>
    <row r="3070" spans="3:6" x14ac:dyDescent="0.3">
      <c r="C3070" s="1" t="str">
        <f>IF(C3069&lt;'Investment Calculator'!$C$8*'Investment Calculator'!$F$4,'SIP Schedule'!C3069+1,"")</f>
        <v/>
      </c>
      <c r="D3070" s="27" t="str">
        <f>IF(C3070&lt;='Investment Calculator'!$C$8*'Investment Calculator'!$F$4,'Investment Calculator'!$C$6,"")</f>
        <v/>
      </c>
      <c r="E3070" s="27" t="str">
        <f>IFERROR((F3069+D3070)*'Investment Calculator'!$C$7/'Investment Calculator'!$F$4,"")</f>
        <v/>
      </c>
      <c r="F3070" s="27" t="str">
        <f>IFERROR(ABS(FV('Investment Calculator'!$C$7/'Investment Calculator'!$F$4,'SIP Schedule'!C3070,'SIP Schedule'!D3070,,1)),"")</f>
        <v/>
      </c>
    </row>
    <row r="3071" spans="3:6" x14ac:dyDescent="0.3">
      <c r="C3071" s="1" t="str">
        <f>IF(C3070&lt;'Investment Calculator'!$C$8*'Investment Calculator'!$F$4,'SIP Schedule'!C3070+1,"")</f>
        <v/>
      </c>
      <c r="D3071" s="27" t="str">
        <f>IF(C3071&lt;='Investment Calculator'!$C$8*'Investment Calculator'!$F$4,'Investment Calculator'!$C$6,"")</f>
        <v/>
      </c>
      <c r="E3071" s="27" t="str">
        <f>IFERROR((F3070+D3071)*'Investment Calculator'!$C$7/'Investment Calculator'!$F$4,"")</f>
        <v/>
      </c>
      <c r="F3071" s="27" t="str">
        <f>IFERROR(ABS(FV('Investment Calculator'!$C$7/'Investment Calculator'!$F$4,'SIP Schedule'!C3071,'SIP Schedule'!D3071,,1)),"")</f>
        <v/>
      </c>
    </row>
    <row r="3072" spans="3:6" x14ac:dyDescent="0.3">
      <c r="C3072" s="1" t="str">
        <f>IF(C3071&lt;'Investment Calculator'!$C$8*'Investment Calculator'!$F$4,'SIP Schedule'!C3071+1,"")</f>
        <v/>
      </c>
      <c r="D3072" s="27" t="str">
        <f>IF(C3072&lt;='Investment Calculator'!$C$8*'Investment Calculator'!$F$4,'Investment Calculator'!$C$6,"")</f>
        <v/>
      </c>
      <c r="E3072" s="27" t="str">
        <f>IFERROR((F3071+D3072)*'Investment Calculator'!$C$7/'Investment Calculator'!$F$4,"")</f>
        <v/>
      </c>
      <c r="F3072" s="27" t="str">
        <f>IFERROR(ABS(FV('Investment Calculator'!$C$7/'Investment Calculator'!$F$4,'SIP Schedule'!C3072,'SIP Schedule'!D3072,,1)),"")</f>
        <v/>
      </c>
    </row>
    <row r="3073" spans="3:6" x14ac:dyDescent="0.3">
      <c r="C3073" s="1" t="str">
        <f>IF(C3072&lt;'Investment Calculator'!$C$8*'Investment Calculator'!$F$4,'SIP Schedule'!C3072+1,"")</f>
        <v/>
      </c>
      <c r="D3073" s="27" t="str">
        <f>IF(C3073&lt;='Investment Calculator'!$C$8*'Investment Calculator'!$F$4,'Investment Calculator'!$C$6,"")</f>
        <v/>
      </c>
      <c r="E3073" s="27" t="str">
        <f>IFERROR((F3072+D3073)*'Investment Calculator'!$C$7/'Investment Calculator'!$F$4,"")</f>
        <v/>
      </c>
      <c r="F3073" s="27" t="str">
        <f>IFERROR(ABS(FV('Investment Calculator'!$C$7/'Investment Calculator'!$F$4,'SIP Schedule'!C3073,'SIP Schedule'!D3073,,1)),"")</f>
        <v/>
      </c>
    </row>
    <row r="3074" spans="3:6" x14ac:dyDescent="0.3">
      <c r="C3074" s="1" t="str">
        <f>IF(C3073&lt;'Investment Calculator'!$C$8*'Investment Calculator'!$F$4,'SIP Schedule'!C3073+1,"")</f>
        <v/>
      </c>
      <c r="D3074" s="27" t="str">
        <f>IF(C3074&lt;='Investment Calculator'!$C$8*'Investment Calculator'!$F$4,'Investment Calculator'!$C$6,"")</f>
        <v/>
      </c>
      <c r="E3074" s="27" t="str">
        <f>IFERROR((F3073+D3074)*'Investment Calculator'!$C$7/'Investment Calculator'!$F$4,"")</f>
        <v/>
      </c>
      <c r="F3074" s="27" t="str">
        <f>IFERROR(ABS(FV('Investment Calculator'!$C$7/'Investment Calculator'!$F$4,'SIP Schedule'!C3074,'SIP Schedule'!D3074,,1)),"")</f>
        <v/>
      </c>
    </row>
    <row r="3075" spans="3:6" x14ac:dyDescent="0.3">
      <c r="C3075" s="1" t="str">
        <f>IF(C3074&lt;'Investment Calculator'!$C$8*'Investment Calculator'!$F$4,'SIP Schedule'!C3074+1,"")</f>
        <v/>
      </c>
      <c r="D3075" s="27" t="str">
        <f>IF(C3075&lt;='Investment Calculator'!$C$8*'Investment Calculator'!$F$4,'Investment Calculator'!$C$6,"")</f>
        <v/>
      </c>
      <c r="E3075" s="27" t="str">
        <f>IFERROR((F3074+D3075)*'Investment Calculator'!$C$7/'Investment Calculator'!$F$4,"")</f>
        <v/>
      </c>
      <c r="F3075" s="27" t="str">
        <f>IFERROR(ABS(FV('Investment Calculator'!$C$7/'Investment Calculator'!$F$4,'SIP Schedule'!C3075,'SIP Schedule'!D3075,,1)),"")</f>
        <v/>
      </c>
    </row>
    <row r="3076" spans="3:6" x14ac:dyDescent="0.3">
      <c r="C3076" s="1" t="str">
        <f>IF(C3075&lt;'Investment Calculator'!$C$8*'Investment Calculator'!$F$4,'SIP Schedule'!C3075+1,"")</f>
        <v/>
      </c>
      <c r="D3076" s="27" t="str">
        <f>IF(C3076&lt;='Investment Calculator'!$C$8*'Investment Calculator'!$F$4,'Investment Calculator'!$C$6,"")</f>
        <v/>
      </c>
      <c r="E3076" s="27" t="str">
        <f>IFERROR((F3075+D3076)*'Investment Calculator'!$C$7/'Investment Calculator'!$F$4,"")</f>
        <v/>
      </c>
      <c r="F3076" s="27" t="str">
        <f>IFERROR(ABS(FV('Investment Calculator'!$C$7/'Investment Calculator'!$F$4,'SIP Schedule'!C3076,'SIP Schedule'!D3076,,1)),"")</f>
        <v/>
      </c>
    </row>
    <row r="3077" spans="3:6" x14ac:dyDescent="0.3">
      <c r="C3077" s="1" t="str">
        <f>IF(C3076&lt;'Investment Calculator'!$C$8*'Investment Calculator'!$F$4,'SIP Schedule'!C3076+1,"")</f>
        <v/>
      </c>
      <c r="D3077" s="27" t="str">
        <f>IF(C3077&lt;='Investment Calculator'!$C$8*'Investment Calculator'!$F$4,'Investment Calculator'!$C$6,"")</f>
        <v/>
      </c>
      <c r="E3077" s="27" t="str">
        <f>IFERROR((F3076+D3077)*'Investment Calculator'!$C$7/'Investment Calculator'!$F$4,"")</f>
        <v/>
      </c>
      <c r="F3077" s="27" t="str">
        <f>IFERROR(ABS(FV('Investment Calculator'!$C$7/'Investment Calculator'!$F$4,'SIP Schedule'!C3077,'SIP Schedule'!D3077,,1)),"")</f>
        <v/>
      </c>
    </row>
    <row r="3078" spans="3:6" x14ac:dyDescent="0.3">
      <c r="C3078" s="1" t="str">
        <f>IF(C3077&lt;'Investment Calculator'!$C$8*'Investment Calculator'!$F$4,'SIP Schedule'!C3077+1,"")</f>
        <v/>
      </c>
      <c r="D3078" s="27" t="str">
        <f>IF(C3078&lt;='Investment Calculator'!$C$8*'Investment Calculator'!$F$4,'Investment Calculator'!$C$6,"")</f>
        <v/>
      </c>
      <c r="E3078" s="27" t="str">
        <f>IFERROR((F3077+D3078)*'Investment Calculator'!$C$7/'Investment Calculator'!$F$4,"")</f>
        <v/>
      </c>
      <c r="F3078" s="27" t="str">
        <f>IFERROR(ABS(FV('Investment Calculator'!$C$7/'Investment Calculator'!$F$4,'SIP Schedule'!C3078,'SIP Schedule'!D3078,,1)),"")</f>
        <v/>
      </c>
    </row>
    <row r="3079" spans="3:6" x14ac:dyDescent="0.3">
      <c r="C3079" s="1" t="str">
        <f>IF(C3078&lt;'Investment Calculator'!$C$8*'Investment Calculator'!$F$4,'SIP Schedule'!C3078+1,"")</f>
        <v/>
      </c>
      <c r="D3079" s="27" t="str">
        <f>IF(C3079&lt;='Investment Calculator'!$C$8*'Investment Calculator'!$F$4,'Investment Calculator'!$C$6,"")</f>
        <v/>
      </c>
      <c r="E3079" s="27" t="str">
        <f>IFERROR((F3078+D3079)*'Investment Calculator'!$C$7/'Investment Calculator'!$F$4,"")</f>
        <v/>
      </c>
      <c r="F3079" s="27" t="str">
        <f>IFERROR(ABS(FV('Investment Calculator'!$C$7/'Investment Calculator'!$F$4,'SIP Schedule'!C3079,'SIP Schedule'!D3079,,1)),"")</f>
        <v/>
      </c>
    </row>
    <row r="3080" spans="3:6" x14ac:dyDescent="0.3">
      <c r="C3080" s="1" t="str">
        <f>IF(C3079&lt;'Investment Calculator'!$C$8*'Investment Calculator'!$F$4,'SIP Schedule'!C3079+1,"")</f>
        <v/>
      </c>
      <c r="D3080" s="27" t="str">
        <f>IF(C3080&lt;='Investment Calculator'!$C$8*'Investment Calculator'!$F$4,'Investment Calculator'!$C$6,"")</f>
        <v/>
      </c>
      <c r="E3080" s="27" t="str">
        <f>IFERROR((F3079+D3080)*'Investment Calculator'!$C$7/'Investment Calculator'!$F$4,"")</f>
        <v/>
      </c>
      <c r="F3080" s="27" t="str">
        <f>IFERROR(ABS(FV('Investment Calculator'!$C$7/'Investment Calculator'!$F$4,'SIP Schedule'!C3080,'SIP Schedule'!D3080,,1)),"")</f>
        <v/>
      </c>
    </row>
    <row r="3081" spans="3:6" x14ac:dyDescent="0.3">
      <c r="C3081" s="1" t="str">
        <f>IF(C3080&lt;'Investment Calculator'!$C$8*'Investment Calculator'!$F$4,'SIP Schedule'!C3080+1,"")</f>
        <v/>
      </c>
      <c r="D3081" s="27" t="str">
        <f>IF(C3081&lt;='Investment Calculator'!$C$8*'Investment Calculator'!$F$4,'Investment Calculator'!$C$6,"")</f>
        <v/>
      </c>
      <c r="E3081" s="27" t="str">
        <f>IFERROR((F3080+D3081)*'Investment Calculator'!$C$7/'Investment Calculator'!$F$4,"")</f>
        <v/>
      </c>
      <c r="F3081" s="27" t="str">
        <f>IFERROR(ABS(FV('Investment Calculator'!$C$7/'Investment Calculator'!$F$4,'SIP Schedule'!C3081,'SIP Schedule'!D3081,,1)),"")</f>
        <v/>
      </c>
    </row>
    <row r="3082" spans="3:6" x14ac:dyDescent="0.3">
      <c r="C3082" s="1" t="str">
        <f>IF(C3081&lt;'Investment Calculator'!$C$8*'Investment Calculator'!$F$4,'SIP Schedule'!C3081+1,"")</f>
        <v/>
      </c>
      <c r="D3082" s="27" t="str">
        <f>IF(C3082&lt;='Investment Calculator'!$C$8*'Investment Calculator'!$F$4,'Investment Calculator'!$C$6,"")</f>
        <v/>
      </c>
      <c r="E3082" s="27" t="str">
        <f>IFERROR((F3081+D3082)*'Investment Calculator'!$C$7/'Investment Calculator'!$F$4,"")</f>
        <v/>
      </c>
      <c r="F3082" s="27" t="str">
        <f>IFERROR(ABS(FV('Investment Calculator'!$C$7/'Investment Calculator'!$F$4,'SIP Schedule'!C3082,'SIP Schedule'!D3082,,1)),"")</f>
        <v/>
      </c>
    </row>
    <row r="3083" spans="3:6" x14ac:dyDescent="0.3">
      <c r="C3083" s="1" t="str">
        <f>IF(C3082&lt;'Investment Calculator'!$C$8*'Investment Calculator'!$F$4,'SIP Schedule'!C3082+1,"")</f>
        <v/>
      </c>
      <c r="D3083" s="27" t="str">
        <f>IF(C3083&lt;='Investment Calculator'!$C$8*'Investment Calculator'!$F$4,'Investment Calculator'!$C$6,"")</f>
        <v/>
      </c>
      <c r="E3083" s="27" t="str">
        <f>IFERROR((F3082+D3083)*'Investment Calculator'!$C$7/'Investment Calculator'!$F$4,"")</f>
        <v/>
      </c>
      <c r="F3083" s="27" t="str">
        <f>IFERROR(ABS(FV('Investment Calculator'!$C$7/'Investment Calculator'!$F$4,'SIP Schedule'!C3083,'SIP Schedule'!D3083,,1)),"")</f>
        <v/>
      </c>
    </row>
    <row r="3084" spans="3:6" x14ac:dyDescent="0.3">
      <c r="C3084" s="1" t="str">
        <f>IF(C3083&lt;'Investment Calculator'!$C$8*'Investment Calculator'!$F$4,'SIP Schedule'!C3083+1,"")</f>
        <v/>
      </c>
      <c r="D3084" s="27" t="str">
        <f>IF(C3084&lt;='Investment Calculator'!$C$8*'Investment Calculator'!$F$4,'Investment Calculator'!$C$6,"")</f>
        <v/>
      </c>
      <c r="E3084" s="27" t="str">
        <f>IFERROR((F3083+D3084)*'Investment Calculator'!$C$7/'Investment Calculator'!$F$4,"")</f>
        <v/>
      </c>
      <c r="F3084" s="27" t="str">
        <f>IFERROR(ABS(FV('Investment Calculator'!$C$7/'Investment Calculator'!$F$4,'SIP Schedule'!C3084,'SIP Schedule'!D3084,,1)),"")</f>
        <v/>
      </c>
    </row>
    <row r="3085" spans="3:6" x14ac:dyDescent="0.3">
      <c r="C3085" s="1" t="str">
        <f>IF(C3084&lt;'Investment Calculator'!$C$8*'Investment Calculator'!$F$4,'SIP Schedule'!C3084+1,"")</f>
        <v/>
      </c>
      <c r="D3085" s="27" t="str">
        <f>IF(C3085&lt;='Investment Calculator'!$C$8*'Investment Calculator'!$F$4,'Investment Calculator'!$C$6,"")</f>
        <v/>
      </c>
      <c r="E3085" s="27" t="str">
        <f>IFERROR((F3084+D3085)*'Investment Calculator'!$C$7/'Investment Calculator'!$F$4,"")</f>
        <v/>
      </c>
      <c r="F3085" s="27" t="str">
        <f>IFERROR(ABS(FV('Investment Calculator'!$C$7/'Investment Calculator'!$F$4,'SIP Schedule'!C3085,'SIP Schedule'!D3085,,1)),"")</f>
        <v/>
      </c>
    </row>
    <row r="3086" spans="3:6" x14ac:dyDescent="0.3">
      <c r="C3086" s="1" t="str">
        <f>IF(C3085&lt;'Investment Calculator'!$C$8*'Investment Calculator'!$F$4,'SIP Schedule'!C3085+1,"")</f>
        <v/>
      </c>
      <c r="D3086" s="27" t="str">
        <f>IF(C3086&lt;='Investment Calculator'!$C$8*'Investment Calculator'!$F$4,'Investment Calculator'!$C$6,"")</f>
        <v/>
      </c>
      <c r="E3086" s="27" t="str">
        <f>IFERROR((F3085+D3086)*'Investment Calculator'!$C$7/'Investment Calculator'!$F$4,"")</f>
        <v/>
      </c>
      <c r="F3086" s="27" t="str">
        <f>IFERROR(ABS(FV('Investment Calculator'!$C$7/'Investment Calculator'!$F$4,'SIP Schedule'!C3086,'SIP Schedule'!D3086,,1)),"")</f>
        <v/>
      </c>
    </row>
    <row r="3087" spans="3:6" x14ac:dyDescent="0.3">
      <c r="C3087" s="1" t="str">
        <f>IF(C3086&lt;'Investment Calculator'!$C$8*'Investment Calculator'!$F$4,'SIP Schedule'!C3086+1,"")</f>
        <v/>
      </c>
      <c r="D3087" s="27" t="str">
        <f>IF(C3087&lt;='Investment Calculator'!$C$8*'Investment Calculator'!$F$4,'Investment Calculator'!$C$6,"")</f>
        <v/>
      </c>
      <c r="E3087" s="27" t="str">
        <f>IFERROR((F3086+D3087)*'Investment Calculator'!$C$7/'Investment Calculator'!$F$4,"")</f>
        <v/>
      </c>
      <c r="F3087" s="27" t="str">
        <f>IFERROR(ABS(FV('Investment Calculator'!$C$7/'Investment Calculator'!$F$4,'SIP Schedule'!C3087,'SIP Schedule'!D3087,,1)),"")</f>
        <v/>
      </c>
    </row>
    <row r="3088" spans="3:6" x14ac:dyDescent="0.3">
      <c r="C3088" s="1" t="str">
        <f>IF(C3087&lt;'Investment Calculator'!$C$8*'Investment Calculator'!$F$4,'SIP Schedule'!C3087+1,"")</f>
        <v/>
      </c>
      <c r="D3088" s="27" t="str">
        <f>IF(C3088&lt;='Investment Calculator'!$C$8*'Investment Calculator'!$F$4,'Investment Calculator'!$C$6,"")</f>
        <v/>
      </c>
      <c r="E3088" s="27" t="str">
        <f>IFERROR((F3087+D3088)*'Investment Calculator'!$C$7/'Investment Calculator'!$F$4,"")</f>
        <v/>
      </c>
      <c r="F3088" s="27" t="str">
        <f>IFERROR(ABS(FV('Investment Calculator'!$C$7/'Investment Calculator'!$F$4,'SIP Schedule'!C3088,'SIP Schedule'!D3088,,1)),"")</f>
        <v/>
      </c>
    </row>
    <row r="3089" spans="3:6" x14ac:dyDescent="0.3">
      <c r="C3089" s="1" t="str">
        <f>IF(C3088&lt;'Investment Calculator'!$C$8*'Investment Calculator'!$F$4,'SIP Schedule'!C3088+1,"")</f>
        <v/>
      </c>
      <c r="D3089" s="27" t="str">
        <f>IF(C3089&lt;='Investment Calculator'!$C$8*'Investment Calculator'!$F$4,'Investment Calculator'!$C$6,"")</f>
        <v/>
      </c>
      <c r="E3089" s="27" t="str">
        <f>IFERROR((F3088+D3089)*'Investment Calculator'!$C$7/'Investment Calculator'!$F$4,"")</f>
        <v/>
      </c>
      <c r="F3089" s="27" t="str">
        <f>IFERROR(ABS(FV('Investment Calculator'!$C$7/'Investment Calculator'!$F$4,'SIP Schedule'!C3089,'SIP Schedule'!D3089,,1)),"")</f>
        <v/>
      </c>
    </row>
    <row r="3090" spans="3:6" x14ac:dyDescent="0.3">
      <c r="C3090" s="1" t="str">
        <f>IF(C3089&lt;'Investment Calculator'!$C$8*'Investment Calculator'!$F$4,'SIP Schedule'!C3089+1,"")</f>
        <v/>
      </c>
      <c r="D3090" s="27" t="str">
        <f>IF(C3090&lt;='Investment Calculator'!$C$8*'Investment Calculator'!$F$4,'Investment Calculator'!$C$6,"")</f>
        <v/>
      </c>
      <c r="E3090" s="27" t="str">
        <f>IFERROR((F3089+D3090)*'Investment Calculator'!$C$7/'Investment Calculator'!$F$4,"")</f>
        <v/>
      </c>
      <c r="F3090" s="27" t="str">
        <f>IFERROR(ABS(FV('Investment Calculator'!$C$7/'Investment Calculator'!$F$4,'SIP Schedule'!C3090,'SIP Schedule'!D3090,,1)),"")</f>
        <v/>
      </c>
    </row>
    <row r="3091" spans="3:6" x14ac:dyDescent="0.3">
      <c r="C3091" s="1" t="str">
        <f>IF(C3090&lt;'Investment Calculator'!$C$8*'Investment Calculator'!$F$4,'SIP Schedule'!C3090+1,"")</f>
        <v/>
      </c>
      <c r="D3091" s="27" t="str">
        <f>IF(C3091&lt;='Investment Calculator'!$C$8*'Investment Calculator'!$F$4,'Investment Calculator'!$C$6,"")</f>
        <v/>
      </c>
      <c r="E3091" s="27" t="str">
        <f>IFERROR((F3090+D3091)*'Investment Calculator'!$C$7/'Investment Calculator'!$F$4,"")</f>
        <v/>
      </c>
      <c r="F3091" s="27" t="str">
        <f>IFERROR(ABS(FV('Investment Calculator'!$C$7/'Investment Calculator'!$F$4,'SIP Schedule'!C3091,'SIP Schedule'!D3091,,1)),"")</f>
        <v/>
      </c>
    </row>
    <row r="3092" spans="3:6" x14ac:dyDescent="0.3">
      <c r="C3092" s="1" t="str">
        <f>IF(C3091&lt;'Investment Calculator'!$C$8*'Investment Calculator'!$F$4,'SIP Schedule'!C3091+1,"")</f>
        <v/>
      </c>
      <c r="D3092" s="27" t="str">
        <f>IF(C3092&lt;='Investment Calculator'!$C$8*'Investment Calculator'!$F$4,'Investment Calculator'!$C$6,"")</f>
        <v/>
      </c>
      <c r="E3092" s="27" t="str">
        <f>IFERROR((F3091+D3092)*'Investment Calculator'!$C$7/'Investment Calculator'!$F$4,"")</f>
        <v/>
      </c>
      <c r="F3092" s="27" t="str">
        <f>IFERROR(ABS(FV('Investment Calculator'!$C$7/'Investment Calculator'!$F$4,'SIP Schedule'!C3092,'SIP Schedule'!D3092,,1)),"")</f>
        <v/>
      </c>
    </row>
    <row r="3093" spans="3:6" x14ac:dyDescent="0.3">
      <c r="C3093" s="1" t="str">
        <f>IF(C3092&lt;'Investment Calculator'!$C$8*'Investment Calculator'!$F$4,'SIP Schedule'!C3092+1,"")</f>
        <v/>
      </c>
      <c r="D3093" s="27" t="str">
        <f>IF(C3093&lt;='Investment Calculator'!$C$8*'Investment Calculator'!$F$4,'Investment Calculator'!$C$6,"")</f>
        <v/>
      </c>
      <c r="E3093" s="27" t="str">
        <f>IFERROR((F3092+D3093)*'Investment Calculator'!$C$7/'Investment Calculator'!$F$4,"")</f>
        <v/>
      </c>
      <c r="F3093" s="27" t="str">
        <f>IFERROR(ABS(FV('Investment Calculator'!$C$7/'Investment Calculator'!$F$4,'SIP Schedule'!C3093,'SIP Schedule'!D3093,,1)),"")</f>
        <v/>
      </c>
    </row>
    <row r="3094" spans="3:6" x14ac:dyDescent="0.3">
      <c r="C3094" s="1" t="str">
        <f>IF(C3093&lt;'Investment Calculator'!$C$8*'Investment Calculator'!$F$4,'SIP Schedule'!C3093+1,"")</f>
        <v/>
      </c>
      <c r="D3094" s="27" t="str">
        <f>IF(C3094&lt;='Investment Calculator'!$C$8*'Investment Calculator'!$F$4,'Investment Calculator'!$C$6,"")</f>
        <v/>
      </c>
      <c r="E3094" s="27" t="str">
        <f>IFERROR((F3093+D3094)*'Investment Calculator'!$C$7/'Investment Calculator'!$F$4,"")</f>
        <v/>
      </c>
      <c r="F3094" s="27" t="str">
        <f>IFERROR(ABS(FV('Investment Calculator'!$C$7/'Investment Calculator'!$F$4,'SIP Schedule'!C3094,'SIP Schedule'!D3094,,1)),"")</f>
        <v/>
      </c>
    </row>
    <row r="3095" spans="3:6" x14ac:dyDescent="0.3">
      <c r="C3095" s="1" t="str">
        <f>IF(C3094&lt;'Investment Calculator'!$C$8*'Investment Calculator'!$F$4,'SIP Schedule'!C3094+1,"")</f>
        <v/>
      </c>
      <c r="D3095" s="27" t="str">
        <f>IF(C3095&lt;='Investment Calculator'!$C$8*'Investment Calculator'!$F$4,'Investment Calculator'!$C$6,"")</f>
        <v/>
      </c>
      <c r="E3095" s="27" t="str">
        <f>IFERROR((F3094+D3095)*'Investment Calculator'!$C$7/'Investment Calculator'!$F$4,"")</f>
        <v/>
      </c>
      <c r="F3095" s="27" t="str">
        <f>IFERROR(ABS(FV('Investment Calculator'!$C$7/'Investment Calculator'!$F$4,'SIP Schedule'!C3095,'SIP Schedule'!D3095,,1)),"")</f>
        <v/>
      </c>
    </row>
    <row r="3096" spans="3:6" x14ac:dyDescent="0.3">
      <c r="C3096" s="1" t="str">
        <f>IF(C3095&lt;'Investment Calculator'!$C$8*'Investment Calculator'!$F$4,'SIP Schedule'!C3095+1,"")</f>
        <v/>
      </c>
      <c r="D3096" s="27" t="str">
        <f>IF(C3096&lt;='Investment Calculator'!$C$8*'Investment Calculator'!$F$4,'Investment Calculator'!$C$6,"")</f>
        <v/>
      </c>
      <c r="E3096" s="27" t="str">
        <f>IFERROR((F3095+D3096)*'Investment Calculator'!$C$7/'Investment Calculator'!$F$4,"")</f>
        <v/>
      </c>
      <c r="F3096" s="27" t="str">
        <f>IFERROR(ABS(FV('Investment Calculator'!$C$7/'Investment Calculator'!$F$4,'SIP Schedule'!C3096,'SIP Schedule'!D3096,,1)),"")</f>
        <v/>
      </c>
    </row>
    <row r="3097" spans="3:6" x14ac:dyDescent="0.3">
      <c r="C3097" s="1" t="str">
        <f>IF(C3096&lt;'Investment Calculator'!$C$8*'Investment Calculator'!$F$4,'SIP Schedule'!C3096+1,"")</f>
        <v/>
      </c>
      <c r="D3097" s="27" t="str">
        <f>IF(C3097&lt;='Investment Calculator'!$C$8*'Investment Calculator'!$F$4,'Investment Calculator'!$C$6,"")</f>
        <v/>
      </c>
      <c r="E3097" s="27" t="str">
        <f>IFERROR((F3096+D3097)*'Investment Calculator'!$C$7/'Investment Calculator'!$F$4,"")</f>
        <v/>
      </c>
      <c r="F3097" s="27" t="str">
        <f>IFERROR(ABS(FV('Investment Calculator'!$C$7/'Investment Calculator'!$F$4,'SIP Schedule'!C3097,'SIP Schedule'!D3097,,1)),"")</f>
        <v/>
      </c>
    </row>
    <row r="3098" spans="3:6" x14ac:dyDescent="0.3">
      <c r="C3098" s="1" t="str">
        <f>IF(C3097&lt;'Investment Calculator'!$C$8*'Investment Calculator'!$F$4,'SIP Schedule'!C3097+1,"")</f>
        <v/>
      </c>
      <c r="D3098" s="27" t="str">
        <f>IF(C3098&lt;='Investment Calculator'!$C$8*'Investment Calculator'!$F$4,'Investment Calculator'!$C$6,"")</f>
        <v/>
      </c>
      <c r="E3098" s="27" t="str">
        <f>IFERROR((F3097+D3098)*'Investment Calculator'!$C$7/'Investment Calculator'!$F$4,"")</f>
        <v/>
      </c>
      <c r="F3098" s="27" t="str">
        <f>IFERROR(ABS(FV('Investment Calculator'!$C$7/'Investment Calculator'!$F$4,'SIP Schedule'!C3098,'SIP Schedule'!D3098,,1)),"")</f>
        <v/>
      </c>
    </row>
    <row r="3099" spans="3:6" x14ac:dyDescent="0.3">
      <c r="C3099" s="1" t="str">
        <f>IF(C3098&lt;'Investment Calculator'!$C$8*'Investment Calculator'!$F$4,'SIP Schedule'!C3098+1,"")</f>
        <v/>
      </c>
      <c r="D3099" s="27" t="str">
        <f>IF(C3099&lt;='Investment Calculator'!$C$8*'Investment Calculator'!$F$4,'Investment Calculator'!$C$6,"")</f>
        <v/>
      </c>
      <c r="E3099" s="27" t="str">
        <f>IFERROR((F3098+D3099)*'Investment Calculator'!$C$7/'Investment Calculator'!$F$4,"")</f>
        <v/>
      </c>
      <c r="F3099" s="27" t="str">
        <f>IFERROR(ABS(FV('Investment Calculator'!$C$7/'Investment Calculator'!$F$4,'SIP Schedule'!C3099,'SIP Schedule'!D3099,,1)),"")</f>
        <v/>
      </c>
    </row>
    <row r="3100" spans="3:6" x14ac:dyDescent="0.3">
      <c r="C3100" s="1" t="str">
        <f>IF(C3099&lt;'Investment Calculator'!$C$8*'Investment Calculator'!$F$4,'SIP Schedule'!C3099+1,"")</f>
        <v/>
      </c>
      <c r="D3100" s="27" t="str">
        <f>IF(C3100&lt;='Investment Calculator'!$C$8*'Investment Calculator'!$F$4,'Investment Calculator'!$C$6,"")</f>
        <v/>
      </c>
      <c r="E3100" s="27" t="str">
        <f>IFERROR((F3099+D3100)*'Investment Calculator'!$C$7/'Investment Calculator'!$F$4,"")</f>
        <v/>
      </c>
      <c r="F3100" s="27" t="str">
        <f>IFERROR(ABS(FV('Investment Calculator'!$C$7/'Investment Calculator'!$F$4,'SIP Schedule'!C3100,'SIP Schedule'!D3100,,1)),"")</f>
        <v/>
      </c>
    </row>
    <row r="3101" spans="3:6" x14ac:dyDescent="0.3">
      <c r="C3101" s="1" t="str">
        <f>IF(C3100&lt;'Investment Calculator'!$C$8*'Investment Calculator'!$F$4,'SIP Schedule'!C3100+1,"")</f>
        <v/>
      </c>
      <c r="D3101" s="27" t="str">
        <f>IF(C3101&lt;='Investment Calculator'!$C$8*'Investment Calculator'!$F$4,'Investment Calculator'!$C$6,"")</f>
        <v/>
      </c>
      <c r="E3101" s="27" t="str">
        <f>IFERROR((F3100+D3101)*'Investment Calculator'!$C$7/'Investment Calculator'!$F$4,"")</f>
        <v/>
      </c>
      <c r="F3101" s="27" t="str">
        <f>IFERROR(ABS(FV('Investment Calculator'!$C$7/'Investment Calculator'!$F$4,'SIP Schedule'!C3101,'SIP Schedule'!D3101,,1)),"")</f>
        <v/>
      </c>
    </row>
    <row r="3102" spans="3:6" x14ac:dyDescent="0.3">
      <c r="C3102" s="1" t="str">
        <f>IF(C3101&lt;'Investment Calculator'!$C$8*'Investment Calculator'!$F$4,'SIP Schedule'!C3101+1,"")</f>
        <v/>
      </c>
      <c r="D3102" s="27" t="str">
        <f>IF(C3102&lt;='Investment Calculator'!$C$8*'Investment Calculator'!$F$4,'Investment Calculator'!$C$6,"")</f>
        <v/>
      </c>
      <c r="E3102" s="27" t="str">
        <f>IFERROR((F3101+D3102)*'Investment Calculator'!$C$7/'Investment Calculator'!$F$4,"")</f>
        <v/>
      </c>
      <c r="F3102" s="27" t="str">
        <f>IFERROR(ABS(FV('Investment Calculator'!$C$7/'Investment Calculator'!$F$4,'SIP Schedule'!C3102,'SIP Schedule'!D3102,,1)),"")</f>
        <v/>
      </c>
    </row>
    <row r="3103" spans="3:6" x14ac:dyDescent="0.3">
      <c r="C3103" s="1" t="str">
        <f>IF(C3102&lt;'Investment Calculator'!$C$8*'Investment Calculator'!$F$4,'SIP Schedule'!C3102+1,"")</f>
        <v/>
      </c>
      <c r="D3103" s="27" t="str">
        <f>IF(C3103&lt;='Investment Calculator'!$C$8*'Investment Calculator'!$F$4,'Investment Calculator'!$C$6,"")</f>
        <v/>
      </c>
      <c r="E3103" s="27" t="str">
        <f>IFERROR((F3102+D3103)*'Investment Calculator'!$C$7/'Investment Calculator'!$F$4,"")</f>
        <v/>
      </c>
      <c r="F3103" s="27" t="str">
        <f>IFERROR(ABS(FV('Investment Calculator'!$C$7/'Investment Calculator'!$F$4,'SIP Schedule'!C3103,'SIP Schedule'!D3103,,1)),"")</f>
        <v/>
      </c>
    </row>
    <row r="3104" spans="3:6" x14ac:dyDescent="0.3">
      <c r="C3104" s="1" t="str">
        <f>IF(C3103&lt;'Investment Calculator'!$C$8*'Investment Calculator'!$F$4,'SIP Schedule'!C3103+1,"")</f>
        <v/>
      </c>
      <c r="D3104" s="27" t="str">
        <f>IF(C3104&lt;='Investment Calculator'!$C$8*'Investment Calculator'!$F$4,'Investment Calculator'!$C$6,"")</f>
        <v/>
      </c>
      <c r="E3104" s="27" t="str">
        <f>IFERROR((F3103+D3104)*'Investment Calculator'!$C$7/'Investment Calculator'!$F$4,"")</f>
        <v/>
      </c>
      <c r="F3104" s="27" t="str">
        <f>IFERROR(ABS(FV('Investment Calculator'!$C$7/'Investment Calculator'!$F$4,'SIP Schedule'!C3104,'SIP Schedule'!D3104,,1)),"")</f>
        <v/>
      </c>
    </row>
    <row r="3105" spans="3:6" x14ac:dyDescent="0.3">
      <c r="C3105" s="1" t="str">
        <f>IF(C3104&lt;'Investment Calculator'!$C$8*'Investment Calculator'!$F$4,'SIP Schedule'!C3104+1,"")</f>
        <v/>
      </c>
      <c r="D3105" s="27" t="str">
        <f>IF(C3105&lt;='Investment Calculator'!$C$8*'Investment Calculator'!$F$4,'Investment Calculator'!$C$6,"")</f>
        <v/>
      </c>
      <c r="E3105" s="27" t="str">
        <f>IFERROR((F3104+D3105)*'Investment Calculator'!$C$7/'Investment Calculator'!$F$4,"")</f>
        <v/>
      </c>
      <c r="F3105" s="27" t="str">
        <f>IFERROR(ABS(FV('Investment Calculator'!$C$7/'Investment Calculator'!$F$4,'SIP Schedule'!C3105,'SIP Schedule'!D3105,,1)),"")</f>
        <v/>
      </c>
    </row>
    <row r="3106" spans="3:6" x14ac:dyDescent="0.3">
      <c r="C3106" s="1" t="str">
        <f>IF(C3105&lt;'Investment Calculator'!$C$8*'Investment Calculator'!$F$4,'SIP Schedule'!C3105+1,"")</f>
        <v/>
      </c>
      <c r="D3106" s="27" t="str">
        <f>IF(C3106&lt;='Investment Calculator'!$C$8*'Investment Calculator'!$F$4,'Investment Calculator'!$C$6,"")</f>
        <v/>
      </c>
      <c r="E3106" s="27" t="str">
        <f>IFERROR((F3105+D3106)*'Investment Calculator'!$C$7/'Investment Calculator'!$F$4,"")</f>
        <v/>
      </c>
      <c r="F3106" s="27" t="str">
        <f>IFERROR(ABS(FV('Investment Calculator'!$C$7/'Investment Calculator'!$F$4,'SIP Schedule'!C3106,'SIP Schedule'!D3106,,1)),"")</f>
        <v/>
      </c>
    </row>
    <row r="3107" spans="3:6" x14ac:dyDescent="0.3">
      <c r="C3107" s="1" t="str">
        <f>IF(C3106&lt;'Investment Calculator'!$C$8*'Investment Calculator'!$F$4,'SIP Schedule'!C3106+1,"")</f>
        <v/>
      </c>
      <c r="D3107" s="27" t="str">
        <f>IF(C3107&lt;='Investment Calculator'!$C$8*'Investment Calculator'!$F$4,'Investment Calculator'!$C$6,"")</f>
        <v/>
      </c>
      <c r="E3107" s="27" t="str">
        <f>IFERROR((F3106+D3107)*'Investment Calculator'!$C$7/'Investment Calculator'!$F$4,"")</f>
        <v/>
      </c>
      <c r="F3107" s="27" t="str">
        <f>IFERROR(ABS(FV('Investment Calculator'!$C$7/'Investment Calculator'!$F$4,'SIP Schedule'!C3107,'SIP Schedule'!D3107,,1)),"")</f>
        <v/>
      </c>
    </row>
    <row r="3108" spans="3:6" x14ac:dyDescent="0.3">
      <c r="C3108" s="1" t="str">
        <f>IF(C3107&lt;'Investment Calculator'!$C$8*'Investment Calculator'!$F$4,'SIP Schedule'!C3107+1,"")</f>
        <v/>
      </c>
      <c r="D3108" s="27" t="str">
        <f>IF(C3108&lt;='Investment Calculator'!$C$8*'Investment Calculator'!$F$4,'Investment Calculator'!$C$6,"")</f>
        <v/>
      </c>
      <c r="E3108" s="27" t="str">
        <f>IFERROR((F3107+D3108)*'Investment Calculator'!$C$7/'Investment Calculator'!$F$4,"")</f>
        <v/>
      </c>
      <c r="F3108" s="27" t="str">
        <f>IFERROR(ABS(FV('Investment Calculator'!$C$7/'Investment Calculator'!$F$4,'SIP Schedule'!C3108,'SIP Schedule'!D3108,,1)),"")</f>
        <v/>
      </c>
    </row>
    <row r="3109" spans="3:6" x14ac:dyDescent="0.3">
      <c r="C3109" s="1" t="str">
        <f>IF(C3108&lt;'Investment Calculator'!$C$8*'Investment Calculator'!$F$4,'SIP Schedule'!C3108+1,"")</f>
        <v/>
      </c>
      <c r="D3109" s="27" t="str">
        <f>IF(C3109&lt;='Investment Calculator'!$C$8*'Investment Calculator'!$F$4,'Investment Calculator'!$C$6,"")</f>
        <v/>
      </c>
      <c r="E3109" s="27" t="str">
        <f>IFERROR((F3108+D3109)*'Investment Calculator'!$C$7/'Investment Calculator'!$F$4,"")</f>
        <v/>
      </c>
      <c r="F3109" s="27" t="str">
        <f>IFERROR(ABS(FV('Investment Calculator'!$C$7/'Investment Calculator'!$F$4,'SIP Schedule'!C3109,'SIP Schedule'!D3109,,1)),"")</f>
        <v/>
      </c>
    </row>
    <row r="3110" spans="3:6" x14ac:dyDescent="0.3">
      <c r="C3110" s="1" t="str">
        <f>IF(C3109&lt;'Investment Calculator'!$C$8*'Investment Calculator'!$F$4,'SIP Schedule'!C3109+1,"")</f>
        <v/>
      </c>
      <c r="D3110" s="27" t="str">
        <f>IF(C3110&lt;='Investment Calculator'!$C$8*'Investment Calculator'!$F$4,'Investment Calculator'!$C$6,"")</f>
        <v/>
      </c>
      <c r="E3110" s="27" t="str">
        <f>IFERROR((F3109+D3110)*'Investment Calculator'!$C$7/'Investment Calculator'!$F$4,"")</f>
        <v/>
      </c>
      <c r="F3110" s="27" t="str">
        <f>IFERROR(ABS(FV('Investment Calculator'!$C$7/'Investment Calculator'!$F$4,'SIP Schedule'!C3110,'SIP Schedule'!D3110,,1)),"")</f>
        <v/>
      </c>
    </row>
    <row r="3111" spans="3:6" x14ac:dyDescent="0.3">
      <c r="C3111" s="1" t="str">
        <f>IF(C3110&lt;'Investment Calculator'!$C$8*'Investment Calculator'!$F$4,'SIP Schedule'!C3110+1,"")</f>
        <v/>
      </c>
      <c r="D3111" s="27" t="str">
        <f>IF(C3111&lt;='Investment Calculator'!$C$8*'Investment Calculator'!$F$4,'Investment Calculator'!$C$6,"")</f>
        <v/>
      </c>
      <c r="E3111" s="27" t="str">
        <f>IFERROR((F3110+D3111)*'Investment Calculator'!$C$7/'Investment Calculator'!$F$4,"")</f>
        <v/>
      </c>
      <c r="F3111" s="27" t="str">
        <f>IFERROR(ABS(FV('Investment Calculator'!$C$7/'Investment Calculator'!$F$4,'SIP Schedule'!C3111,'SIP Schedule'!D3111,,1)),"")</f>
        <v/>
      </c>
    </row>
    <row r="3112" spans="3:6" x14ac:dyDescent="0.3">
      <c r="C3112" s="1" t="str">
        <f>IF(C3111&lt;'Investment Calculator'!$C$8*'Investment Calculator'!$F$4,'SIP Schedule'!C3111+1,"")</f>
        <v/>
      </c>
      <c r="D3112" s="27" t="str">
        <f>IF(C3112&lt;='Investment Calculator'!$C$8*'Investment Calculator'!$F$4,'Investment Calculator'!$C$6,"")</f>
        <v/>
      </c>
      <c r="E3112" s="27" t="str">
        <f>IFERROR((F3111+D3112)*'Investment Calculator'!$C$7/'Investment Calculator'!$F$4,"")</f>
        <v/>
      </c>
      <c r="F3112" s="27" t="str">
        <f>IFERROR(ABS(FV('Investment Calculator'!$C$7/'Investment Calculator'!$F$4,'SIP Schedule'!C3112,'SIP Schedule'!D3112,,1)),"")</f>
        <v/>
      </c>
    </row>
    <row r="3113" spans="3:6" x14ac:dyDescent="0.3">
      <c r="C3113" s="1" t="str">
        <f>IF(C3112&lt;'Investment Calculator'!$C$8*'Investment Calculator'!$F$4,'SIP Schedule'!C3112+1,"")</f>
        <v/>
      </c>
      <c r="D3113" s="27" t="str">
        <f>IF(C3113&lt;='Investment Calculator'!$C$8*'Investment Calculator'!$F$4,'Investment Calculator'!$C$6,"")</f>
        <v/>
      </c>
      <c r="E3113" s="27" t="str">
        <f>IFERROR((F3112+D3113)*'Investment Calculator'!$C$7/'Investment Calculator'!$F$4,"")</f>
        <v/>
      </c>
      <c r="F3113" s="27" t="str">
        <f>IFERROR(ABS(FV('Investment Calculator'!$C$7/'Investment Calculator'!$F$4,'SIP Schedule'!C3113,'SIP Schedule'!D3113,,1)),"")</f>
        <v/>
      </c>
    </row>
    <row r="3114" spans="3:6" x14ac:dyDescent="0.3">
      <c r="C3114" s="1" t="str">
        <f>IF(C3113&lt;'Investment Calculator'!$C$8*'Investment Calculator'!$F$4,'SIP Schedule'!C3113+1,"")</f>
        <v/>
      </c>
      <c r="D3114" s="27" t="str">
        <f>IF(C3114&lt;='Investment Calculator'!$C$8*'Investment Calculator'!$F$4,'Investment Calculator'!$C$6,"")</f>
        <v/>
      </c>
      <c r="E3114" s="27" t="str">
        <f>IFERROR((F3113+D3114)*'Investment Calculator'!$C$7/'Investment Calculator'!$F$4,"")</f>
        <v/>
      </c>
      <c r="F3114" s="27" t="str">
        <f>IFERROR(ABS(FV('Investment Calculator'!$C$7/'Investment Calculator'!$F$4,'SIP Schedule'!C3114,'SIP Schedule'!D3114,,1)),"")</f>
        <v/>
      </c>
    </row>
    <row r="3115" spans="3:6" x14ac:dyDescent="0.3">
      <c r="C3115" s="1" t="str">
        <f>IF(C3114&lt;'Investment Calculator'!$C$8*'Investment Calculator'!$F$4,'SIP Schedule'!C3114+1,"")</f>
        <v/>
      </c>
      <c r="D3115" s="27" t="str">
        <f>IF(C3115&lt;='Investment Calculator'!$C$8*'Investment Calculator'!$F$4,'Investment Calculator'!$C$6,"")</f>
        <v/>
      </c>
      <c r="E3115" s="27" t="str">
        <f>IFERROR((F3114+D3115)*'Investment Calculator'!$C$7/'Investment Calculator'!$F$4,"")</f>
        <v/>
      </c>
      <c r="F3115" s="27" t="str">
        <f>IFERROR(ABS(FV('Investment Calculator'!$C$7/'Investment Calculator'!$F$4,'SIP Schedule'!C3115,'SIP Schedule'!D3115,,1)),"")</f>
        <v/>
      </c>
    </row>
    <row r="3116" spans="3:6" x14ac:dyDescent="0.3">
      <c r="C3116" s="1" t="str">
        <f>IF(C3115&lt;'Investment Calculator'!$C$8*'Investment Calculator'!$F$4,'SIP Schedule'!C3115+1,"")</f>
        <v/>
      </c>
      <c r="D3116" s="27" t="str">
        <f>IF(C3116&lt;='Investment Calculator'!$C$8*'Investment Calculator'!$F$4,'Investment Calculator'!$C$6,"")</f>
        <v/>
      </c>
      <c r="E3116" s="27" t="str">
        <f>IFERROR((F3115+D3116)*'Investment Calculator'!$C$7/'Investment Calculator'!$F$4,"")</f>
        <v/>
      </c>
      <c r="F3116" s="27" t="str">
        <f>IFERROR(ABS(FV('Investment Calculator'!$C$7/'Investment Calculator'!$F$4,'SIP Schedule'!C3116,'SIP Schedule'!D3116,,1)),"")</f>
        <v/>
      </c>
    </row>
    <row r="3117" spans="3:6" x14ac:dyDescent="0.3">
      <c r="C3117" s="1" t="str">
        <f>IF(C3116&lt;'Investment Calculator'!$C$8*'Investment Calculator'!$F$4,'SIP Schedule'!C3116+1,"")</f>
        <v/>
      </c>
      <c r="D3117" s="27" t="str">
        <f>IF(C3117&lt;='Investment Calculator'!$C$8*'Investment Calculator'!$F$4,'Investment Calculator'!$C$6,"")</f>
        <v/>
      </c>
      <c r="E3117" s="27" t="str">
        <f>IFERROR((F3116+D3117)*'Investment Calculator'!$C$7/'Investment Calculator'!$F$4,"")</f>
        <v/>
      </c>
      <c r="F3117" s="27" t="str">
        <f>IFERROR(ABS(FV('Investment Calculator'!$C$7/'Investment Calculator'!$F$4,'SIP Schedule'!C3117,'SIP Schedule'!D3117,,1)),"")</f>
        <v/>
      </c>
    </row>
    <row r="3118" spans="3:6" x14ac:dyDescent="0.3">
      <c r="C3118" s="1" t="str">
        <f>IF(C3117&lt;'Investment Calculator'!$C$8*'Investment Calculator'!$F$4,'SIP Schedule'!C3117+1,"")</f>
        <v/>
      </c>
      <c r="D3118" s="27" t="str">
        <f>IF(C3118&lt;='Investment Calculator'!$C$8*'Investment Calculator'!$F$4,'Investment Calculator'!$C$6,"")</f>
        <v/>
      </c>
      <c r="E3118" s="27" t="str">
        <f>IFERROR((F3117+D3118)*'Investment Calculator'!$C$7/'Investment Calculator'!$F$4,"")</f>
        <v/>
      </c>
      <c r="F3118" s="27" t="str">
        <f>IFERROR(ABS(FV('Investment Calculator'!$C$7/'Investment Calculator'!$F$4,'SIP Schedule'!C3118,'SIP Schedule'!D3118,,1)),"")</f>
        <v/>
      </c>
    </row>
    <row r="3119" spans="3:6" x14ac:dyDescent="0.3">
      <c r="C3119" s="1" t="str">
        <f>IF(C3118&lt;'Investment Calculator'!$C$8*'Investment Calculator'!$F$4,'SIP Schedule'!C3118+1,"")</f>
        <v/>
      </c>
      <c r="D3119" s="27" t="str">
        <f>IF(C3119&lt;='Investment Calculator'!$C$8*'Investment Calculator'!$F$4,'Investment Calculator'!$C$6,"")</f>
        <v/>
      </c>
      <c r="E3119" s="27" t="str">
        <f>IFERROR((F3118+D3119)*'Investment Calculator'!$C$7/'Investment Calculator'!$F$4,"")</f>
        <v/>
      </c>
      <c r="F3119" s="27" t="str">
        <f>IFERROR(ABS(FV('Investment Calculator'!$C$7/'Investment Calculator'!$F$4,'SIP Schedule'!C3119,'SIP Schedule'!D3119,,1)),"")</f>
        <v/>
      </c>
    </row>
    <row r="3120" spans="3:6" x14ac:dyDescent="0.3">
      <c r="C3120" s="1" t="str">
        <f>IF(C3119&lt;'Investment Calculator'!$C$8*'Investment Calculator'!$F$4,'SIP Schedule'!C3119+1,"")</f>
        <v/>
      </c>
      <c r="D3120" s="27" t="str">
        <f>IF(C3120&lt;='Investment Calculator'!$C$8*'Investment Calculator'!$F$4,'Investment Calculator'!$C$6,"")</f>
        <v/>
      </c>
      <c r="E3120" s="27" t="str">
        <f>IFERROR((F3119+D3120)*'Investment Calculator'!$C$7/'Investment Calculator'!$F$4,"")</f>
        <v/>
      </c>
      <c r="F3120" s="27" t="str">
        <f>IFERROR(ABS(FV('Investment Calculator'!$C$7/'Investment Calculator'!$F$4,'SIP Schedule'!C3120,'SIP Schedule'!D3120,,1)),"")</f>
        <v/>
      </c>
    </row>
    <row r="3121" spans="3:6" x14ac:dyDescent="0.3">
      <c r="C3121" s="1" t="str">
        <f>IF(C3120&lt;'Investment Calculator'!$C$8*'Investment Calculator'!$F$4,'SIP Schedule'!C3120+1,"")</f>
        <v/>
      </c>
      <c r="D3121" s="27" t="str">
        <f>IF(C3121&lt;='Investment Calculator'!$C$8*'Investment Calculator'!$F$4,'Investment Calculator'!$C$6,"")</f>
        <v/>
      </c>
      <c r="E3121" s="27" t="str">
        <f>IFERROR((F3120+D3121)*'Investment Calculator'!$C$7/'Investment Calculator'!$F$4,"")</f>
        <v/>
      </c>
      <c r="F3121" s="27" t="str">
        <f>IFERROR(ABS(FV('Investment Calculator'!$C$7/'Investment Calculator'!$F$4,'SIP Schedule'!C3121,'SIP Schedule'!D3121,,1)),"")</f>
        <v/>
      </c>
    </row>
    <row r="3122" spans="3:6" x14ac:dyDescent="0.3">
      <c r="C3122" s="1" t="str">
        <f>IF(C3121&lt;'Investment Calculator'!$C$8*'Investment Calculator'!$F$4,'SIP Schedule'!C3121+1,"")</f>
        <v/>
      </c>
      <c r="D3122" s="27" t="str">
        <f>IF(C3122&lt;='Investment Calculator'!$C$8*'Investment Calculator'!$F$4,'Investment Calculator'!$C$6,"")</f>
        <v/>
      </c>
      <c r="E3122" s="27" t="str">
        <f>IFERROR((F3121+D3122)*'Investment Calculator'!$C$7/'Investment Calculator'!$F$4,"")</f>
        <v/>
      </c>
      <c r="F3122" s="27" t="str">
        <f>IFERROR(ABS(FV('Investment Calculator'!$C$7/'Investment Calculator'!$F$4,'SIP Schedule'!C3122,'SIP Schedule'!D3122,,1)),"")</f>
        <v/>
      </c>
    </row>
    <row r="3123" spans="3:6" x14ac:dyDescent="0.3">
      <c r="C3123" s="1" t="str">
        <f>IF(C3122&lt;'Investment Calculator'!$C$8*'Investment Calculator'!$F$4,'SIP Schedule'!C3122+1,"")</f>
        <v/>
      </c>
      <c r="D3123" s="27" t="str">
        <f>IF(C3123&lt;='Investment Calculator'!$C$8*'Investment Calculator'!$F$4,'Investment Calculator'!$C$6,"")</f>
        <v/>
      </c>
      <c r="E3123" s="27" t="str">
        <f>IFERROR((F3122+D3123)*'Investment Calculator'!$C$7/'Investment Calculator'!$F$4,"")</f>
        <v/>
      </c>
      <c r="F3123" s="27" t="str">
        <f>IFERROR(ABS(FV('Investment Calculator'!$C$7/'Investment Calculator'!$F$4,'SIP Schedule'!C3123,'SIP Schedule'!D3123,,1)),"")</f>
        <v/>
      </c>
    </row>
    <row r="3124" spans="3:6" x14ac:dyDescent="0.3">
      <c r="C3124" s="1" t="str">
        <f>IF(C3123&lt;'Investment Calculator'!$C$8*'Investment Calculator'!$F$4,'SIP Schedule'!C3123+1,"")</f>
        <v/>
      </c>
      <c r="D3124" s="27" t="str">
        <f>IF(C3124&lt;='Investment Calculator'!$C$8*'Investment Calculator'!$F$4,'Investment Calculator'!$C$6,"")</f>
        <v/>
      </c>
      <c r="E3124" s="27" t="str">
        <f>IFERROR((F3123+D3124)*'Investment Calculator'!$C$7/'Investment Calculator'!$F$4,"")</f>
        <v/>
      </c>
      <c r="F3124" s="27" t="str">
        <f>IFERROR(ABS(FV('Investment Calculator'!$C$7/'Investment Calculator'!$F$4,'SIP Schedule'!C3124,'SIP Schedule'!D3124,,1)),"")</f>
        <v/>
      </c>
    </row>
    <row r="3125" spans="3:6" x14ac:dyDescent="0.3">
      <c r="C3125" s="1" t="str">
        <f>IF(C3124&lt;'Investment Calculator'!$C$8*'Investment Calculator'!$F$4,'SIP Schedule'!C3124+1,"")</f>
        <v/>
      </c>
      <c r="D3125" s="27" t="str">
        <f>IF(C3125&lt;='Investment Calculator'!$C$8*'Investment Calculator'!$F$4,'Investment Calculator'!$C$6,"")</f>
        <v/>
      </c>
      <c r="E3125" s="27" t="str">
        <f>IFERROR((F3124+D3125)*'Investment Calculator'!$C$7/'Investment Calculator'!$F$4,"")</f>
        <v/>
      </c>
      <c r="F3125" s="27" t="str">
        <f>IFERROR(ABS(FV('Investment Calculator'!$C$7/'Investment Calculator'!$F$4,'SIP Schedule'!C3125,'SIP Schedule'!D3125,,1)),"")</f>
        <v/>
      </c>
    </row>
    <row r="3126" spans="3:6" x14ac:dyDescent="0.3">
      <c r="C3126" s="1" t="str">
        <f>IF(C3125&lt;'Investment Calculator'!$C$8*'Investment Calculator'!$F$4,'SIP Schedule'!C3125+1,"")</f>
        <v/>
      </c>
      <c r="D3126" s="27" t="str">
        <f>IF(C3126&lt;='Investment Calculator'!$C$8*'Investment Calculator'!$F$4,'Investment Calculator'!$C$6,"")</f>
        <v/>
      </c>
      <c r="E3126" s="27" t="str">
        <f>IFERROR((F3125+D3126)*'Investment Calculator'!$C$7/'Investment Calculator'!$F$4,"")</f>
        <v/>
      </c>
      <c r="F3126" s="27" t="str">
        <f>IFERROR(ABS(FV('Investment Calculator'!$C$7/'Investment Calculator'!$F$4,'SIP Schedule'!C3126,'SIP Schedule'!D3126,,1)),"")</f>
        <v/>
      </c>
    </row>
    <row r="3127" spans="3:6" x14ac:dyDescent="0.3">
      <c r="C3127" s="1" t="str">
        <f>IF(C3126&lt;'Investment Calculator'!$C$8*'Investment Calculator'!$F$4,'SIP Schedule'!C3126+1,"")</f>
        <v/>
      </c>
      <c r="D3127" s="27" t="str">
        <f>IF(C3127&lt;='Investment Calculator'!$C$8*'Investment Calculator'!$F$4,'Investment Calculator'!$C$6,"")</f>
        <v/>
      </c>
      <c r="E3127" s="27" t="str">
        <f>IFERROR((F3126+D3127)*'Investment Calculator'!$C$7/'Investment Calculator'!$F$4,"")</f>
        <v/>
      </c>
      <c r="F3127" s="27" t="str">
        <f>IFERROR(ABS(FV('Investment Calculator'!$C$7/'Investment Calculator'!$F$4,'SIP Schedule'!C3127,'SIP Schedule'!D3127,,1)),"")</f>
        <v/>
      </c>
    </row>
    <row r="3128" spans="3:6" x14ac:dyDescent="0.3">
      <c r="C3128" s="1" t="str">
        <f>IF(C3127&lt;'Investment Calculator'!$C$8*'Investment Calculator'!$F$4,'SIP Schedule'!C3127+1,"")</f>
        <v/>
      </c>
      <c r="D3128" s="27" t="str">
        <f>IF(C3128&lt;='Investment Calculator'!$C$8*'Investment Calculator'!$F$4,'Investment Calculator'!$C$6,"")</f>
        <v/>
      </c>
      <c r="E3128" s="27" t="str">
        <f>IFERROR((F3127+D3128)*'Investment Calculator'!$C$7/'Investment Calculator'!$F$4,"")</f>
        <v/>
      </c>
      <c r="F3128" s="27" t="str">
        <f>IFERROR(ABS(FV('Investment Calculator'!$C$7/'Investment Calculator'!$F$4,'SIP Schedule'!C3128,'SIP Schedule'!D3128,,1)),"")</f>
        <v/>
      </c>
    </row>
    <row r="3129" spans="3:6" x14ac:dyDescent="0.3">
      <c r="C3129" s="1" t="str">
        <f>IF(C3128&lt;'Investment Calculator'!$C$8*'Investment Calculator'!$F$4,'SIP Schedule'!C3128+1,"")</f>
        <v/>
      </c>
      <c r="D3129" s="27" t="str">
        <f>IF(C3129&lt;='Investment Calculator'!$C$8*'Investment Calculator'!$F$4,'Investment Calculator'!$C$6,"")</f>
        <v/>
      </c>
      <c r="E3129" s="27" t="str">
        <f>IFERROR((F3128+D3129)*'Investment Calculator'!$C$7/'Investment Calculator'!$F$4,"")</f>
        <v/>
      </c>
      <c r="F3129" s="27" t="str">
        <f>IFERROR(ABS(FV('Investment Calculator'!$C$7/'Investment Calculator'!$F$4,'SIP Schedule'!C3129,'SIP Schedule'!D3129,,1)),"")</f>
        <v/>
      </c>
    </row>
    <row r="3130" spans="3:6" x14ac:dyDescent="0.3">
      <c r="C3130" s="1" t="str">
        <f>IF(C3129&lt;'Investment Calculator'!$C$8*'Investment Calculator'!$F$4,'SIP Schedule'!C3129+1,"")</f>
        <v/>
      </c>
      <c r="D3130" s="27" t="str">
        <f>IF(C3130&lt;='Investment Calculator'!$C$8*'Investment Calculator'!$F$4,'Investment Calculator'!$C$6,"")</f>
        <v/>
      </c>
      <c r="E3130" s="27" t="str">
        <f>IFERROR((F3129+D3130)*'Investment Calculator'!$C$7/'Investment Calculator'!$F$4,"")</f>
        <v/>
      </c>
      <c r="F3130" s="27" t="str">
        <f>IFERROR(ABS(FV('Investment Calculator'!$C$7/'Investment Calculator'!$F$4,'SIP Schedule'!C3130,'SIP Schedule'!D3130,,1)),"")</f>
        <v/>
      </c>
    </row>
    <row r="3131" spans="3:6" x14ac:dyDescent="0.3">
      <c r="C3131" s="1" t="str">
        <f>IF(C3130&lt;'Investment Calculator'!$C$8*'Investment Calculator'!$F$4,'SIP Schedule'!C3130+1,"")</f>
        <v/>
      </c>
      <c r="D3131" s="27" t="str">
        <f>IF(C3131&lt;='Investment Calculator'!$C$8*'Investment Calculator'!$F$4,'Investment Calculator'!$C$6,"")</f>
        <v/>
      </c>
      <c r="E3131" s="27" t="str">
        <f>IFERROR((F3130+D3131)*'Investment Calculator'!$C$7/'Investment Calculator'!$F$4,"")</f>
        <v/>
      </c>
      <c r="F3131" s="27" t="str">
        <f>IFERROR(ABS(FV('Investment Calculator'!$C$7/'Investment Calculator'!$F$4,'SIP Schedule'!C3131,'SIP Schedule'!D3131,,1)),"")</f>
        <v/>
      </c>
    </row>
    <row r="3132" spans="3:6" x14ac:dyDescent="0.3">
      <c r="C3132" s="1" t="str">
        <f>IF(C3131&lt;'Investment Calculator'!$C$8*'Investment Calculator'!$F$4,'SIP Schedule'!C3131+1,"")</f>
        <v/>
      </c>
      <c r="D3132" s="27" t="str">
        <f>IF(C3132&lt;='Investment Calculator'!$C$8*'Investment Calculator'!$F$4,'Investment Calculator'!$C$6,"")</f>
        <v/>
      </c>
      <c r="E3132" s="27" t="str">
        <f>IFERROR((F3131+D3132)*'Investment Calculator'!$C$7/'Investment Calculator'!$F$4,"")</f>
        <v/>
      </c>
      <c r="F3132" s="27" t="str">
        <f>IFERROR(ABS(FV('Investment Calculator'!$C$7/'Investment Calculator'!$F$4,'SIP Schedule'!C3132,'SIP Schedule'!D3132,,1)),"")</f>
        <v/>
      </c>
    </row>
    <row r="3133" spans="3:6" x14ac:dyDescent="0.3">
      <c r="C3133" s="1" t="str">
        <f>IF(C3132&lt;'Investment Calculator'!$C$8*'Investment Calculator'!$F$4,'SIP Schedule'!C3132+1,"")</f>
        <v/>
      </c>
      <c r="D3133" s="27" t="str">
        <f>IF(C3133&lt;='Investment Calculator'!$C$8*'Investment Calculator'!$F$4,'Investment Calculator'!$C$6,"")</f>
        <v/>
      </c>
      <c r="E3133" s="27" t="str">
        <f>IFERROR((F3132+D3133)*'Investment Calculator'!$C$7/'Investment Calculator'!$F$4,"")</f>
        <v/>
      </c>
      <c r="F3133" s="27" t="str">
        <f>IFERROR(ABS(FV('Investment Calculator'!$C$7/'Investment Calculator'!$F$4,'SIP Schedule'!C3133,'SIP Schedule'!D3133,,1)),"")</f>
        <v/>
      </c>
    </row>
    <row r="3134" spans="3:6" x14ac:dyDescent="0.3">
      <c r="C3134" s="1" t="str">
        <f>IF(C3133&lt;'Investment Calculator'!$C$8*'Investment Calculator'!$F$4,'SIP Schedule'!C3133+1,"")</f>
        <v/>
      </c>
      <c r="D3134" s="27" t="str">
        <f>IF(C3134&lt;='Investment Calculator'!$C$8*'Investment Calculator'!$F$4,'Investment Calculator'!$C$6,"")</f>
        <v/>
      </c>
      <c r="E3134" s="27" t="str">
        <f>IFERROR((F3133+D3134)*'Investment Calculator'!$C$7/'Investment Calculator'!$F$4,"")</f>
        <v/>
      </c>
      <c r="F3134" s="27" t="str">
        <f>IFERROR(ABS(FV('Investment Calculator'!$C$7/'Investment Calculator'!$F$4,'SIP Schedule'!C3134,'SIP Schedule'!D3134,,1)),"")</f>
        <v/>
      </c>
    </row>
    <row r="3135" spans="3:6" x14ac:dyDescent="0.3">
      <c r="C3135" s="1" t="str">
        <f>IF(C3134&lt;'Investment Calculator'!$C$8*'Investment Calculator'!$F$4,'SIP Schedule'!C3134+1,"")</f>
        <v/>
      </c>
      <c r="D3135" s="27" t="str">
        <f>IF(C3135&lt;='Investment Calculator'!$C$8*'Investment Calculator'!$F$4,'Investment Calculator'!$C$6,"")</f>
        <v/>
      </c>
      <c r="E3135" s="27" t="str">
        <f>IFERROR((F3134+D3135)*'Investment Calculator'!$C$7/'Investment Calculator'!$F$4,"")</f>
        <v/>
      </c>
      <c r="F3135" s="27" t="str">
        <f>IFERROR(ABS(FV('Investment Calculator'!$C$7/'Investment Calculator'!$F$4,'SIP Schedule'!C3135,'SIP Schedule'!D3135,,1)),"")</f>
        <v/>
      </c>
    </row>
    <row r="3136" spans="3:6" x14ac:dyDescent="0.3">
      <c r="C3136" s="1" t="str">
        <f>IF(C3135&lt;'Investment Calculator'!$C$8*'Investment Calculator'!$F$4,'SIP Schedule'!C3135+1,"")</f>
        <v/>
      </c>
      <c r="D3136" s="27" t="str">
        <f>IF(C3136&lt;='Investment Calculator'!$C$8*'Investment Calculator'!$F$4,'Investment Calculator'!$C$6,"")</f>
        <v/>
      </c>
      <c r="E3136" s="27" t="str">
        <f>IFERROR((F3135+D3136)*'Investment Calculator'!$C$7/'Investment Calculator'!$F$4,"")</f>
        <v/>
      </c>
      <c r="F3136" s="27" t="str">
        <f>IFERROR(ABS(FV('Investment Calculator'!$C$7/'Investment Calculator'!$F$4,'SIP Schedule'!C3136,'SIP Schedule'!D3136,,1)),"")</f>
        <v/>
      </c>
    </row>
    <row r="3137" spans="3:6" x14ac:dyDescent="0.3">
      <c r="C3137" s="1" t="str">
        <f>IF(C3136&lt;'Investment Calculator'!$C$8*'Investment Calculator'!$F$4,'SIP Schedule'!C3136+1,"")</f>
        <v/>
      </c>
      <c r="D3137" s="27" t="str">
        <f>IF(C3137&lt;='Investment Calculator'!$C$8*'Investment Calculator'!$F$4,'Investment Calculator'!$C$6,"")</f>
        <v/>
      </c>
      <c r="E3137" s="27" t="str">
        <f>IFERROR((F3136+D3137)*'Investment Calculator'!$C$7/'Investment Calculator'!$F$4,"")</f>
        <v/>
      </c>
      <c r="F3137" s="27" t="str">
        <f>IFERROR(ABS(FV('Investment Calculator'!$C$7/'Investment Calculator'!$F$4,'SIP Schedule'!C3137,'SIP Schedule'!D3137,,1)),"")</f>
        <v/>
      </c>
    </row>
    <row r="3138" spans="3:6" x14ac:dyDescent="0.3">
      <c r="C3138" s="1" t="str">
        <f>IF(C3137&lt;'Investment Calculator'!$C$8*'Investment Calculator'!$F$4,'SIP Schedule'!C3137+1,"")</f>
        <v/>
      </c>
      <c r="D3138" s="27" t="str">
        <f>IF(C3138&lt;='Investment Calculator'!$C$8*'Investment Calculator'!$F$4,'Investment Calculator'!$C$6,"")</f>
        <v/>
      </c>
      <c r="E3138" s="27" t="str">
        <f>IFERROR((F3137+D3138)*'Investment Calculator'!$C$7/'Investment Calculator'!$F$4,"")</f>
        <v/>
      </c>
      <c r="F3138" s="27" t="str">
        <f>IFERROR(ABS(FV('Investment Calculator'!$C$7/'Investment Calculator'!$F$4,'SIP Schedule'!C3138,'SIP Schedule'!D3138,,1)),"")</f>
        <v/>
      </c>
    </row>
    <row r="3139" spans="3:6" x14ac:dyDescent="0.3">
      <c r="C3139" s="1" t="str">
        <f>IF(C3138&lt;'Investment Calculator'!$C$8*'Investment Calculator'!$F$4,'SIP Schedule'!C3138+1,"")</f>
        <v/>
      </c>
      <c r="D3139" s="27" t="str">
        <f>IF(C3139&lt;='Investment Calculator'!$C$8*'Investment Calculator'!$F$4,'Investment Calculator'!$C$6,"")</f>
        <v/>
      </c>
      <c r="E3139" s="27" t="str">
        <f>IFERROR((F3138+D3139)*'Investment Calculator'!$C$7/'Investment Calculator'!$F$4,"")</f>
        <v/>
      </c>
      <c r="F3139" s="27" t="str">
        <f>IFERROR(ABS(FV('Investment Calculator'!$C$7/'Investment Calculator'!$F$4,'SIP Schedule'!C3139,'SIP Schedule'!D3139,,1)),"")</f>
        <v/>
      </c>
    </row>
    <row r="3140" spans="3:6" x14ac:dyDescent="0.3">
      <c r="C3140" s="1" t="str">
        <f>IF(C3139&lt;'Investment Calculator'!$C$8*'Investment Calculator'!$F$4,'SIP Schedule'!C3139+1,"")</f>
        <v/>
      </c>
      <c r="D3140" s="27" t="str">
        <f>IF(C3140&lt;='Investment Calculator'!$C$8*'Investment Calculator'!$F$4,'Investment Calculator'!$C$6,"")</f>
        <v/>
      </c>
      <c r="E3140" s="27" t="str">
        <f>IFERROR((F3139+D3140)*'Investment Calculator'!$C$7/'Investment Calculator'!$F$4,"")</f>
        <v/>
      </c>
      <c r="F3140" s="27" t="str">
        <f>IFERROR(ABS(FV('Investment Calculator'!$C$7/'Investment Calculator'!$F$4,'SIP Schedule'!C3140,'SIP Schedule'!D3140,,1)),"")</f>
        <v/>
      </c>
    </row>
    <row r="3141" spans="3:6" x14ac:dyDescent="0.3">
      <c r="C3141" s="1" t="str">
        <f>IF(C3140&lt;'Investment Calculator'!$C$8*'Investment Calculator'!$F$4,'SIP Schedule'!C3140+1,"")</f>
        <v/>
      </c>
      <c r="D3141" s="27" t="str">
        <f>IF(C3141&lt;='Investment Calculator'!$C$8*'Investment Calculator'!$F$4,'Investment Calculator'!$C$6,"")</f>
        <v/>
      </c>
      <c r="E3141" s="27" t="str">
        <f>IFERROR((F3140+D3141)*'Investment Calculator'!$C$7/'Investment Calculator'!$F$4,"")</f>
        <v/>
      </c>
      <c r="F3141" s="27" t="str">
        <f>IFERROR(ABS(FV('Investment Calculator'!$C$7/'Investment Calculator'!$F$4,'SIP Schedule'!C3141,'SIP Schedule'!D3141,,1)),"")</f>
        <v/>
      </c>
    </row>
    <row r="3142" spans="3:6" x14ac:dyDescent="0.3">
      <c r="C3142" s="1" t="str">
        <f>IF(C3141&lt;'Investment Calculator'!$C$8*'Investment Calculator'!$F$4,'SIP Schedule'!C3141+1,"")</f>
        <v/>
      </c>
      <c r="D3142" s="27" t="str">
        <f>IF(C3142&lt;='Investment Calculator'!$C$8*'Investment Calculator'!$F$4,'Investment Calculator'!$C$6,"")</f>
        <v/>
      </c>
      <c r="E3142" s="27" t="str">
        <f>IFERROR((F3141+D3142)*'Investment Calculator'!$C$7/'Investment Calculator'!$F$4,"")</f>
        <v/>
      </c>
      <c r="F3142" s="27" t="str">
        <f>IFERROR(ABS(FV('Investment Calculator'!$C$7/'Investment Calculator'!$F$4,'SIP Schedule'!C3142,'SIP Schedule'!D3142,,1)),"")</f>
        <v/>
      </c>
    </row>
    <row r="3143" spans="3:6" x14ac:dyDescent="0.3">
      <c r="C3143" s="1" t="str">
        <f>IF(C3142&lt;'Investment Calculator'!$C$8*'Investment Calculator'!$F$4,'SIP Schedule'!C3142+1,"")</f>
        <v/>
      </c>
      <c r="D3143" s="27" t="str">
        <f>IF(C3143&lt;='Investment Calculator'!$C$8*'Investment Calculator'!$F$4,'Investment Calculator'!$C$6,"")</f>
        <v/>
      </c>
      <c r="E3143" s="27" t="str">
        <f>IFERROR((F3142+D3143)*'Investment Calculator'!$C$7/'Investment Calculator'!$F$4,"")</f>
        <v/>
      </c>
      <c r="F3143" s="27" t="str">
        <f>IFERROR(ABS(FV('Investment Calculator'!$C$7/'Investment Calculator'!$F$4,'SIP Schedule'!C3143,'SIP Schedule'!D3143,,1)),"")</f>
        <v/>
      </c>
    </row>
    <row r="3144" spans="3:6" x14ac:dyDescent="0.3">
      <c r="C3144" s="1" t="str">
        <f>IF(C3143&lt;'Investment Calculator'!$C$8*'Investment Calculator'!$F$4,'SIP Schedule'!C3143+1,"")</f>
        <v/>
      </c>
      <c r="D3144" s="27" t="str">
        <f>IF(C3144&lt;='Investment Calculator'!$C$8*'Investment Calculator'!$F$4,'Investment Calculator'!$C$6,"")</f>
        <v/>
      </c>
      <c r="E3144" s="27" t="str">
        <f>IFERROR((F3143+D3144)*'Investment Calculator'!$C$7/'Investment Calculator'!$F$4,"")</f>
        <v/>
      </c>
      <c r="F3144" s="27" t="str">
        <f>IFERROR(ABS(FV('Investment Calculator'!$C$7/'Investment Calculator'!$F$4,'SIP Schedule'!C3144,'SIP Schedule'!D3144,,1)),"")</f>
        <v/>
      </c>
    </row>
    <row r="3145" spans="3:6" x14ac:dyDescent="0.3">
      <c r="C3145" s="1" t="str">
        <f>IF(C3144&lt;'Investment Calculator'!$C$8*'Investment Calculator'!$F$4,'SIP Schedule'!C3144+1,"")</f>
        <v/>
      </c>
      <c r="D3145" s="27" t="str">
        <f>IF(C3145&lt;='Investment Calculator'!$C$8*'Investment Calculator'!$F$4,'Investment Calculator'!$C$6,"")</f>
        <v/>
      </c>
      <c r="E3145" s="27" t="str">
        <f>IFERROR((F3144+D3145)*'Investment Calculator'!$C$7/'Investment Calculator'!$F$4,"")</f>
        <v/>
      </c>
      <c r="F3145" s="27" t="str">
        <f>IFERROR(ABS(FV('Investment Calculator'!$C$7/'Investment Calculator'!$F$4,'SIP Schedule'!C3145,'SIP Schedule'!D3145,,1)),"")</f>
        <v/>
      </c>
    </row>
    <row r="3146" spans="3:6" x14ac:dyDescent="0.3">
      <c r="C3146" s="1" t="str">
        <f>IF(C3145&lt;'Investment Calculator'!$C$8*'Investment Calculator'!$F$4,'SIP Schedule'!C3145+1,"")</f>
        <v/>
      </c>
      <c r="D3146" s="27" t="str">
        <f>IF(C3146&lt;='Investment Calculator'!$C$8*'Investment Calculator'!$F$4,'Investment Calculator'!$C$6,"")</f>
        <v/>
      </c>
      <c r="E3146" s="27" t="str">
        <f>IFERROR((F3145+D3146)*'Investment Calculator'!$C$7/'Investment Calculator'!$F$4,"")</f>
        <v/>
      </c>
      <c r="F3146" s="27" t="str">
        <f>IFERROR(ABS(FV('Investment Calculator'!$C$7/'Investment Calculator'!$F$4,'SIP Schedule'!C3146,'SIP Schedule'!D3146,,1)),"")</f>
        <v/>
      </c>
    </row>
    <row r="3147" spans="3:6" x14ac:dyDescent="0.3">
      <c r="C3147" s="1" t="str">
        <f>IF(C3146&lt;'Investment Calculator'!$C$8*'Investment Calculator'!$F$4,'SIP Schedule'!C3146+1,"")</f>
        <v/>
      </c>
      <c r="D3147" s="27" t="str">
        <f>IF(C3147&lt;='Investment Calculator'!$C$8*'Investment Calculator'!$F$4,'Investment Calculator'!$C$6,"")</f>
        <v/>
      </c>
      <c r="E3147" s="27" t="str">
        <f>IFERROR((F3146+D3147)*'Investment Calculator'!$C$7/'Investment Calculator'!$F$4,"")</f>
        <v/>
      </c>
      <c r="F3147" s="27" t="str">
        <f>IFERROR(ABS(FV('Investment Calculator'!$C$7/'Investment Calculator'!$F$4,'SIP Schedule'!C3147,'SIP Schedule'!D3147,,1)),"")</f>
        <v/>
      </c>
    </row>
    <row r="3148" spans="3:6" x14ac:dyDescent="0.3">
      <c r="C3148" s="1" t="str">
        <f>IF(C3147&lt;'Investment Calculator'!$C$8*'Investment Calculator'!$F$4,'SIP Schedule'!C3147+1,"")</f>
        <v/>
      </c>
      <c r="D3148" s="27" t="str">
        <f>IF(C3148&lt;='Investment Calculator'!$C$8*'Investment Calculator'!$F$4,'Investment Calculator'!$C$6,"")</f>
        <v/>
      </c>
      <c r="E3148" s="27" t="str">
        <f>IFERROR((F3147+D3148)*'Investment Calculator'!$C$7/'Investment Calculator'!$F$4,"")</f>
        <v/>
      </c>
      <c r="F3148" s="27" t="str">
        <f>IFERROR(ABS(FV('Investment Calculator'!$C$7/'Investment Calculator'!$F$4,'SIP Schedule'!C3148,'SIP Schedule'!D3148,,1)),"")</f>
        <v/>
      </c>
    </row>
    <row r="3149" spans="3:6" x14ac:dyDescent="0.3">
      <c r="C3149" s="1" t="str">
        <f>IF(C3148&lt;'Investment Calculator'!$C$8*'Investment Calculator'!$F$4,'SIP Schedule'!C3148+1,"")</f>
        <v/>
      </c>
      <c r="D3149" s="27" t="str">
        <f>IF(C3149&lt;='Investment Calculator'!$C$8*'Investment Calculator'!$F$4,'Investment Calculator'!$C$6,"")</f>
        <v/>
      </c>
      <c r="E3149" s="27" t="str">
        <f>IFERROR((F3148+D3149)*'Investment Calculator'!$C$7/'Investment Calculator'!$F$4,"")</f>
        <v/>
      </c>
      <c r="F3149" s="27" t="str">
        <f>IFERROR(ABS(FV('Investment Calculator'!$C$7/'Investment Calculator'!$F$4,'SIP Schedule'!C3149,'SIP Schedule'!D3149,,1)),"")</f>
        <v/>
      </c>
    </row>
    <row r="3150" spans="3:6" x14ac:dyDescent="0.3">
      <c r="C3150" s="1" t="str">
        <f>IF(C3149&lt;'Investment Calculator'!$C$8*'Investment Calculator'!$F$4,'SIP Schedule'!C3149+1,"")</f>
        <v/>
      </c>
      <c r="D3150" s="27" t="str">
        <f>IF(C3150&lt;='Investment Calculator'!$C$8*'Investment Calculator'!$F$4,'Investment Calculator'!$C$6,"")</f>
        <v/>
      </c>
      <c r="E3150" s="27" t="str">
        <f>IFERROR((F3149+D3150)*'Investment Calculator'!$C$7/'Investment Calculator'!$F$4,"")</f>
        <v/>
      </c>
      <c r="F3150" s="27" t="str">
        <f>IFERROR(ABS(FV('Investment Calculator'!$C$7/'Investment Calculator'!$F$4,'SIP Schedule'!C3150,'SIP Schedule'!D3150,,1)),"")</f>
        <v/>
      </c>
    </row>
    <row r="3151" spans="3:6" x14ac:dyDescent="0.3">
      <c r="C3151" s="1" t="str">
        <f>IF(C3150&lt;'Investment Calculator'!$C$8*'Investment Calculator'!$F$4,'SIP Schedule'!C3150+1,"")</f>
        <v/>
      </c>
      <c r="D3151" s="27" t="str">
        <f>IF(C3151&lt;='Investment Calculator'!$C$8*'Investment Calculator'!$F$4,'Investment Calculator'!$C$6,"")</f>
        <v/>
      </c>
      <c r="E3151" s="27" t="str">
        <f>IFERROR((F3150+D3151)*'Investment Calculator'!$C$7/'Investment Calculator'!$F$4,"")</f>
        <v/>
      </c>
      <c r="F3151" s="27" t="str">
        <f>IFERROR(ABS(FV('Investment Calculator'!$C$7/'Investment Calculator'!$F$4,'SIP Schedule'!C3151,'SIP Schedule'!D3151,,1)),"")</f>
        <v/>
      </c>
    </row>
    <row r="3152" spans="3:6" x14ac:dyDescent="0.3">
      <c r="C3152" s="1" t="str">
        <f>IF(C3151&lt;'Investment Calculator'!$C$8*'Investment Calculator'!$F$4,'SIP Schedule'!C3151+1,"")</f>
        <v/>
      </c>
      <c r="D3152" s="27" t="str">
        <f>IF(C3152&lt;='Investment Calculator'!$C$8*'Investment Calculator'!$F$4,'Investment Calculator'!$C$6,"")</f>
        <v/>
      </c>
      <c r="E3152" s="27" t="str">
        <f>IFERROR((F3151+D3152)*'Investment Calculator'!$C$7/'Investment Calculator'!$F$4,"")</f>
        <v/>
      </c>
      <c r="F3152" s="27" t="str">
        <f>IFERROR(ABS(FV('Investment Calculator'!$C$7/'Investment Calculator'!$F$4,'SIP Schedule'!C3152,'SIP Schedule'!D3152,,1)),"")</f>
        <v/>
      </c>
    </row>
    <row r="3153" spans="3:6" x14ac:dyDescent="0.3">
      <c r="C3153" s="1" t="str">
        <f>IF(C3152&lt;'Investment Calculator'!$C$8*'Investment Calculator'!$F$4,'SIP Schedule'!C3152+1,"")</f>
        <v/>
      </c>
      <c r="D3153" s="27" t="str">
        <f>IF(C3153&lt;='Investment Calculator'!$C$8*'Investment Calculator'!$F$4,'Investment Calculator'!$C$6,"")</f>
        <v/>
      </c>
      <c r="E3153" s="27" t="str">
        <f>IFERROR((F3152+D3153)*'Investment Calculator'!$C$7/'Investment Calculator'!$F$4,"")</f>
        <v/>
      </c>
      <c r="F3153" s="27" t="str">
        <f>IFERROR(ABS(FV('Investment Calculator'!$C$7/'Investment Calculator'!$F$4,'SIP Schedule'!C3153,'SIP Schedule'!D3153,,1)),"")</f>
        <v/>
      </c>
    </row>
    <row r="3154" spans="3:6" x14ac:dyDescent="0.3">
      <c r="C3154" s="1" t="str">
        <f>IF(C3153&lt;'Investment Calculator'!$C$8*'Investment Calculator'!$F$4,'SIP Schedule'!C3153+1,"")</f>
        <v/>
      </c>
      <c r="D3154" s="27" t="str">
        <f>IF(C3154&lt;='Investment Calculator'!$C$8*'Investment Calculator'!$F$4,'Investment Calculator'!$C$6,"")</f>
        <v/>
      </c>
      <c r="E3154" s="27" t="str">
        <f>IFERROR((F3153+D3154)*'Investment Calculator'!$C$7/'Investment Calculator'!$F$4,"")</f>
        <v/>
      </c>
      <c r="F3154" s="27" t="str">
        <f>IFERROR(ABS(FV('Investment Calculator'!$C$7/'Investment Calculator'!$F$4,'SIP Schedule'!C3154,'SIP Schedule'!D3154,,1)),"")</f>
        <v/>
      </c>
    </row>
    <row r="3155" spans="3:6" x14ac:dyDescent="0.3">
      <c r="C3155" s="1" t="str">
        <f>IF(C3154&lt;'Investment Calculator'!$C$8*'Investment Calculator'!$F$4,'SIP Schedule'!C3154+1,"")</f>
        <v/>
      </c>
      <c r="D3155" s="27" t="str">
        <f>IF(C3155&lt;='Investment Calculator'!$C$8*'Investment Calculator'!$F$4,'Investment Calculator'!$C$6,"")</f>
        <v/>
      </c>
      <c r="E3155" s="27" t="str">
        <f>IFERROR((F3154+D3155)*'Investment Calculator'!$C$7/'Investment Calculator'!$F$4,"")</f>
        <v/>
      </c>
      <c r="F3155" s="27" t="str">
        <f>IFERROR(ABS(FV('Investment Calculator'!$C$7/'Investment Calculator'!$F$4,'SIP Schedule'!C3155,'SIP Schedule'!D3155,,1)),"")</f>
        <v/>
      </c>
    </row>
    <row r="3156" spans="3:6" x14ac:dyDescent="0.3">
      <c r="C3156" s="1" t="str">
        <f>IF(C3155&lt;'Investment Calculator'!$C$8*'Investment Calculator'!$F$4,'SIP Schedule'!C3155+1,"")</f>
        <v/>
      </c>
      <c r="D3156" s="27" t="str">
        <f>IF(C3156&lt;='Investment Calculator'!$C$8*'Investment Calculator'!$F$4,'Investment Calculator'!$C$6,"")</f>
        <v/>
      </c>
      <c r="E3156" s="27" t="str">
        <f>IFERROR((F3155+D3156)*'Investment Calculator'!$C$7/'Investment Calculator'!$F$4,"")</f>
        <v/>
      </c>
      <c r="F3156" s="27" t="str">
        <f>IFERROR(ABS(FV('Investment Calculator'!$C$7/'Investment Calculator'!$F$4,'SIP Schedule'!C3156,'SIP Schedule'!D3156,,1)),"")</f>
        <v/>
      </c>
    </row>
    <row r="3157" spans="3:6" x14ac:dyDescent="0.3">
      <c r="C3157" s="1" t="str">
        <f>IF(C3156&lt;'Investment Calculator'!$C$8*'Investment Calculator'!$F$4,'SIP Schedule'!C3156+1,"")</f>
        <v/>
      </c>
      <c r="D3157" s="27" t="str">
        <f>IF(C3157&lt;='Investment Calculator'!$C$8*'Investment Calculator'!$F$4,'Investment Calculator'!$C$6,"")</f>
        <v/>
      </c>
      <c r="E3157" s="27" t="str">
        <f>IFERROR((F3156+D3157)*'Investment Calculator'!$C$7/'Investment Calculator'!$F$4,"")</f>
        <v/>
      </c>
      <c r="F3157" s="27" t="str">
        <f>IFERROR(ABS(FV('Investment Calculator'!$C$7/'Investment Calculator'!$F$4,'SIP Schedule'!C3157,'SIP Schedule'!D3157,,1)),"")</f>
        <v/>
      </c>
    </row>
    <row r="3158" spans="3:6" x14ac:dyDescent="0.3">
      <c r="C3158" s="1" t="str">
        <f>IF(C3157&lt;'Investment Calculator'!$C$8*'Investment Calculator'!$F$4,'SIP Schedule'!C3157+1,"")</f>
        <v/>
      </c>
      <c r="D3158" s="27" t="str">
        <f>IF(C3158&lt;='Investment Calculator'!$C$8*'Investment Calculator'!$F$4,'Investment Calculator'!$C$6,"")</f>
        <v/>
      </c>
      <c r="E3158" s="27" t="str">
        <f>IFERROR((F3157+D3158)*'Investment Calculator'!$C$7/'Investment Calculator'!$F$4,"")</f>
        <v/>
      </c>
      <c r="F3158" s="27" t="str">
        <f>IFERROR(ABS(FV('Investment Calculator'!$C$7/'Investment Calculator'!$F$4,'SIP Schedule'!C3158,'SIP Schedule'!D3158,,1)),"")</f>
        <v/>
      </c>
    </row>
    <row r="3159" spans="3:6" x14ac:dyDescent="0.3">
      <c r="C3159" s="1" t="str">
        <f>IF(C3158&lt;'Investment Calculator'!$C$8*'Investment Calculator'!$F$4,'SIP Schedule'!C3158+1,"")</f>
        <v/>
      </c>
      <c r="D3159" s="27" t="str">
        <f>IF(C3159&lt;='Investment Calculator'!$C$8*'Investment Calculator'!$F$4,'Investment Calculator'!$C$6,"")</f>
        <v/>
      </c>
      <c r="E3159" s="27" t="str">
        <f>IFERROR((F3158+D3159)*'Investment Calculator'!$C$7/'Investment Calculator'!$F$4,"")</f>
        <v/>
      </c>
      <c r="F3159" s="27" t="str">
        <f>IFERROR(ABS(FV('Investment Calculator'!$C$7/'Investment Calculator'!$F$4,'SIP Schedule'!C3159,'SIP Schedule'!D3159,,1)),"")</f>
        <v/>
      </c>
    </row>
    <row r="3160" spans="3:6" x14ac:dyDescent="0.3">
      <c r="C3160" s="1" t="str">
        <f>IF(C3159&lt;'Investment Calculator'!$C$8*'Investment Calculator'!$F$4,'SIP Schedule'!C3159+1,"")</f>
        <v/>
      </c>
      <c r="D3160" s="27" t="str">
        <f>IF(C3160&lt;='Investment Calculator'!$C$8*'Investment Calculator'!$F$4,'Investment Calculator'!$C$6,"")</f>
        <v/>
      </c>
      <c r="E3160" s="27" t="str">
        <f>IFERROR((F3159+D3160)*'Investment Calculator'!$C$7/'Investment Calculator'!$F$4,"")</f>
        <v/>
      </c>
      <c r="F3160" s="27" t="str">
        <f>IFERROR(ABS(FV('Investment Calculator'!$C$7/'Investment Calculator'!$F$4,'SIP Schedule'!C3160,'SIP Schedule'!D3160,,1)),"")</f>
        <v/>
      </c>
    </row>
    <row r="3161" spans="3:6" x14ac:dyDescent="0.3">
      <c r="C3161" s="1" t="str">
        <f>IF(C3160&lt;'Investment Calculator'!$C$8*'Investment Calculator'!$F$4,'SIP Schedule'!C3160+1,"")</f>
        <v/>
      </c>
      <c r="D3161" s="27" t="str">
        <f>IF(C3161&lt;='Investment Calculator'!$C$8*'Investment Calculator'!$F$4,'Investment Calculator'!$C$6,"")</f>
        <v/>
      </c>
      <c r="E3161" s="27" t="str">
        <f>IFERROR((F3160+D3161)*'Investment Calculator'!$C$7/'Investment Calculator'!$F$4,"")</f>
        <v/>
      </c>
      <c r="F3161" s="27" t="str">
        <f>IFERROR(ABS(FV('Investment Calculator'!$C$7/'Investment Calculator'!$F$4,'SIP Schedule'!C3161,'SIP Schedule'!D3161,,1)),"")</f>
        <v/>
      </c>
    </row>
    <row r="3162" spans="3:6" x14ac:dyDescent="0.3">
      <c r="C3162" s="1" t="str">
        <f>IF(C3161&lt;'Investment Calculator'!$C$8*'Investment Calculator'!$F$4,'SIP Schedule'!C3161+1,"")</f>
        <v/>
      </c>
      <c r="D3162" s="27" t="str">
        <f>IF(C3162&lt;='Investment Calculator'!$C$8*'Investment Calculator'!$F$4,'Investment Calculator'!$C$6,"")</f>
        <v/>
      </c>
      <c r="E3162" s="27" t="str">
        <f>IFERROR((F3161+D3162)*'Investment Calculator'!$C$7/'Investment Calculator'!$F$4,"")</f>
        <v/>
      </c>
      <c r="F3162" s="27" t="str">
        <f>IFERROR(ABS(FV('Investment Calculator'!$C$7/'Investment Calculator'!$F$4,'SIP Schedule'!C3162,'SIP Schedule'!D3162,,1)),"")</f>
        <v/>
      </c>
    </row>
    <row r="3163" spans="3:6" x14ac:dyDescent="0.3">
      <c r="C3163" s="1" t="str">
        <f>IF(C3162&lt;'Investment Calculator'!$C$8*'Investment Calculator'!$F$4,'SIP Schedule'!C3162+1,"")</f>
        <v/>
      </c>
      <c r="D3163" s="27" t="str">
        <f>IF(C3163&lt;='Investment Calculator'!$C$8*'Investment Calculator'!$F$4,'Investment Calculator'!$C$6,"")</f>
        <v/>
      </c>
      <c r="E3163" s="27" t="str">
        <f>IFERROR((F3162+D3163)*'Investment Calculator'!$C$7/'Investment Calculator'!$F$4,"")</f>
        <v/>
      </c>
      <c r="F3163" s="27" t="str">
        <f>IFERROR(ABS(FV('Investment Calculator'!$C$7/'Investment Calculator'!$F$4,'SIP Schedule'!C3163,'SIP Schedule'!D3163,,1)),"")</f>
        <v/>
      </c>
    </row>
    <row r="3164" spans="3:6" x14ac:dyDescent="0.3">
      <c r="C3164" s="1" t="str">
        <f>IF(C3163&lt;'Investment Calculator'!$C$8*'Investment Calculator'!$F$4,'SIP Schedule'!C3163+1,"")</f>
        <v/>
      </c>
      <c r="D3164" s="27" t="str">
        <f>IF(C3164&lt;='Investment Calculator'!$C$8*'Investment Calculator'!$F$4,'Investment Calculator'!$C$6,"")</f>
        <v/>
      </c>
      <c r="E3164" s="27" t="str">
        <f>IFERROR((F3163+D3164)*'Investment Calculator'!$C$7/'Investment Calculator'!$F$4,"")</f>
        <v/>
      </c>
      <c r="F3164" s="27" t="str">
        <f>IFERROR(ABS(FV('Investment Calculator'!$C$7/'Investment Calculator'!$F$4,'SIP Schedule'!C3164,'SIP Schedule'!D3164,,1)),"")</f>
        <v/>
      </c>
    </row>
    <row r="3165" spans="3:6" x14ac:dyDescent="0.3">
      <c r="C3165" s="1" t="str">
        <f>IF(C3164&lt;'Investment Calculator'!$C$8*'Investment Calculator'!$F$4,'SIP Schedule'!C3164+1,"")</f>
        <v/>
      </c>
      <c r="D3165" s="27" t="str">
        <f>IF(C3165&lt;='Investment Calculator'!$C$8*'Investment Calculator'!$F$4,'Investment Calculator'!$C$6,"")</f>
        <v/>
      </c>
      <c r="E3165" s="27" t="str">
        <f>IFERROR((F3164+D3165)*'Investment Calculator'!$C$7/'Investment Calculator'!$F$4,"")</f>
        <v/>
      </c>
      <c r="F3165" s="27" t="str">
        <f>IFERROR(ABS(FV('Investment Calculator'!$C$7/'Investment Calculator'!$F$4,'SIP Schedule'!C3165,'SIP Schedule'!D3165,,1)),"")</f>
        <v/>
      </c>
    </row>
    <row r="3166" spans="3:6" x14ac:dyDescent="0.3">
      <c r="C3166" s="1" t="str">
        <f>IF(C3165&lt;'Investment Calculator'!$C$8*'Investment Calculator'!$F$4,'SIP Schedule'!C3165+1,"")</f>
        <v/>
      </c>
      <c r="D3166" s="27" t="str">
        <f>IF(C3166&lt;='Investment Calculator'!$C$8*'Investment Calculator'!$F$4,'Investment Calculator'!$C$6,"")</f>
        <v/>
      </c>
      <c r="E3166" s="27" t="str">
        <f>IFERROR((F3165+D3166)*'Investment Calculator'!$C$7/'Investment Calculator'!$F$4,"")</f>
        <v/>
      </c>
      <c r="F3166" s="27" t="str">
        <f>IFERROR(ABS(FV('Investment Calculator'!$C$7/'Investment Calculator'!$F$4,'SIP Schedule'!C3166,'SIP Schedule'!D3166,,1)),"")</f>
        <v/>
      </c>
    </row>
    <row r="3167" spans="3:6" x14ac:dyDescent="0.3">
      <c r="C3167" s="1" t="str">
        <f>IF(C3166&lt;'Investment Calculator'!$C$8*'Investment Calculator'!$F$4,'SIP Schedule'!C3166+1,"")</f>
        <v/>
      </c>
      <c r="D3167" s="27" t="str">
        <f>IF(C3167&lt;='Investment Calculator'!$C$8*'Investment Calculator'!$F$4,'Investment Calculator'!$C$6,"")</f>
        <v/>
      </c>
      <c r="E3167" s="27" t="str">
        <f>IFERROR((F3166+D3167)*'Investment Calculator'!$C$7/'Investment Calculator'!$F$4,"")</f>
        <v/>
      </c>
      <c r="F3167" s="27" t="str">
        <f>IFERROR(ABS(FV('Investment Calculator'!$C$7/'Investment Calculator'!$F$4,'SIP Schedule'!C3167,'SIP Schedule'!D3167,,1)),"")</f>
        <v/>
      </c>
    </row>
    <row r="3168" spans="3:6" x14ac:dyDescent="0.3">
      <c r="C3168" s="1" t="str">
        <f>IF(C3167&lt;'Investment Calculator'!$C$8*'Investment Calculator'!$F$4,'SIP Schedule'!C3167+1,"")</f>
        <v/>
      </c>
      <c r="D3168" s="27" t="str">
        <f>IF(C3168&lt;='Investment Calculator'!$C$8*'Investment Calculator'!$F$4,'Investment Calculator'!$C$6,"")</f>
        <v/>
      </c>
      <c r="E3168" s="27" t="str">
        <f>IFERROR((F3167+D3168)*'Investment Calculator'!$C$7/'Investment Calculator'!$F$4,"")</f>
        <v/>
      </c>
      <c r="F3168" s="27" t="str">
        <f>IFERROR(ABS(FV('Investment Calculator'!$C$7/'Investment Calculator'!$F$4,'SIP Schedule'!C3168,'SIP Schedule'!D3168,,1)),"")</f>
        <v/>
      </c>
    </row>
    <row r="3169" spans="3:6" x14ac:dyDescent="0.3">
      <c r="C3169" s="1" t="str">
        <f>IF(C3168&lt;'Investment Calculator'!$C$8*'Investment Calculator'!$F$4,'SIP Schedule'!C3168+1,"")</f>
        <v/>
      </c>
      <c r="D3169" s="27" t="str">
        <f>IF(C3169&lt;='Investment Calculator'!$C$8*'Investment Calculator'!$F$4,'Investment Calculator'!$C$6,"")</f>
        <v/>
      </c>
      <c r="E3169" s="27" t="str">
        <f>IFERROR((F3168+D3169)*'Investment Calculator'!$C$7/'Investment Calculator'!$F$4,"")</f>
        <v/>
      </c>
      <c r="F3169" s="27" t="str">
        <f>IFERROR(ABS(FV('Investment Calculator'!$C$7/'Investment Calculator'!$F$4,'SIP Schedule'!C3169,'SIP Schedule'!D3169,,1)),"")</f>
        <v/>
      </c>
    </row>
    <row r="3170" spans="3:6" x14ac:dyDescent="0.3">
      <c r="C3170" s="1" t="str">
        <f>IF(C3169&lt;'Investment Calculator'!$C$8*'Investment Calculator'!$F$4,'SIP Schedule'!C3169+1,"")</f>
        <v/>
      </c>
      <c r="D3170" s="27" t="str">
        <f>IF(C3170&lt;='Investment Calculator'!$C$8*'Investment Calculator'!$F$4,'Investment Calculator'!$C$6,"")</f>
        <v/>
      </c>
      <c r="E3170" s="27" t="str">
        <f>IFERROR((F3169+D3170)*'Investment Calculator'!$C$7/'Investment Calculator'!$F$4,"")</f>
        <v/>
      </c>
      <c r="F3170" s="27" t="str">
        <f>IFERROR(ABS(FV('Investment Calculator'!$C$7/'Investment Calculator'!$F$4,'SIP Schedule'!C3170,'SIP Schedule'!D3170,,1)),"")</f>
        <v/>
      </c>
    </row>
    <row r="3171" spans="3:6" x14ac:dyDescent="0.3">
      <c r="C3171" s="1" t="str">
        <f>IF(C3170&lt;'Investment Calculator'!$C$8*'Investment Calculator'!$F$4,'SIP Schedule'!C3170+1,"")</f>
        <v/>
      </c>
      <c r="D3171" s="27" t="str">
        <f>IF(C3171&lt;='Investment Calculator'!$C$8*'Investment Calculator'!$F$4,'Investment Calculator'!$C$6,"")</f>
        <v/>
      </c>
      <c r="E3171" s="27" t="str">
        <f>IFERROR((F3170+D3171)*'Investment Calculator'!$C$7/'Investment Calculator'!$F$4,"")</f>
        <v/>
      </c>
      <c r="F3171" s="27" t="str">
        <f>IFERROR(ABS(FV('Investment Calculator'!$C$7/'Investment Calculator'!$F$4,'SIP Schedule'!C3171,'SIP Schedule'!D3171,,1)),"")</f>
        <v/>
      </c>
    </row>
    <row r="3172" spans="3:6" x14ac:dyDescent="0.3">
      <c r="C3172" s="1" t="str">
        <f>IF(C3171&lt;'Investment Calculator'!$C$8*'Investment Calculator'!$F$4,'SIP Schedule'!C3171+1,"")</f>
        <v/>
      </c>
      <c r="D3172" s="27" t="str">
        <f>IF(C3172&lt;='Investment Calculator'!$C$8*'Investment Calculator'!$F$4,'Investment Calculator'!$C$6,"")</f>
        <v/>
      </c>
      <c r="E3172" s="27" t="str">
        <f>IFERROR((F3171+D3172)*'Investment Calculator'!$C$7/'Investment Calculator'!$F$4,"")</f>
        <v/>
      </c>
      <c r="F3172" s="27" t="str">
        <f>IFERROR(ABS(FV('Investment Calculator'!$C$7/'Investment Calculator'!$F$4,'SIP Schedule'!C3172,'SIP Schedule'!D3172,,1)),"")</f>
        <v/>
      </c>
    </row>
    <row r="3173" spans="3:6" x14ac:dyDescent="0.3">
      <c r="C3173" s="1" t="str">
        <f>IF(C3172&lt;'Investment Calculator'!$C$8*'Investment Calculator'!$F$4,'SIP Schedule'!C3172+1,"")</f>
        <v/>
      </c>
      <c r="D3173" s="27" t="str">
        <f>IF(C3173&lt;='Investment Calculator'!$C$8*'Investment Calculator'!$F$4,'Investment Calculator'!$C$6,"")</f>
        <v/>
      </c>
      <c r="E3173" s="27" t="str">
        <f>IFERROR((F3172+D3173)*'Investment Calculator'!$C$7/'Investment Calculator'!$F$4,"")</f>
        <v/>
      </c>
      <c r="F3173" s="27" t="str">
        <f>IFERROR(ABS(FV('Investment Calculator'!$C$7/'Investment Calculator'!$F$4,'SIP Schedule'!C3173,'SIP Schedule'!D3173,,1)),"")</f>
        <v/>
      </c>
    </row>
    <row r="3174" spans="3:6" x14ac:dyDescent="0.3">
      <c r="C3174" s="1" t="str">
        <f>IF(C3173&lt;'Investment Calculator'!$C$8*'Investment Calculator'!$F$4,'SIP Schedule'!C3173+1,"")</f>
        <v/>
      </c>
      <c r="D3174" s="27" t="str">
        <f>IF(C3174&lt;='Investment Calculator'!$C$8*'Investment Calculator'!$F$4,'Investment Calculator'!$C$6,"")</f>
        <v/>
      </c>
      <c r="E3174" s="27" t="str">
        <f>IFERROR((F3173+D3174)*'Investment Calculator'!$C$7/'Investment Calculator'!$F$4,"")</f>
        <v/>
      </c>
      <c r="F3174" s="27" t="str">
        <f>IFERROR(ABS(FV('Investment Calculator'!$C$7/'Investment Calculator'!$F$4,'SIP Schedule'!C3174,'SIP Schedule'!D3174,,1)),"")</f>
        <v/>
      </c>
    </row>
    <row r="3175" spans="3:6" x14ac:dyDescent="0.3">
      <c r="C3175" s="1" t="str">
        <f>IF(C3174&lt;'Investment Calculator'!$C$8*'Investment Calculator'!$F$4,'SIP Schedule'!C3174+1,"")</f>
        <v/>
      </c>
      <c r="D3175" s="27" t="str">
        <f>IF(C3175&lt;='Investment Calculator'!$C$8*'Investment Calculator'!$F$4,'Investment Calculator'!$C$6,"")</f>
        <v/>
      </c>
      <c r="E3175" s="27" t="str">
        <f>IFERROR((F3174+D3175)*'Investment Calculator'!$C$7/'Investment Calculator'!$F$4,"")</f>
        <v/>
      </c>
      <c r="F3175" s="27" t="str">
        <f>IFERROR(ABS(FV('Investment Calculator'!$C$7/'Investment Calculator'!$F$4,'SIP Schedule'!C3175,'SIP Schedule'!D3175,,1)),"")</f>
        <v/>
      </c>
    </row>
    <row r="3176" spans="3:6" x14ac:dyDescent="0.3">
      <c r="C3176" s="1" t="str">
        <f>IF(C3175&lt;'Investment Calculator'!$C$8*'Investment Calculator'!$F$4,'SIP Schedule'!C3175+1,"")</f>
        <v/>
      </c>
      <c r="D3176" s="27" t="str">
        <f>IF(C3176&lt;='Investment Calculator'!$C$8*'Investment Calculator'!$F$4,'Investment Calculator'!$C$6,"")</f>
        <v/>
      </c>
      <c r="E3176" s="27" t="str">
        <f>IFERROR((F3175+D3176)*'Investment Calculator'!$C$7/'Investment Calculator'!$F$4,"")</f>
        <v/>
      </c>
      <c r="F3176" s="27" t="str">
        <f>IFERROR(ABS(FV('Investment Calculator'!$C$7/'Investment Calculator'!$F$4,'SIP Schedule'!C3176,'SIP Schedule'!D3176,,1)),"")</f>
        <v/>
      </c>
    </row>
    <row r="3177" spans="3:6" x14ac:dyDescent="0.3">
      <c r="C3177" s="1" t="str">
        <f>IF(C3176&lt;'Investment Calculator'!$C$8*'Investment Calculator'!$F$4,'SIP Schedule'!C3176+1,"")</f>
        <v/>
      </c>
      <c r="D3177" s="27" t="str">
        <f>IF(C3177&lt;='Investment Calculator'!$C$8*'Investment Calculator'!$F$4,'Investment Calculator'!$C$6,"")</f>
        <v/>
      </c>
      <c r="E3177" s="27" t="str">
        <f>IFERROR((F3176+D3177)*'Investment Calculator'!$C$7/'Investment Calculator'!$F$4,"")</f>
        <v/>
      </c>
      <c r="F3177" s="27" t="str">
        <f>IFERROR(ABS(FV('Investment Calculator'!$C$7/'Investment Calculator'!$F$4,'SIP Schedule'!C3177,'SIP Schedule'!D3177,,1)),"")</f>
        <v/>
      </c>
    </row>
    <row r="3178" spans="3:6" x14ac:dyDescent="0.3">
      <c r="C3178" s="1" t="str">
        <f>IF(C3177&lt;'Investment Calculator'!$C$8*'Investment Calculator'!$F$4,'SIP Schedule'!C3177+1,"")</f>
        <v/>
      </c>
      <c r="D3178" s="27" t="str">
        <f>IF(C3178&lt;='Investment Calculator'!$C$8*'Investment Calculator'!$F$4,'Investment Calculator'!$C$6,"")</f>
        <v/>
      </c>
      <c r="E3178" s="27" t="str">
        <f>IFERROR((F3177+D3178)*'Investment Calculator'!$C$7/'Investment Calculator'!$F$4,"")</f>
        <v/>
      </c>
      <c r="F3178" s="27" t="str">
        <f>IFERROR(ABS(FV('Investment Calculator'!$C$7/'Investment Calculator'!$F$4,'SIP Schedule'!C3178,'SIP Schedule'!D3178,,1)),"")</f>
        <v/>
      </c>
    </row>
    <row r="3179" spans="3:6" x14ac:dyDescent="0.3">
      <c r="C3179" s="1" t="str">
        <f>IF(C3178&lt;'Investment Calculator'!$C$8*'Investment Calculator'!$F$4,'SIP Schedule'!C3178+1,"")</f>
        <v/>
      </c>
      <c r="D3179" s="27" t="str">
        <f>IF(C3179&lt;='Investment Calculator'!$C$8*'Investment Calculator'!$F$4,'Investment Calculator'!$C$6,"")</f>
        <v/>
      </c>
      <c r="E3179" s="27" t="str">
        <f>IFERROR((F3178+D3179)*'Investment Calculator'!$C$7/'Investment Calculator'!$F$4,"")</f>
        <v/>
      </c>
      <c r="F3179" s="27" t="str">
        <f>IFERROR(ABS(FV('Investment Calculator'!$C$7/'Investment Calculator'!$F$4,'SIP Schedule'!C3179,'SIP Schedule'!D3179,,1)),"")</f>
        <v/>
      </c>
    </row>
    <row r="3180" spans="3:6" x14ac:dyDescent="0.3">
      <c r="C3180" s="1" t="str">
        <f>IF(C3179&lt;'Investment Calculator'!$C$8*'Investment Calculator'!$F$4,'SIP Schedule'!C3179+1,"")</f>
        <v/>
      </c>
      <c r="D3180" s="27" t="str">
        <f>IF(C3180&lt;='Investment Calculator'!$C$8*'Investment Calculator'!$F$4,'Investment Calculator'!$C$6,"")</f>
        <v/>
      </c>
      <c r="E3180" s="27" t="str">
        <f>IFERROR((F3179+D3180)*'Investment Calculator'!$C$7/'Investment Calculator'!$F$4,"")</f>
        <v/>
      </c>
      <c r="F3180" s="27" t="str">
        <f>IFERROR(ABS(FV('Investment Calculator'!$C$7/'Investment Calculator'!$F$4,'SIP Schedule'!C3180,'SIP Schedule'!D3180,,1)),"")</f>
        <v/>
      </c>
    </row>
    <row r="3181" spans="3:6" x14ac:dyDescent="0.3">
      <c r="C3181" s="1" t="str">
        <f>IF(C3180&lt;'Investment Calculator'!$C$8*'Investment Calculator'!$F$4,'SIP Schedule'!C3180+1,"")</f>
        <v/>
      </c>
      <c r="D3181" s="27" t="str">
        <f>IF(C3181&lt;='Investment Calculator'!$C$8*'Investment Calculator'!$F$4,'Investment Calculator'!$C$6,"")</f>
        <v/>
      </c>
      <c r="E3181" s="27" t="str">
        <f>IFERROR((F3180+D3181)*'Investment Calculator'!$C$7/'Investment Calculator'!$F$4,"")</f>
        <v/>
      </c>
      <c r="F3181" s="27" t="str">
        <f>IFERROR(ABS(FV('Investment Calculator'!$C$7/'Investment Calculator'!$F$4,'SIP Schedule'!C3181,'SIP Schedule'!D3181,,1)),"")</f>
        <v/>
      </c>
    </row>
    <row r="3182" spans="3:6" x14ac:dyDescent="0.3">
      <c r="C3182" s="1" t="str">
        <f>IF(C3181&lt;'Investment Calculator'!$C$8*'Investment Calculator'!$F$4,'SIP Schedule'!C3181+1,"")</f>
        <v/>
      </c>
      <c r="D3182" s="27" t="str">
        <f>IF(C3182&lt;='Investment Calculator'!$C$8*'Investment Calculator'!$F$4,'Investment Calculator'!$C$6,"")</f>
        <v/>
      </c>
      <c r="E3182" s="27" t="str">
        <f>IFERROR((F3181+D3182)*'Investment Calculator'!$C$7/'Investment Calculator'!$F$4,"")</f>
        <v/>
      </c>
      <c r="F3182" s="27" t="str">
        <f>IFERROR(ABS(FV('Investment Calculator'!$C$7/'Investment Calculator'!$F$4,'SIP Schedule'!C3182,'SIP Schedule'!D3182,,1)),"")</f>
        <v/>
      </c>
    </row>
    <row r="3183" spans="3:6" x14ac:dyDescent="0.3">
      <c r="C3183" s="1" t="str">
        <f>IF(C3182&lt;'Investment Calculator'!$C$8*'Investment Calculator'!$F$4,'SIP Schedule'!C3182+1,"")</f>
        <v/>
      </c>
      <c r="D3183" s="27" t="str">
        <f>IF(C3183&lt;='Investment Calculator'!$C$8*'Investment Calculator'!$F$4,'Investment Calculator'!$C$6,"")</f>
        <v/>
      </c>
      <c r="E3183" s="27" t="str">
        <f>IFERROR((F3182+D3183)*'Investment Calculator'!$C$7/'Investment Calculator'!$F$4,"")</f>
        <v/>
      </c>
      <c r="F3183" s="27" t="str">
        <f>IFERROR(ABS(FV('Investment Calculator'!$C$7/'Investment Calculator'!$F$4,'SIP Schedule'!C3183,'SIP Schedule'!D3183,,1)),"")</f>
        <v/>
      </c>
    </row>
    <row r="3184" spans="3:6" x14ac:dyDescent="0.3">
      <c r="C3184" s="1" t="str">
        <f>IF(C3183&lt;'Investment Calculator'!$C$8*'Investment Calculator'!$F$4,'SIP Schedule'!C3183+1,"")</f>
        <v/>
      </c>
      <c r="D3184" s="27" t="str">
        <f>IF(C3184&lt;='Investment Calculator'!$C$8*'Investment Calculator'!$F$4,'Investment Calculator'!$C$6,"")</f>
        <v/>
      </c>
      <c r="E3184" s="27" t="str">
        <f>IFERROR((F3183+D3184)*'Investment Calculator'!$C$7/'Investment Calculator'!$F$4,"")</f>
        <v/>
      </c>
      <c r="F3184" s="27" t="str">
        <f>IFERROR(ABS(FV('Investment Calculator'!$C$7/'Investment Calculator'!$F$4,'SIP Schedule'!C3184,'SIP Schedule'!D3184,,1)),"")</f>
        <v/>
      </c>
    </row>
    <row r="3185" spans="3:6" x14ac:dyDescent="0.3">
      <c r="C3185" s="1" t="str">
        <f>IF(C3184&lt;'Investment Calculator'!$C$8*'Investment Calculator'!$F$4,'SIP Schedule'!C3184+1,"")</f>
        <v/>
      </c>
      <c r="D3185" s="27" t="str">
        <f>IF(C3185&lt;='Investment Calculator'!$C$8*'Investment Calculator'!$F$4,'Investment Calculator'!$C$6,"")</f>
        <v/>
      </c>
      <c r="E3185" s="27" t="str">
        <f>IFERROR((F3184+D3185)*'Investment Calculator'!$C$7/'Investment Calculator'!$F$4,"")</f>
        <v/>
      </c>
      <c r="F3185" s="27" t="str">
        <f>IFERROR(ABS(FV('Investment Calculator'!$C$7/'Investment Calculator'!$F$4,'SIP Schedule'!C3185,'SIP Schedule'!D3185,,1)),"")</f>
        <v/>
      </c>
    </row>
    <row r="3186" spans="3:6" x14ac:dyDescent="0.3">
      <c r="C3186" s="1" t="str">
        <f>IF(C3185&lt;'Investment Calculator'!$C$8*'Investment Calculator'!$F$4,'SIP Schedule'!C3185+1,"")</f>
        <v/>
      </c>
      <c r="D3186" s="27" t="str">
        <f>IF(C3186&lt;='Investment Calculator'!$C$8*'Investment Calculator'!$F$4,'Investment Calculator'!$C$6,"")</f>
        <v/>
      </c>
      <c r="E3186" s="27" t="str">
        <f>IFERROR((F3185+D3186)*'Investment Calculator'!$C$7/'Investment Calculator'!$F$4,"")</f>
        <v/>
      </c>
      <c r="F3186" s="27" t="str">
        <f>IFERROR(ABS(FV('Investment Calculator'!$C$7/'Investment Calculator'!$F$4,'SIP Schedule'!C3186,'SIP Schedule'!D3186,,1)),"")</f>
        <v/>
      </c>
    </row>
    <row r="3187" spans="3:6" x14ac:dyDescent="0.3">
      <c r="C3187" s="1" t="str">
        <f>IF(C3186&lt;'Investment Calculator'!$C$8*'Investment Calculator'!$F$4,'SIP Schedule'!C3186+1,"")</f>
        <v/>
      </c>
      <c r="D3187" s="27" t="str">
        <f>IF(C3187&lt;='Investment Calculator'!$C$8*'Investment Calculator'!$F$4,'Investment Calculator'!$C$6,"")</f>
        <v/>
      </c>
      <c r="E3187" s="27" t="str">
        <f>IFERROR((F3186+D3187)*'Investment Calculator'!$C$7/'Investment Calculator'!$F$4,"")</f>
        <v/>
      </c>
      <c r="F3187" s="27" t="str">
        <f>IFERROR(ABS(FV('Investment Calculator'!$C$7/'Investment Calculator'!$F$4,'SIP Schedule'!C3187,'SIP Schedule'!D3187,,1)),"")</f>
        <v/>
      </c>
    </row>
    <row r="3188" spans="3:6" x14ac:dyDescent="0.3">
      <c r="C3188" s="1" t="str">
        <f>IF(C3187&lt;'Investment Calculator'!$C$8*'Investment Calculator'!$F$4,'SIP Schedule'!C3187+1,"")</f>
        <v/>
      </c>
      <c r="D3188" s="27" t="str">
        <f>IF(C3188&lt;='Investment Calculator'!$C$8*'Investment Calculator'!$F$4,'Investment Calculator'!$C$6,"")</f>
        <v/>
      </c>
      <c r="E3188" s="27" t="str">
        <f>IFERROR((F3187+D3188)*'Investment Calculator'!$C$7/'Investment Calculator'!$F$4,"")</f>
        <v/>
      </c>
      <c r="F3188" s="27" t="str">
        <f>IFERROR(ABS(FV('Investment Calculator'!$C$7/'Investment Calculator'!$F$4,'SIP Schedule'!C3188,'SIP Schedule'!D3188,,1)),"")</f>
        <v/>
      </c>
    </row>
    <row r="3189" spans="3:6" x14ac:dyDescent="0.3">
      <c r="C3189" s="1" t="str">
        <f>IF(C3188&lt;'Investment Calculator'!$C$8*'Investment Calculator'!$F$4,'SIP Schedule'!C3188+1,"")</f>
        <v/>
      </c>
      <c r="D3189" s="27" t="str">
        <f>IF(C3189&lt;='Investment Calculator'!$C$8*'Investment Calculator'!$F$4,'Investment Calculator'!$C$6,"")</f>
        <v/>
      </c>
      <c r="E3189" s="27" t="str">
        <f>IFERROR((F3188+D3189)*'Investment Calculator'!$C$7/'Investment Calculator'!$F$4,"")</f>
        <v/>
      </c>
      <c r="F3189" s="27" t="str">
        <f>IFERROR(ABS(FV('Investment Calculator'!$C$7/'Investment Calculator'!$F$4,'SIP Schedule'!C3189,'SIP Schedule'!D3189,,1)),"")</f>
        <v/>
      </c>
    </row>
    <row r="3190" spans="3:6" x14ac:dyDescent="0.3">
      <c r="C3190" s="1" t="str">
        <f>IF(C3189&lt;'Investment Calculator'!$C$8*'Investment Calculator'!$F$4,'SIP Schedule'!C3189+1,"")</f>
        <v/>
      </c>
      <c r="D3190" s="27" t="str">
        <f>IF(C3190&lt;='Investment Calculator'!$C$8*'Investment Calculator'!$F$4,'Investment Calculator'!$C$6,"")</f>
        <v/>
      </c>
      <c r="E3190" s="27" t="str">
        <f>IFERROR((F3189+D3190)*'Investment Calculator'!$C$7/'Investment Calculator'!$F$4,"")</f>
        <v/>
      </c>
      <c r="F3190" s="27" t="str">
        <f>IFERROR(ABS(FV('Investment Calculator'!$C$7/'Investment Calculator'!$F$4,'SIP Schedule'!C3190,'SIP Schedule'!D3190,,1)),"")</f>
        <v/>
      </c>
    </row>
    <row r="3191" spans="3:6" x14ac:dyDescent="0.3">
      <c r="C3191" s="1" t="str">
        <f>IF(C3190&lt;'Investment Calculator'!$C$8*'Investment Calculator'!$F$4,'SIP Schedule'!C3190+1,"")</f>
        <v/>
      </c>
      <c r="D3191" s="27" t="str">
        <f>IF(C3191&lt;='Investment Calculator'!$C$8*'Investment Calculator'!$F$4,'Investment Calculator'!$C$6,"")</f>
        <v/>
      </c>
      <c r="E3191" s="27" t="str">
        <f>IFERROR((F3190+D3191)*'Investment Calculator'!$C$7/'Investment Calculator'!$F$4,"")</f>
        <v/>
      </c>
      <c r="F3191" s="27" t="str">
        <f>IFERROR(ABS(FV('Investment Calculator'!$C$7/'Investment Calculator'!$F$4,'SIP Schedule'!C3191,'SIP Schedule'!D3191,,1)),"")</f>
        <v/>
      </c>
    </row>
    <row r="3192" spans="3:6" x14ac:dyDescent="0.3">
      <c r="C3192" s="1" t="str">
        <f>IF(C3191&lt;'Investment Calculator'!$C$8*'Investment Calculator'!$F$4,'SIP Schedule'!C3191+1,"")</f>
        <v/>
      </c>
      <c r="D3192" s="27" t="str">
        <f>IF(C3192&lt;='Investment Calculator'!$C$8*'Investment Calculator'!$F$4,'Investment Calculator'!$C$6,"")</f>
        <v/>
      </c>
      <c r="E3192" s="27" t="str">
        <f>IFERROR((F3191+D3192)*'Investment Calculator'!$C$7/'Investment Calculator'!$F$4,"")</f>
        <v/>
      </c>
      <c r="F3192" s="27" t="str">
        <f>IFERROR(ABS(FV('Investment Calculator'!$C$7/'Investment Calculator'!$F$4,'SIP Schedule'!C3192,'SIP Schedule'!D3192,,1)),"")</f>
        <v/>
      </c>
    </row>
    <row r="3193" spans="3:6" x14ac:dyDescent="0.3">
      <c r="C3193" s="1" t="str">
        <f>IF(C3192&lt;'Investment Calculator'!$C$8*'Investment Calculator'!$F$4,'SIP Schedule'!C3192+1,"")</f>
        <v/>
      </c>
      <c r="D3193" s="27" t="str">
        <f>IF(C3193&lt;='Investment Calculator'!$C$8*'Investment Calculator'!$F$4,'Investment Calculator'!$C$6,"")</f>
        <v/>
      </c>
      <c r="E3193" s="27" t="str">
        <f>IFERROR((F3192+D3193)*'Investment Calculator'!$C$7/'Investment Calculator'!$F$4,"")</f>
        <v/>
      </c>
      <c r="F3193" s="27" t="str">
        <f>IFERROR(ABS(FV('Investment Calculator'!$C$7/'Investment Calculator'!$F$4,'SIP Schedule'!C3193,'SIP Schedule'!D3193,,1)),"")</f>
        <v/>
      </c>
    </row>
    <row r="3194" spans="3:6" x14ac:dyDescent="0.3">
      <c r="C3194" s="1" t="str">
        <f>IF(C3193&lt;'Investment Calculator'!$C$8*'Investment Calculator'!$F$4,'SIP Schedule'!C3193+1,"")</f>
        <v/>
      </c>
      <c r="D3194" s="27" t="str">
        <f>IF(C3194&lt;='Investment Calculator'!$C$8*'Investment Calculator'!$F$4,'Investment Calculator'!$C$6,"")</f>
        <v/>
      </c>
      <c r="E3194" s="27" t="str">
        <f>IFERROR((F3193+D3194)*'Investment Calculator'!$C$7/'Investment Calculator'!$F$4,"")</f>
        <v/>
      </c>
      <c r="F3194" s="27" t="str">
        <f>IFERROR(ABS(FV('Investment Calculator'!$C$7/'Investment Calculator'!$F$4,'SIP Schedule'!C3194,'SIP Schedule'!D3194,,1)),"")</f>
        <v/>
      </c>
    </row>
    <row r="3195" spans="3:6" x14ac:dyDescent="0.3">
      <c r="C3195" s="1" t="str">
        <f>IF(C3194&lt;'Investment Calculator'!$C$8*'Investment Calculator'!$F$4,'SIP Schedule'!C3194+1,"")</f>
        <v/>
      </c>
      <c r="D3195" s="27" t="str">
        <f>IF(C3195&lt;='Investment Calculator'!$C$8*'Investment Calculator'!$F$4,'Investment Calculator'!$C$6,"")</f>
        <v/>
      </c>
      <c r="E3195" s="27" t="str">
        <f>IFERROR((F3194+D3195)*'Investment Calculator'!$C$7/'Investment Calculator'!$F$4,"")</f>
        <v/>
      </c>
      <c r="F3195" s="27" t="str">
        <f>IFERROR(ABS(FV('Investment Calculator'!$C$7/'Investment Calculator'!$F$4,'SIP Schedule'!C3195,'SIP Schedule'!D3195,,1)),"")</f>
        <v/>
      </c>
    </row>
    <row r="3196" spans="3:6" x14ac:dyDescent="0.3">
      <c r="C3196" s="1" t="str">
        <f>IF(C3195&lt;'Investment Calculator'!$C$8*'Investment Calculator'!$F$4,'SIP Schedule'!C3195+1,"")</f>
        <v/>
      </c>
      <c r="D3196" s="27" t="str">
        <f>IF(C3196&lt;='Investment Calculator'!$C$8*'Investment Calculator'!$F$4,'Investment Calculator'!$C$6,"")</f>
        <v/>
      </c>
      <c r="E3196" s="27" t="str">
        <f>IFERROR((F3195+D3196)*'Investment Calculator'!$C$7/'Investment Calculator'!$F$4,"")</f>
        <v/>
      </c>
      <c r="F3196" s="27" t="str">
        <f>IFERROR(ABS(FV('Investment Calculator'!$C$7/'Investment Calculator'!$F$4,'SIP Schedule'!C3196,'SIP Schedule'!D3196,,1)),"")</f>
        <v/>
      </c>
    </row>
    <row r="3197" spans="3:6" x14ac:dyDescent="0.3">
      <c r="C3197" s="1" t="str">
        <f>IF(C3196&lt;'Investment Calculator'!$C$8*'Investment Calculator'!$F$4,'SIP Schedule'!C3196+1,"")</f>
        <v/>
      </c>
      <c r="D3197" s="27" t="str">
        <f>IF(C3197&lt;='Investment Calculator'!$C$8*'Investment Calculator'!$F$4,'Investment Calculator'!$C$6,"")</f>
        <v/>
      </c>
      <c r="E3197" s="27" t="str">
        <f>IFERROR((F3196+D3197)*'Investment Calculator'!$C$7/'Investment Calculator'!$F$4,"")</f>
        <v/>
      </c>
      <c r="F3197" s="27" t="str">
        <f>IFERROR(ABS(FV('Investment Calculator'!$C$7/'Investment Calculator'!$F$4,'SIP Schedule'!C3197,'SIP Schedule'!D3197,,1)),"")</f>
        <v/>
      </c>
    </row>
    <row r="3198" spans="3:6" x14ac:dyDescent="0.3">
      <c r="C3198" s="1" t="str">
        <f>IF(C3197&lt;'Investment Calculator'!$C$8*'Investment Calculator'!$F$4,'SIP Schedule'!C3197+1,"")</f>
        <v/>
      </c>
      <c r="D3198" s="27" t="str">
        <f>IF(C3198&lt;='Investment Calculator'!$C$8*'Investment Calculator'!$F$4,'Investment Calculator'!$C$6,"")</f>
        <v/>
      </c>
      <c r="E3198" s="27" t="str">
        <f>IFERROR((F3197+D3198)*'Investment Calculator'!$C$7/'Investment Calculator'!$F$4,"")</f>
        <v/>
      </c>
      <c r="F3198" s="27" t="str">
        <f>IFERROR(ABS(FV('Investment Calculator'!$C$7/'Investment Calculator'!$F$4,'SIP Schedule'!C3198,'SIP Schedule'!D3198,,1)),"")</f>
        <v/>
      </c>
    </row>
    <row r="3199" spans="3:6" x14ac:dyDescent="0.3">
      <c r="C3199" s="1" t="str">
        <f>IF(C3198&lt;'Investment Calculator'!$C$8*'Investment Calculator'!$F$4,'SIP Schedule'!C3198+1,"")</f>
        <v/>
      </c>
      <c r="D3199" s="27" t="str">
        <f>IF(C3199&lt;='Investment Calculator'!$C$8*'Investment Calculator'!$F$4,'Investment Calculator'!$C$6,"")</f>
        <v/>
      </c>
      <c r="E3199" s="27" t="str">
        <f>IFERROR((F3198+D3199)*'Investment Calculator'!$C$7/'Investment Calculator'!$F$4,"")</f>
        <v/>
      </c>
      <c r="F3199" s="27" t="str">
        <f>IFERROR(ABS(FV('Investment Calculator'!$C$7/'Investment Calculator'!$F$4,'SIP Schedule'!C3199,'SIP Schedule'!D3199,,1)),"")</f>
        <v/>
      </c>
    </row>
    <row r="3200" spans="3:6" x14ac:dyDescent="0.3">
      <c r="C3200" s="1" t="str">
        <f>IF(C3199&lt;'Investment Calculator'!$C$8*'Investment Calculator'!$F$4,'SIP Schedule'!C3199+1,"")</f>
        <v/>
      </c>
      <c r="D3200" s="27" t="str">
        <f>IF(C3200&lt;='Investment Calculator'!$C$8*'Investment Calculator'!$F$4,'Investment Calculator'!$C$6,"")</f>
        <v/>
      </c>
      <c r="E3200" s="27" t="str">
        <f>IFERROR((F3199+D3200)*'Investment Calculator'!$C$7/'Investment Calculator'!$F$4,"")</f>
        <v/>
      </c>
      <c r="F3200" s="27" t="str">
        <f>IFERROR(ABS(FV('Investment Calculator'!$C$7/'Investment Calculator'!$F$4,'SIP Schedule'!C3200,'SIP Schedule'!D3200,,1)),"")</f>
        <v/>
      </c>
    </row>
    <row r="3201" spans="3:6" x14ac:dyDescent="0.3">
      <c r="C3201" s="1" t="str">
        <f>IF(C3200&lt;'Investment Calculator'!$C$8*'Investment Calculator'!$F$4,'SIP Schedule'!C3200+1,"")</f>
        <v/>
      </c>
      <c r="D3201" s="27" t="str">
        <f>IF(C3201&lt;='Investment Calculator'!$C$8*'Investment Calculator'!$F$4,'Investment Calculator'!$C$6,"")</f>
        <v/>
      </c>
      <c r="E3201" s="27" t="str">
        <f>IFERROR((F3200+D3201)*'Investment Calculator'!$C$7/'Investment Calculator'!$F$4,"")</f>
        <v/>
      </c>
      <c r="F3201" s="27" t="str">
        <f>IFERROR(ABS(FV('Investment Calculator'!$C$7/'Investment Calculator'!$F$4,'SIP Schedule'!C3201,'SIP Schedule'!D3201,,1)),"")</f>
        <v/>
      </c>
    </row>
    <row r="3202" spans="3:6" x14ac:dyDescent="0.3">
      <c r="C3202" s="1" t="str">
        <f>IF(C3201&lt;'Investment Calculator'!$C$8*'Investment Calculator'!$F$4,'SIP Schedule'!C3201+1,"")</f>
        <v/>
      </c>
      <c r="D3202" s="27" t="str">
        <f>IF(C3202&lt;='Investment Calculator'!$C$8*'Investment Calculator'!$F$4,'Investment Calculator'!$C$6,"")</f>
        <v/>
      </c>
      <c r="E3202" s="27" t="str">
        <f>IFERROR((F3201+D3202)*'Investment Calculator'!$C$7/'Investment Calculator'!$F$4,"")</f>
        <v/>
      </c>
      <c r="F3202" s="27" t="str">
        <f>IFERROR(ABS(FV('Investment Calculator'!$C$7/'Investment Calculator'!$F$4,'SIP Schedule'!C3202,'SIP Schedule'!D3202,,1)),"")</f>
        <v/>
      </c>
    </row>
    <row r="3203" spans="3:6" x14ac:dyDescent="0.3">
      <c r="C3203" s="1" t="str">
        <f>IF(C3202&lt;'Investment Calculator'!$C$8*'Investment Calculator'!$F$4,'SIP Schedule'!C3202+1,"")</f>
        <v/>
      </c>
      <c r="D3203" s="27" t="str">
        <f>IF(C3203&lt;='Investment Calculator'!$C$8*'Investment Calculator'!$F$4,'Investment Calculator'!$C$6,"")</f>
        <v/>
      </c>
      <c r="E3203" s="27" t="str">
        <f>IFERROR((F3202+D3203)*'Investment Calculator'!$C$7/'Investment Calculator'!$F$4,"")</f>
        <v/>
      </c>
      <c r="F3203" s="27" t="str">
        <f>IFERROR(ABS(FV('Investment Calculator'!$C$7/'Investment Calculator'!$F$4,'SIP Schedule'!C3203,'SIP Schedule'!D3203,,1)),"")</f>
        <v/>
      </c>
    </row>
    <row r="3204" spans="3:6" x14ac:dyDescent="0.3">
      <c r="C3204" s="1" t="str">
        <f>IF(C3203&lt;'Investment Calculator'!$C$8*'Investment Calculator'!$F$4,'SIP Schedule'!C3203+1,"")</f>
        <v/>
      </c>
      <c r="D3204" s="27" t="str">
        <f>IF(C3204&lt;='Investment Calculator'!$C$8*'Investment Calculator'!$F$4,'Investment Calculator'!$C$6,"")</f>
        <v/>
      </c>
      <c r="E3204" s="27" t="str">
        <f>IFERROR((F3203+D3204)*'Investment Calculator'!$C$7/'Investment Calculator'!$F$4,"")</f>
        <v/>
      </c>
      <c r="F3204" s="27" t="str">
        <f>IFERROR(ABS(FV('Investment Calculator'!$C$7/'Investment Calculator'!$F$4,'SIP Schedule'!C3204,'SIP Schedule'!D3204,,1)),"")</f>
        <v/>
      </c>
    </row>
    <row r="3205" spans="3:6" x14ac:dyDescent="0.3">
      <c r="C3205" s="1" t="str">
        <f>IF(C3204&lt;'Investment Calculator'!$C$8*'Investment Calculator'!$F$4,'SIP Schedule'!C3204+1,"")</f>
        <v/>
      </c>
      <c r="D3205" s="27" t="str">
        <f>IF(C3205&lt;='Investment Calculator'!$C$8*'Investment Calculator'!$F$4,'Investment Calculator'!$C$6,"")</f>
        <v/>
      </c>
      <c r="E3205" s="27" t="str">
        <f>IFERROR((F3204+D3205)*'Investment Calculator'!$C$7/'Investment Calculator'!$F$4,"")</f>
        <v/>
      </c>
      <c r="F3205" s="27" t="str">
        <f>IFERROR(ABS(FV('Investment Calculator'!$C$7/'Investment Calculator'!$F$4,'SIP Schedule'!C3205,'SIP Schedule'!D3205,,1)),"")</f>
        <v/>
      </c>
    </row>
    <row r="3206" spans="3:6" x14ac:dyDescent="0.3">
      <c r="C3206" s="1" t="str">
        <f>IF(C3205&lt;'Investment Calculator'!$C$8*'Investment Calculator'!$F$4,'SIP Schedule'!C3205+1,"")</f>
        <v/>
      </c>
      <c r="D3206" s="27" t="str">
        <f>IF(C3206&lt;='Investment Calculator'!$C$8*'Investment Calculator'!$F$4,'Investment Calculator'!$C$6,"")</f>
        <v/>
      </c>
      <c r="E3206" s="27" t="str">
        <f>IFERROR((F3205+D3206)*'Investment Calculator'!$C$7/'Investment Calculator'!$F$4,"")</f>
        <v/>
      </c>
      <c r="F3206" s="27" t="str">
        <f>IFERROR(ABS(FV('Investment Calculator'!$C$7/'Investment Calculator'!$F$4,'SIP Schedule'!C3206,'SIP Schedule'!D3206,,1)),"")</f>
        <v/>
      </c>
    </row>
    <row r="3207" spans="3:6" x14ac:dyDescent="0.3">
      <c r="C3207" s="1" t="str">
        <f>IF(C3206&lt;'Investment Calculator'!$C$8*'Investment Calculator'!$F$4,'SIP Schedule'!C3206+1,"")</f>
        <v/>
      </c>
      <c r="D3207" s="27" t="str">
        <f>IF(C3207&lt;='Investment Calculator'!$C$8*'Investment Calculator'!$F$4,'Investment Calculator'!$C$6,"")</f>
        <v/>
      </c>
      <c r="E3207" s="27" t="str">
        <f>IFERROR((F3206+D3207)*'Investment Calculator'!$C$7/'Investment Calculator'!$F$4,"")</f>
        <v/>
      </c>
      <c r="F3207" s="27" t="str">
        <f>IFERROR(ABS(FV('Investment Calculator'!$C$7/'Investment Calculator'!$F$4,'SIP Schedule'!C3207,'SIP Schedule'!D3207,,1)),"")</f>
        <v/>
      </c>
    </row>
    <row r="3208" spans="3:6" x14ac:dyDescent="0.3">
      <c r="C3208" s="1" t="str">
        <f>IF(C3207&lt;'Investment Calculator'!$C$8*'Investment Calculator'!$F$4,'SIP Schedule'!C3207+1,"")</f>
        <v/>
      </c>
      <c r="D3208" s="27" t="str">
        <f>IF(C3208&lt;='Investment Calculator'!$C$8*'Investment Calculator'!$F$4,'Investment Calculator'!$C$6,"")</f>
        <v/>
      </c>
      <c r="E3208" s="27" t="str">
        <f>IFERROR((F3207+D3208)*'Investment Calculator'!$C$7/'Investment Calculator'!$F$4,"")</f>
        <v/>
      </c>
      <c r="F3208" s="27" t="str">
        <f>IFERROR(ABS(FV('Investment Calculator'!$C$7/'Investment Calculator'!$F$4,'SIP Schedule'!C3208,'SIP Schedule'!D3208,,1)),"")</f>
        <v/>
      </c>
    </row>
    <row r="3209" spans="3:6" x14ac:dyDescent="0.3">
      <c r="C3209" s="1" t="str">
        <f>IF(C3208&lt;'Investment Calculator'!$C$8*'Investment Calculator'!$F$4,'SIP Schedule'!C3208+1,"")</f>
        <v/>
      </c>
      <c r="D3209" s="27" t="str">
        <f>IF(C3209&lt;='Investment Calculator'!$C$8*'Investment Calculator'!$F$4,'Investment Calculator'!$C$6,"")</f>
        <v/>
      </c>
      <c r="E3209" s="27" t="str">
        <f>IFERROR((F3208+D3209)*'Investment Calculator'!$C$7/'Investment Calculator'!$F$4,"")</f>
        <v/>
      </c>
      <c r="F3209" s="27" t="str">
        <f>IFERROR(ABS(FV('Investment Calculator'!$C$7/'Investment Calculator'!$F$4,'SIP Schedule'!C3209,'SIP Schedule'!D3209,,1)),"")</f>
        <v/>
      </c>
    </row>
    <row r="3210" spans="3:6" x14ac:dyDescent="0.3">
      <c r="C3210" s="1" t="str">
        <f>IF(C3209&lt;'Investment Calculator'!$C$8*'Investment Calculator'!$F$4,'SIP Schedule'!C3209+1,"")</f>
        <v/>
      </c>
      <c r="D3210" s="27" t="str">
        <f>IF(C3210&lt;='Investment Calculator'!$C$8*'Investment Calculator'!$F$4,'Investment Calculator'!$C$6,"")</f>
        <v/>
      </c>
      <c r="E3210" s="27" t="str">
        <f>IFERROR((F3209+D3210)*'Investment Calculator'!$C$7/'Investment Calculator'!$F$4,"")</f>
        <v/>
      </c>
      <c r="F3210" s="27" t="str">
        <f>IFERROR(ABS(FV('Investment Calculator'!$C$7/'Investment Calculator'!$F$4,'SIP Schedule'!C3210,'SIP Schedule'!D3210,,1)),"")</f>
        <v/>
      </c>
    </row>
    <row r="3211" spans="3:6" x14ac:dyDescent="0.3">
      <c r="C3211" s="1" t="str">
        <f>IF(C3210&lt;'Investment Calculator'!$C$8*'Investment Calculator'!$F$4,'SIP Schedule'!C3210+1,"")</f>
        <v/>
      </c>
      <c r="D3211" s="27" t="str">
        <f>IF(C3211&lt;='Investment Calculator'!$C$8*'Investment Calculator'!$F$4,'Investment Calculator'!$C$6,"")</f>
        <v/>
      </c>
      <c r="E3211" s="27" t="str">
        <f>IFERROR((F3210+D3211)*'Investment Calculator'!$C$7/'Investment Calculator'!$F$4,"")</f>
        <v/>
      </c>
      <c r="F3211" s="27" t="str">
        <f>IFERROR(ABS(FV('Investment Calculator'!$C$7/'Investment Calculator'!$F$4,'SIP Schedule'!C3211,'SIP Schedule'!D3211,,1)),"")</f>
        <v/>
      </c>
    </row>
    <row r="3212" spans="3:6" x14ac:dyDescent="0.3">
      <c r="C3212" s="1" t="str">
        <f>IF(C3211&lt;'Investment Calculator'!$C$8*'Investment Calculator'!$F$4,'SIP Schedule'!C3211+1,"")</f>
        <v/>
      </c>
      <c r="D3212" s="27" t="str">
        <f>IF(C3212&lt;='Investment Calculator'!$C$8*'Investment Calculator'!$F$4,'Investment Calculator'!$C$6,"")</f>
        <v/>
      </c>
      <c r="E3212" s="27" t="str">
        <f>IFERROR((F3211+D3212)*'Investment Calculator'!$C$7/'Investment Calculator'!$F$4,"")</f>
        <v/>
      </c>
      <c r="F3212" s="27" t="str">
        <f>IFERROR(ABS(FV('Investment Calculator'!$C$7/'Investment Calculator'!$F$4,'SIP Schedule'!C3212,'SIP Schedule'!D3212,,1)),"")</f>
        <v/>
      </c>
    </row>
    <row r="3213" spans="3:6" x14ac:dyDescent="0.3">
      <c r="C3213" s="1" t="str">
        <f>IF(C3212&lt;'Investment Calculator'!$C$8*'Investment Calculator'!$F$4,'SIP Schedule'!C3212+1,"")</f>
        <v/>
      </c>
      <c r="D3213" s="27" t="str">
        <f>IF(C3213&lt;='Investment Calculator'!$C$8*'Investment Calculator'!$F$4,'Investment Calculator'!$C$6,"")</f>
        <v/>
      </c>
      <c r="E3213" s="27" t="str">
        <f>IFERROR((F3212+D3213)*'Investment Calculator'!$C$7/'Investment Calculator'!$F$4,"")</f>
        <v/>
      </c>
      <c r="F3213" s="27" t="str">
        <f>IFERROR(ABS(FV('Investment Calculator'!$C$7/'Investment Calculator'!$F$4,'SIP Schedule'!C3213,'SIP Schedule'!D3213,,1)),"")</f>
        <v/>
      </c>
    </row>
    <row r="3214" spans="3:6" x14ac:dyDescent="0.3">
      <c r="C3214" s="1" t="str">
        <f>IF(C3213&lt;'Investment Calculator'!$C$8*'Investment Calculator'!$F$4,'SIP Schedule'!C3213+1,"")</f>
        <v/>
      </c>
      <c r="D3214" s="27" t="str">
        <f>IF(C3214&lt;='Investment Calculator'!$C$8*'Investment Calculator'!$F$4,'Investment Calculator'!$C$6,"")</f>
        <v/>
      </c>
      <c r="E3214" s="27" t="str">
        <f>IFERROR((F3213+D3214)*'Investment Calculator'!$C$7/'Investment Calculator'!$F$4,"")</f>
        <v/>
      </c>
      <c r="F3214" s="27" t="str">
        <f>IFERROR(ABS(FV('Investment Calculator'!$C$7/'Investment Calculator'!$F$4,'SIP Schedule'!C3214,'SIP Schedule'!D3214,,1)),"")</f>
        <v/>
      </c>
    </row>
    <row r="3215" spans="3:6" x14ac:dyDescent="0.3">
      <c r="C3215" s="1" t="str">
        <f>IF(C3214&lt;'Investment Calculator'!$C$8*'Investment Calculator'!$F$4,'SIP Schedule'!C3214+1,"")</f>
        <v/>
      </c>
      <c r="D3215" s="27" t="str">
        <f>IF(C3215&lt;='Investment Calculator'!$C$8*'Investment Calculator'!$F$4,'Investment Calculator'!$C$6,"")</f>
        <v/>
      </c>
      <c r="E3215" s="27" t="str">
        <f>IFERROR((F3214+D3215)*'Investment Calculator'!$C$7/'Investment Calculator'!$F$4,"")</f>
        <v/>
      </c>
      <c r="F3215" s="27" t="str">
        <f>IFERROR(ABS(FV('Investment Calculator'!$C$7/'Investment Calculator'!$F$4,'SIP Schedule'!C3215,'SIP Schedule'!D3215,,1)),"")</f>
        <v/>
      </c>
    </row>
    <row r="3216" spans="3:6" x14ac:dyDescent="0.3">
      <c r="C3216" s="1" t="str">
        <f>IF(C3215&lt;'Investment Calculator'!$C$8*'Investment Calculator'!$F$4,'SIP Schedule'!C3215+1,"")</f>
        <v/>
      </c>
      <c r="D3216" s="27" t="str">
        <f>IF(C3216&lt;='Investment Calculator'!$C$8*'Investment Calculator'!$F$4,'Investment Calculator'!$C$6,"")</f>
        <v/>
      </c>
      <c r="E3216" s="27" t="str">
        <f>IFERROR((F3215+D3216)*'Investment Calculator'!$C$7/'Investment Calculator'!$F$4,"")</f>
        <v/>
      </c>
      <c r="F3216" s="27" t="str">
        <f>IFERROR(ABS(FV('Investment Calculator'!$C$7/'Investment Calculator'!$F$4,'SIP Schedule'!C3216,'SIP Schedule'!D3216,,1)),"")</f>
        <v/>
      </c>
    </row>
    <row r="3217" spans="3:6" x14ac:dyDescent="0.3">
      <c r="C3217" s="1" t="str">
        <f>IF(C3216&lt;'Investment Calculator'!$C$8*'Investment Calculator'!$F$4,'SIP Schedule'!C3216+1,"")</f>
        <v/>
      </c>
      <c r="D3217" s="27" t="str">
        <f>IF(C3217&lt;='Investment Calculator'!$C$8*'Investment Calculator'!$F$4,'Investment Calculator'!$C$6,"")</f>
        <v/>
      </c>
      <c r="E3217" s="27" t="str">
        <f>IFERROR((F3216+D3217)*'Investment Calculator'!$C$7/'Investment Calculator'!$F$4,"")</f>
        <v/>
      </c>
      <c r="F3217" s="27" t="str">
        <f>IFERROR(ABS(FV('Investment Calculator'!$C$7/'Investment Calculator'!$F$4,'SIP Schedule'!C3217,'SIP Schedule'!D3217,,1)),"")</f>
        <v/>
      </c>
    </row>
    <row r="3218" spans="3:6" x14ac:dyDescent="0.3">
      <c r="C3218" s="1" t="str">
        <f>IF(C3217&lt;'Investment Calculator'!$C$8*'Investment Calculator'!$F$4,'SIP Schedule'!C3217+1,"")</f>
        <v/>
      </c>
      <c r="D3218" s="27" t="str">
        <f>IF(C3218&lt;='Investment Calculator'!$C$8*'Investment Calculator'!$F$4,'Investment Calculator'!$C$6,"")</f>
        <v/>
      </c>
      <c r="E3218" s="27" t="str">
        <f>IFERROR((F3217+D3218)*'Investment Calculator'!$C$7/'Investment Calculator'!$F$4,"")</f>
        <v/>
      </c>
      <c r="F3218" s="27" t="str">
        <f>IFERROR(ABS(FV('Investment Calculator'!$C$7/'Investment Calculator'!$F$4,'SIP Schedule'!C3218,'SIP Schedule'!D3218,,1)),"")</f>
        <v/>
      </c>
    </row>
    <row r="3219" spans="3:6" x14ac:dyDescent="0.3">
      <c r="C3219" s="1" t="str">
        <f>IF(C3218&lt;'Investment Calculator'!$C$8*'Investment Calculator'!$F$4,'SIP Schedule'!C3218+1,"")</f>
        <v/>
      </c>
      <c r="D3219" s="27" t="str">
        <f>IF(C3219&lt;='Investment Calculator'!$C$8*'Investment Calculator'!$F$4,'Investment Calculator'!$C$6,"")</f>
        <v/>
      </c>
      <c r="E3219" s="27" t="str">
        <f>IFERROR((F3218+D3219)*'Investment Calculator'!$C$7/'Investment Calculator'!$F$4,"")</f>
        <v/>
      </c>
      <c r="F3219" s="27" t="str">
        <f>IFERROR(ABS(FV('Investment Calculator'!$C$7/'Investment Calculator'!$F$4,'SIP Schedule'!C3219,'SIP Schedule'!D3219,,1)),"")</f>
        <v/>
      </c>
    </row>
    <row r="3220" spans="3:6" x14ac:dyDescent="0.3">
      <c r="C3220" s="1" t="str">
        <f>IF(C3219&lt;'Investment Calculator'!$C$8*'Investment Calculator'!$F$4,'SIP Schedule'!C3219+1,"")</f>
        <v/>
      </c>
      <c r="D3220" s="27" t="str">
        <f>IF(C3220&lt;='Investment Calculator'!$C$8*'Investment Calculator'!$F$4,'Investment Calculator'!$C$6,"")</f>
        <v/>
      </c>
      <c r="E3220" s="27" t="str">
        <f>IFERROR((F3219+D3220)*'Investment Calculator'!$C$7/'Investment Calculator'!$F$4,"")</f>
        <v/>
      </c>
      <c r="F3220" s="27" t="str">
        <f>IFERROR(ABS(FV('Investment Calculator'!$C$7/'Investment Calculator'!$F$4,'SIP Schedule'!C3220,'SIP Schedule'!D3220,,1)),"")</f>
        <v/>
      </c>
    </row>
    <row r="3221" spans="3:6" x14ac:dyDescent="0.3">
      <c r="C3221" s="1" t="str">
        <f>IF(C3220&lt;'Investment Calculator'!$C$8*'Investment Calculator'!$F$4,'SIP Schedule'!C3220+1,"")</f>
        <v/>
      </c>
      <c r="D3221" s="27" t="str">
        <f>IF(C3221&lt;='Investment Calculator'!$C$8*'Investment Calculator'!$F$4,'Investment Calculator'!$C$6,"")</f>
        <v/>
      </c>
      <c r="E3221" s="27" t="str">
        <f>IFERROR((F3220+D3221)*'Investment Calculator'!$C$7/'Investment Calculator'!$F$4,"")</f>
        <v/>
      </c>
      <c r="F3221" s="27" t="str">
        <f>IFERROR(ABS(FV('Investment Calculator'!$C$7/'Investment Calculator'!$F$4,'SIP Schedule'!C3221,'SIP Schedule'!D3221,,1)),"")</f>
        <v/>
      </c>
    </row>
    <row r="3222" spans="3:6" x14ac:dyDescent="0.3">
      <c r="C3222" s="1" t="str">
        <f>IF(C3221&lt;'Investment Calculator'!$C$8*'Investment Calculator'!$F$4,'SIP Schedule'!C3221+1,"")</f>
        <v/>
      </c>
      <c r="D3222" s="27" t="str">
        <f>IF(C3222&lt;='Investment Calculator'!$C$8*'Investment Calculator'!$F$4,'Investment Calculator'!$C$6,"")</f>
        <v/>
      </c>
      <c r="E3222" s="27" t="str">
        <f>IFERROR((F3221+D3222)*'Investment Calculator'!$C$7/'Investment Calculator'!$F$4,"")</f>
        <v/>
      </c>
      <c r="F3222" s="27" t="str">
        <f>IFERROR(ABS(FV('Investment Calculator'!$C$7/'Investment Calculator'!$F$4,'SIP Schedule'!C3222,'SIP Schedule'!D3222,,1)),"")</f>
        <v/>
      </c>
    </row>
    <row r="3223" spans="3:6" x14ac:dyDescent="0.3">
      <c r="C3223" s="1" t="str">
        <f>IF(C3222&lt;'Investment Calculator'!$C$8*'Investment Calculator'!$F$4,'SIP Schedule'!C3222+1,"")</f>
        <v/>
      </c>
      <c r="D3223" s="27" t="str">
        <f>IF(C3223&lt;='Investment Calculator'!$C$8*'Investment Calculator'!$F$4,'Investment Calculator'!$C$6,"")</f>
        <v/>
      </c>
      <c r="E3223" s="27" t="str">
        <f>IFERROR((F3222+D3223)*'Investment Calculator'!$C$7/'Investment Calculator'!$F$4,"")</f>
        <v/>
      </c>
      <c r="F3223" s="27" t="str">
        <f>IFERROR(ABS(FV('Investment Calculator'!$C$7/'Investment Calculator'!$F$4,'SIP Schedule'!C3223,'SIP Schedule'!D3223,,1)),"")</f>
        <v/>
      </c>
    </row>
    <row r="3224" spans="3:6" x14ac:dyDescent="0.3">
      <c r="C3224" s="1" t="str">
        <f>IF(C3223&lt;'Investment Calculator'!$C$8*'Investment Calculator'!$F$4,'SIP Schedule'!C3223+1,"")</f>
        <v/>
      </c>
      <c r="D3224" s="27" t="str">
        <f>IF(C3224&lt;='Investment Calculator'!$C$8*'Investment Calculator'!$F$4,'Investment Calculator'!$C$6,"")</f>
        <v/>
      </c>
      <c r="E3224" s="27" t="str">
        <f>IFERROR((F3223+D3224)*'Investment Calculator'!$C$7/'Investment Calculator'!$F$4,"")</f>
        <v/>
      </c>
      <c r="F3224" s="27" t="str">
        <f>IFERROR(ABS(FV('Investment Calculator'!$C$7/'Investment Calculator'!$F$4,'SIP Schedule'!C3224,'SIP Schedule'!D3224,,1)),"")</f>
        <v/>
      </c>
    </row>
    <row r="3225" spans="3:6" x14ac:dyDescent="0.3">
      <c r="C3225" s="1" t="str">
        <f>IF(C3224&lt;'Investment Calculator'!$C$8*'Investment Calculator'!$F$4,'SIP Schedule'!C3224+1,"")</f>
        <v/>
      </c>
      <c r="D3225" s="27" t="str">
        <f>IF(C3225&lt;='Investment Calculator'!$C$8*'Investment Calculator'!$F$4,'Investment Calculator'!$C$6,"")</f>
        <v/>
      </c>
      <c r="E3225" s="27" t="str">
        <f>IFERROR((F3224+D3225)*'Investment Calculator'!$C$7/'Investment Calculator'!$F$4,"")</f>
        <v/>
      </c>
      <c r="F3225" s="27" t="str">
        <f>IFERROR(ABS(FV('Investment Calculator'!$C$7/'Investment Calculator'!$F$4,'SIP Schedule'!C3225,'SIP Schedule'!D3225,,1)),"")</f>
        <v/>
      </c>
    </row>
    <row r="3226" spans="3:6" x14ac:dyDescent="0.3">
      <c r="C3226" s="1" t="str">
        <f>IF(C3225&lt;'Investment Calculator'!$C$8*'Investment Calculator'!$F$4,'SIP Schedule'!C3225+1,"")</f>
        <v/>
      </c>
      <c r="D3226" s="27" t="str">
        <f>IF(C3226&lt;='Investment Calculator'!$C$8*'Investment Calculator'!$F$4,'Investment Calculator'!$C$6,"")</f>
        <v/>
      </c>
      <c r="E3226" s="27" t="str">
        <f>IFERROR((F3225+D3226)*'Investment Calculator'!$C$7/'Investment Calculator'!$F$4,"")</f>
        <v/>
      </c>
      <c r="F3226" s="27" t="str">
        <f>IFERROR(ABS(FV('Investment Calculator'!$C$7/'Investment Calculator'!$F$4,'SIP Schedule'!C3226,'SIP Schedule'!D3226,,1)),"")</f>
        <v/>
      </c>
    </row>
    <row r="3227" spans="3:6" x14ac:dyDescent="0.3">
      <c r="C3227" s="1" t="str">
        <f>IF(C3226&lt;'Investment Calculator'!$C$8*'Investment Calculator'!$F$4,'SIP Schedule'!C3226+1,"")</f>
        <v/>
      </c>
      <c r="D3227" s="27" t="str">
        <f>IF(C3227&lt;='Investment Calculator'!$C$8*'Investment Calculator'!$F$4,'Investment Calculator'!$C$6,"")</f>
        <v/>
      </c>
      <c r="E3227" s="27" t="str">
        <f>IFERROR((F3226+D3227)*'Investment Calculator'!$C$7/'Investment Calculator'!$F$4,"")</f>
        <v/>
      </c>
      <c r="F3227" s="27" t="str">
        <f>IFERROR(ABS(FV('Investment Calculator'!$C$7/'Investment Calculator'!$F$4,'SIP Schedule'!C3227,'SIP Schedule'!D3227,,1)),"")</f>
        <v/>
      </c>
    </row>
    <row r="3228" spans="3:6" x14ac:dyDescent="0.3">
      <c r="C3228" s="1" t="str">
        <f>IF(C3227&lt;'Investment Calculator'!$C$8*'Investment Calculator'!$F$4,'SIP Schedule'!C3227+1,"")</f>
        <v/>
      </c>
      <c r="D3228" s="27" t="str">
        <f>IF(C3228&lt;='Investment Calculator'!$C$8*'Investment Calculator'!$F$4,'Investment Calculator'!$C$6,"")</f>
        <v/>
      </c>
      <c r="E3228" s="27" t="str">
        <f>IFERROR((F3227+D3228)*'Investment Calculator'!$C$7/'Investment Calculator'!$F$4,"")</f>
        <v/>
      </c>
      <c r="F3228" s="27" t="str">
        <f>IFERROR(ABS(FV('Investment Calculator'!$C$7/'Investment Calculator'!$F$4,'SIP Schedule'!C3228,'SIP Schedule'!D3228,,1)),"")</f>
        <v/>
      </c>
    </row>
    <row r="3229" spans="3:6" x14ac:dyDescent="0.3">
      <c r="C3229" s="1" t="str">
        <f>IF(C3228&lt;'Investment Calculator'!$C$8*'Investment Calculator'!$F$4,'SIP Schedule'!C3228+1,"")</f>
        <v/>
      </c>
      <c r="D3229" s="27" t="str">
        <f>IF(C3229&lt;='Investment Calculator'!$C$8*'Investment Calculator'!$F$4,'Investment Calculator'!$C$6,"")</f>
        <v/>
      </c>
      <c r="E3229" s="27" t="str">
        <f>IFERROR((F3228+D3229)*'Investment Calculator'!$C$7/'Investment Calculator'!$F$4,"")</f>
        <v/>
      </c>
      <c r="F3229" s="27" t="str">
        <f>IFERROR(ABS(FV('Investment Calculator'!$C$7/'Investment Calculator'!$F$4,'SIP Schedule'!C3229,'SIP Schedule'!D3229,,1)),"")</f>
        <v/>
      </c>
    </row>
    <row r="3230" spans="3:6" x14ac:dyDescent="0.3">
      <c r="C3230" s="1" t="str">
        <f>IF(C3229&lt;'Investment Calculator'!$C$8*'Investment Calculator'!$F$4,'SIP Schedule'!C3229+1,"")</f>
        <v/>
      </c>
      <c r="D3230" s="27" t="str">
        <f>IF(C3230&lt;='Investment Calculator'!$C$8*'Investment Calculator'!$F$4,'Investment Calculator'!$C$6,"")</f>
        <v/>
      </c>
      <c r="E3230" s="27" t="str">
        <f>IFERROR((F3229+D3230)*'Investment Calculator'!$C$7/'Investment Calculator'!$F$4,"")</f>
        <v/>
      </c>
      <c r="F3230" s="27" t="str">
        <f>IFERROR(ABS(FV('Investment Calculator'!$C$7/'Investment Calculator'!$F$4,'SIP Schedule'!C3230,'SIP Schedule'!D3230,,1)),"")</f>
        <v/>
      </c>
    </row>
    <row r="3231" spans="3:6" x14ac:dyDescent="0.3">
      <c r="C3231" s="1" t="str">
        <f>IF(C3230&lt;'Investment Calculator'!$C$8*'Investment Calculator'!$F$4,'SIP Schedule'!C3230+1,"")</f>
        <v/>
      </c>
      <c r="D3231" s="27" t="str">
        <f>IF(C3231&lt;='Investment Calculator'!$C$8*'Investment Calculator'!$F$4,'Investment Calculator'!$C$6,"")</f>
        <v/>
      </c>
      <c r="E3231" s="27" t="str">
        <f>IFERROR((F3230+D3231)*'Investment Calculator'!$C$7/'Investment Calculator'!$F$4,"")</f>
        <v/>
      </c>
      <c r="F3231" s="27" t="str">
        <f>IFERROR(ABS(FV('Investment Calculator'!$C$7/'Investment Calculator'!$F$4,'SIP Schedule'!C3231,'SIP Schedule'!D3231,,1)),"")</f>
        <v/>
      </c>
    </row>
    <row r="3232" spans="3:6" x14ac:dyDescent="0.3">
      <c r="C3232" s="1" t="str">
        <f>IF(C3231&lt;'Investment Calculator'!$C$8*'Investment Calculator'!$F$4,'SIP Schedule'!C3231+1,"")</f>
        <v/>
      </c>
      <c r="D3232" s="27" t="str">
        <f>IF(C3232&lt;='Investment Calculator'!$C$8*'Investment Calculator'!$F$4,'Investment Calculator'!$C$6,"")</f>
        <v/>
      </c>
      <c r="E3232" s="27" t="str">
        <f>IFERROR((F3231+D3232)*'Investment Calculator'!$C$7/'Investment Calculator'!$F$4,"")</f>
        <v/>
      </c>
      <c r="F3232" s="27" t="str">
        <f>IFERROR(ABS(FV('Investment Calculator'!$C$7/'Investment Calculator'!$F$4,'SIP Schedule'!C3232,'SIP Schedule'!D3232,,1)),"")</f>
        <v/>
      </c>
    </row>
    <row r="3233" spans="3:6" x14ac:dyDescent="0.3">
      <c r="C3233" s="1" t="str">
        <f>IF(C3232&lt;'Investment Calculator'!$C$8*'Investment Calculator'!$F$4,'SIP Schedule'!C3232+1,"")</f>
        <v/>
      </c>
      <c r="D3233" s="27" t="str">
        <f>IF(C3233&lt;='Investment Calculator'!$C$8*'Investment Calculator'!$F$4,'Investment Calculator'!$C$6,"")</f>
        <v/>
      </c>
      <c r="E3233" s="27" t="str">
        <f>IFERROR((F3232+D3233)*'Investment Calculator'!$C$7/'Investment Calculator'!$F$4,"")</f>
        <v/>
      </c>
      <c r="F3233" s="27" t="str">
        <f>IFERROR(ABS(FV('Investment Calculator'!$C$7/'Investment Calculator'!$F$4,'SIP Schedule'!C3233,'SIP Schedule'!D3233,,1)),"")</f>
        <v/>
      </c>
    </row>
    <row r="3234" spans="3:6" x14ac:dyDescent="0.3">
      <c r="C3234" s="1" t="str">
        <f>IF(C3233&lt;'Investment Calculator'!$C$8*'Investment Calculator'!$F$4,'SIP Schedule'!C3233+1,"")</f>
        <v/>
      </c>
      <c r="D3234" s="27" t="str">
        <f>IF(C3234&lt;='Investment Calculator'!$C$8*'Investment Calculator'!$F$4,'Investment Calculator'!$C$6,"")</f>
        <v/>
      </c>
      <c r="E3234" s="27" t="str">
        <f>IFERROR((F3233+D3234)*'Investment Calculator'!$C$7/'Investment Calculator'!$F$4,"")</f>
        <v/>
      </c>
      <c r="F3234" s="27" t="str">
        <f>IFERROR(ABS(FV('Investment Calculator'!$C$7/'Investment Calculator'!$F$4,'SIP Schedule'!C3234,'SIP Schedule'!D3234,,1)),"")</f>
        <v/>
      </c>
    </row>
    <row r="3235" spans="3:6" x14ac:dyDescent="0.3">
      <c r="C3235" s="1" t="str">
        <f>IF(C3234&lt;'Investment Calculator'!$C$8*'Investment Calculator'!$F$4,'SIP Schedule'!C3234+1,"")</f>
        <v/>
      </c>
      <c r="D3235" s="27" t="str">
        <f>IF(C3235&lt;='Investment Calculator'!$C$8*'Investment Calculator'!$F$4,'Investment Calculator'!$C$6,"")</f>
        <v/>
      </c>
      <c r="E3235" s="27" t="str">
        <f>IFERROR((F3234+D3235)*'Investment Calculator'!$C$7/'Investment Calculator'!$F$4,"")</f>
        <v/>
      </c>
      <c r="F3235" s="27" t="str">
        <f>IFERROR(ABS(FV('Investment Calculator'!$C$7/'Investment Calculator'!$F$4,'SIP Schedule'!C3235,'SIP Schedule'!D3235,,1)),"")</f>
        <v/>
      </c>
    </row>
    <row r="3236" spans="3:6" x14ac:dyDescent="0.3">
      <c r="C3236" s="1" t="str">
        <f>IF(C3235&lt;'Investment Calculator'!$C$8*'Investment Calculator'!$F$4,'SIP Schedule'!C3235+1,"")</f>
        <v/>
      </c>
      <c r="D3236" s="27" t="str">
        <f>IF(C3236&lt;='Investment Calculator'!$C$8*'Investment Calculator'!$F$4,'Investment Calculator'!$C$6,"")</f>
        <v/>
      </c>
      <c r="E3236" s="27" t="str">
        <f>IFERROR((F3235+D3236)*'Investment Calculator'!$C$7/'Investment Calculator'!$F$4,"")</f>
        <v/>
      </c>
      <c r="F3236" s="27" t="str">
        <f>IFERROR(ABS(FV('Investment Calculator'!$C$7/'Investment Calculator'!$F$4,'SIP Schedule'!C3236,'SIP Schedule'!D3236,,1)),"")</f>
        <v/>
      </c>
    </row>
    <row r="3237" spans="3:6" x14ac:dyDescent="0.3">
      <c r="C3237" s="1" t="str">
        <f>IF(C3236&lt;'Investment Calculator'!$C$8*'Investment Calculator'!$F$4,'SIP Schedule'!C3236+1,"")</f>
        <v/>
      </c>
      <c r="D3237" s="27" t="str">
        <f>IF(C3237&lt;='Investment Calculator'!$C$8*'Investment Calculator'!$F$4,'Investment Calculator'!$C$6,"")</f>
        <v/>
      </c>
      <c r="E3237" s="27" t="str">
        <f>IFERROR((F3236+D3237)*'Investment Calculator'!$C$7/'Investment Calculator'!$F$4,"")</f>
        <v/>
      </c>
      <c r="F3237" s="27" t="str">
        <f>IFERROR(ABS(FV('Investment Calculator'!$C$7/'Investment Calculator'!$F$4,'SIP Schedule'!C3237,'SIP Schedule'!D3237,,1)),"")</f>
        <v/>
      </c>
    </row>
    <row r="3238" spans="3:6" x14ac:dyDescent="0.3">
      <c r="C3238" s="1" t="str">
        <f>IF(C3237&lt;'Investment Calculator'!$C$8*'Investment Calculator'!$F$4,'SIP Schedule'!C3237+1,"")</f>
        <v/>
      </c>
      <c r="D3238" s="27" t="str">
        <f>IF(C3238&lt;='Investment Calculator'!$C$8*'Investment Calculator'!$F$4,'Investment Calculator'!$C$6,"")</f>
        <v/>
      </c>
      <c r="E3238" s="27" t="str">
        <f>IFERROR((F3237+D3238)*'Investment Calculator'!$C$7/'Investment Calculator'!$F$4,"")</f>
        <v/>
      </c>
      <c r="F3238" s="27" t="str">
        <f>IFERROR(ABS(FV('Investment Calculator'!$C$7/'Investment Calculator'!$F$4,'SIP Schedule'!C3238,'SIP Schedule'!D3238,,1)),"")</f>
        <v/>
      </c>
    </row>
    <row r="3239" spans="3:6" x14ac:dyDescent="0.3">
      <c r="C3239" s="1" t="str">
        <f>IF(C3238&lt;'Investment Calculator'!$C$8*'Investment Calculator'!$F$4,'SIP Schedule'!C3238+1,"")</f>
        <v/>
      </c>
      <c r="D3239" s="27" t="str">
        <f>IF(C3239&lt;='Investment Calculator'!$C$8*'Investment Calculator'!$F$4,'Investment Calculator'!$C$6,"")</f>
        <v/>
      </c>
      <c r="E3239" s="27" t="str">
        <f>IFERROR((F3238+D3239)*'Investment Calculator'!$C$7/'Investment Calculator'!$F$4,"")</f>
        <v/>
      </c>
      <c r="F3239" s="27" t="str">
        <f>IFERROR(ABS(FV('Investment Calculator'!$C$7/'Investment Calculator'!$F$4,'SIP Schedule'!C3239,'SIP Schedule'!D3239,,1)),"")</f>
        <v/>
      </c>
    </row>
    <row r="3240" spans="3:6" x14ac:dyDescent="0.3">
      <c r="C3240" s="1" t="str">
        <f>IF(C3239&lt;'Investment Calculator'!$C$8*'Investment Calculator'!$F$4,'SIP Schedule'!C3239+1,"")</f>
        <v/>
      </c>
      <c r="D3240" s="27" t="str">
        <f>IF(C3240&lt;='Investment Calculator'!$C$8*'Investment Calculator'!$F$4,'Investment Calculator'!$C$6,"")</f>
        <v/>
      </c>
      <c r="E3240" s="27" t="str">
        <f>IFERROR((F3239+D3240)*'Investment Calculator'!$C$7/'Investment Calculator'!$F$4,"")</f>
        <v/>
      </c>
      <c r="F3240" s="27" t="str">
        <f>IFERROR(ABS(FV('Investment Calculator'!$C$7/'Investment Calculator'!$F$4,'SIP Schedule'!C3240,'SIP Schedule'!D3240,,1)),"")</f>
        <v/>
      </c>
    </row>
    <row r="3241" spans="3:6" x14ac:dyDescent="0.3">
      <c r="C3241" s="1" t="str">
        <f>IF(C3240&lt;'Investment Calculator'!$C$8*'Investment Calculator'!$F$4,'SIP Schedule'!C3240+1,"")</f>
        <v/>
      </c>
      <c r="D3241" s="27" t="str">
        <f>IF(C3241&lt;='Investment Calculator'!$C$8*'Investment Calculator'!$F$4,'Investment Calculator'!$C$6,"")</f>
        <v/>
      </c>
      <c r="E3241" s="27" t="str">
        <f>IFERROR((F3240+D3241)*'Investment Calculator'!$C$7/'Investment Calculator'!$F$4,"")</f>
        <v/>
      </c>
      <c r="F3241" s="27" t="str">
        <f>IFERROR(ABS(FV('Investment Calculator'!$C$7/'Investment Calculator'!$F$4,'SIP Schedule'!C3241,'SIP Schedule'!D3241,,1)),"")</f>
        <v/>
      </c>
    </row>
    <row r="3242" spans="3:6" x14ac:dyDescent="0.3">
      <c r="C3242" s="1" t="str">
        <f>IF(C3241&lt;'Investment Calculator'!$C$8*'Investment Calculator'!$F$4,'SIP Schedule'!C3241+1,"")</f>
        <v/>
      </c>
      <c r="D3242" s="27" t="str">
        <f>IF(C3242&lt;='Investment Calculator'!$C$8*'Investment Calculator'!$F$4,'Investment Calculator'!$C$6,"")</f>
        <v/>
      </c>
      <c r="E3242" s="27" t="str">
        <f>IFERROR((F3241+D3242)*'Investment Calculator'!$C$7/'Investment Calculator'!$F$4,"")</f>
        <v/>
      </c>
      <c r="F3242" s="27" t="str">
        <f>IFERROR(ABS(FV('Investment Calculator'!$C$7/'Investment Calculator'!$F$4,'SIP Schedule'!C3242,'SIP Schedule'!D3242,,1)),"")</f>
        <v/>
      </c>
    </row>
    <row r="3243" spans="3:6" x14ac:dyDescent="0.3">
      <c r="C3243" s="1" t="str">
        <f>IF(C3242&lt;'Investment Calculator'!$C$8*'Investment Calculator'!$F$4,'SIP Schedule'!C3242+1,"")</f>
        <v/>
      </c>
      <c r="D3243" s="27" t="str">
        <f>IF(C3243&lt;='Investment Calculator'!$C$8*'Investment Calculator'!$F$4,'Investment Calculator'!$C$6,"")</f>
        <v/>
      </c>
      <c r="E3243" s="27" t="str">
        <f>IFERROR((F3242+D3243)*'Investment Calculator'!$C$7/'Investment Calculator'!$F$4,"")</f>
        <v/>
      </c>
      <c r="F3243" s="27" t="str">
        <f>IFERROR(ABS(FV('Investment Calculator'!$C$7/'Investment Calculator'!$F$4,'SIP Schedule'!C3243,'SIP Schedule'!D3243,,1)),"")</f>
        <v/>
      </c>
    </row>
    <row r="3244" spans="3:6" x14ac:dyDescent="0.3">
      <c r="C3244" s="1" t="str">
        <f>IF(C3243&lt;'Investment Calculator'!$C$8*'Investment Calculator'!$F$4,'SIP Schedule'!C3243+1,"")</f>
        <v/>
      </c>
      <c r="D3244" s="27" t="str">
        <f>IF(C3244&lt;='Investment Calculator'!$C$8*'Investment Calculator'!$F$4,'Investment Calculator'!$C$6,"")</f>
        <v/>
      </c>
      <c r="E3244" s="27" t="str">
        <f>IFERROR((F3243+D3244)*'Investment Calculator'!$C$7/'Investment Calculator'!$F$4,"")</f>
        <v/>
      </c>
      <c r="F3244" s="27" t="str">
        <f>IFERROR(ABS(FV('Investment Calculator'!$C$7/'Investment Calculator'!$F$4,'SIP Schedule'!C3244,'SIP Schedule'!D3244,,1)),"")</f>
        <v/>
      </c>
    </row>
    <row r="3245" spans="3:6" x14ac:dyDescent="0.3">
      <c r="C3245" s="1" t="str">
        <f>IF(C3244&lt;'Investment Calculator'!$C$8*'Investment Calculator'!$F$4,'SIP Schedule'!C3244+1,"")</f>
        <v/>
      </c>
      <c r="D3245" s="27" t="str">
        <f>IF(C3245&lt;='Investment Calculator'!$C$8*'Investment Calculator'!$F$4,'Investment Calculator'!$C$6,"")</f>
        <v/>
      </c>
      <c r="E3245" s="27" t="str">
        <f>IFERROR((F3244+D3245)*'Investment Calculator'!$C$7/'Investment Calculator'!$F$4,"")</f>
        <v/>
      </c>
      <c r="F3245" s="27" t="str">
        <f>IFERROR(ABS(FV('Investment Calculator'!$C$7/'Investment Calculator'!$F$4,'SIP Schedule'!C3245,'SIP Schedule'!D3245,,1)),"")</f>
        <v/>
      </c>
    </row>
    <row r="3246" spans="3:6" x14ac:dyDescent="0.3">
      <c r="C3246" s="1" t="str">
        <f>IF(C3245&lt;'Investment Calculator'!$C$8*'Investment Calculator'!$F$4,'SIP Schedule'!C3245+1,"")</f>
        <v/>
      </c>
      <c r="D3246" s="27" t="str">
        <f>IF(C3246&lt;='Investment Calculator'!$C$8*'Investment Calculator'!$F$4,'Investment Calculator'!$C$6,"")</f>
        <v/>
      </c>
      <c r="E3246" s="27" t="str">
        <f>IFERROR((F3245+D3246)*'Investment Calculator'!$C$7/'Investment Calculator'!$F$4,"")</f>
        <v/>
      </c>
      <c r="F3246" s="27" t="str">
        <f>IFERROR(ABS(FV('Investment Calculator'!$C$7/'Investment Calculator'!$F$4,'SIP Schedule'!C3246,'SIP Schedule'!D3246,,1)),"")</f>
        <v/>
      </c>
    </row>
    <row r="3247" spans="3:6" x14ac:dyDescent="0.3">
      <c r="C3247" s="1" t="str">
        <f>IF(C3246&lt;'Investment Calculator'!$C$8*'Investment Calculator'!$F$4,'SIP Schedule'!C3246+1,"")</f>
        <v/>
      </c>
      <c r="D3247" s="27" t="str">
        <f>IF(C3247&lt;='Investment Calculator'!$C$8*'Investment Calculator'!$F$4,'Investment Calculator'!$C$6,"")</f>
        <v/>
      </c>
      <c r="E3247" s="27" t="str">
        <f>IFERROR((F3246+D3247)*'Investment Calculator'!$C$7/'Investment Calculator'!$F$4,"")</f>
        <v/>
      </c>
      <c r="F3247" s="27" t="str">
        <f>IFERROR(ABS(FV('Investment Calculator'!$C$7/'Investment Calculator'!$F$4,'SIP Schedule'!C3247,'SIP Schedule'!D3247,,1)),"")</f>
        <v/>
      </c>
    </row>
    <row r="3248" spans="3:6" x14ac:dyDescent="0.3">
      <c r="C3248" s="1" t="str">
        <f>IF(C3247&lt;'Investment Calculator'!$C$8*'Investment Calculator'!$F$4,'SIP Schedule'!C3247+1,"")</f>
        <v/>
      </c>
      <c r="D3248" s="27" t="str">
        <f>IF(C3248&lt;='Investment Calculator'!$C$8*'Investment Calculator'!$F$4,'Investment Calculator'!$C$6,"")</f>
        <v/>
      </c>
      <c r="E3248" s="27" t="str">
        <f>IFERROR((F3247+D3248)*'Investment Calculator'!$C$7/'Investment Calculator'!$F$4,"")</f>
        <v/>
      </c>
      <c r="F3248" s="27" t="str">
        <f>IFERROR(ABS(FV('Investment Calculator'!$C$7/'Investment Calculator'!$F$4,'SIP Schedule'!C3248,'SIP Schedule'!D3248,,1)),"")</f>
        <v/>
      </c>
    </row>
    <row r="3249" spans="3:6" x14ac:dyDescent="0.3">
      <c r="C3249" s="1" t="str">
        <f>IF(C3248&lt;'Investment Calculator'!$C$8*'Investment Calculator'!$F$4,'SIP Schedule'!C3248+1,"")</f>
        <v/>
      </c>
      <c r="D3249" s="27" t="str">
        <f>IF(C3249&lt;='Investment Calculator'!$C$8*'Investment Calculator'!$F$4,'Investment Calculator'!$C$6,"")</f>
        <v/>
      </c>
      <c r="E3249" s="27" t="str">
        <f>IFERROR((F3248+D3249)*'Investment Calculator'!$C$7/'Investment Calculator'!$F$4,"")</f>
        <v/>
      </c>
      <c r="F3249" s="27" t="str">
        <f>IFERROR(ABS(FV('Investment Calculator'!$C$7/'Investment Calculator'!$F$4,'SIP Schedule'!C3249,'SIP Schedule'!D3249,,1)),"")</f>
        <v/>
      </c>
    </row>
    <row r="3250" spans="3:6" x14ac:dyDescent="0.3">
      <c r="C3250" s="1" t="str">
        <f>IF(C3249&lt;'Investment Calculator'!$C$8*'Investment Calculator'!$F$4,'SIP Schedule'!C3249+1,"")</f>
        <v/>
      </c>
      <c r="D3250" s="27" t="str">
        <f>IF(C3250&lt;='Investment Calculator'!$C$8*'Investment Calculator'!$F$4,'Investment Calculator'!$C$6,"")</f>
        <v/>
      </c>
      <c r="E3250" s="27" t="str">
        <f>IFERROR((F3249+D3250)*'Investment Calculator'!$C$7/'Investment Calculator'!$F$4,"")</f>
        <v/>
      </c>
      <c r="F3250" s="27" t="str">
        <f>IFERROR(ABS(FV('Investment Calculator'!$C$7/'Investment Calculator'!$F$4,'SIP Schedule'!C3250,'SIP Schedule'!D3250,,1)),"")</f>
        <v/>
      </c>
    </row>
    <row r="3251" spans="3:6" x14ac:dyDescent="0.3">
      <c r="C3251" s="1" t="str">
        <f>IF(C3250&lt;'Investment Calculator'!$C$8*'Investment Calculator'!$F$4,'SIP Schedule'!C3250+1,"")</f>
        <v/>
      </c>
      <c r="D3251" s="27" t="str">
        <f>IF(C3251&lt;='Investment Calculator'!$C$8*'Investment Calculator'!$F$4,'Investment Calculator'!$C$6,"")</f>
        <v/>
      </c>
      <c r="E3251" s="27" t="str">
        <f>IFERROR((F3250+D3251)*'Investment Calculator'!$C$7/'Investment Calculator'!$F$4,"")</f>
        <v/>
      </c>
      <c r="F3251" s="27" t="str">
        <f>IFERROR(ABS(FV('Investment Calculator'!$C$7/'Investment Calculator'!$F$4,'SIP Schedule'!C3251,'SIP Schedule'!D3251,,1)),"")</f>
        <v/>
      </c>
    </row>
    <row r="3252" spans="3:6" x14ac:dyDescent="0.3">
      <c r="C3252" s="1" t="str">
        <f>IF(C3251&lt;'Investment Calculator'!$C$8*'Investment Calculator'!$F$4,'SIP Schedule'!C3251+1,"")</f>
        <v/>
      </c>
      <c r="D3252" s="27" t="str">
        <f>IF(C3252&lt;='Investment Calculator'!$C$8*'Investment Calculator'!$F$4,'Investment Calculator'!$C$6,"")</f>
        <v/>
      </c>
      <c r="E3252" s="27" t="str">
        <f>IFERROR((F3251+D3252)*'Investment Calculator'!$C$7/'Investment Calculator'!$F$4,"")</f>
        <v/>
      </c>
      <c r="F3252" s="27" t="str">
        <f>IFERROR(ABS(FV('Investment Calculator'!$C$7/'Investment Calculator'!$F$4,'SIP Schedule'!C3252,'SIP Schedule'!D3252,,1)),"")</f>
        <v/>
      </c>
    </row>
    <row r="3253" spans="3:6" x14ac:dyDescent="0.3">
      <c r="C3253" s="1" t="str">
        <f>IF(C3252&lt;'Investment Calculator'!$C$8*'Investment Calculator'!$F$4,'SIP Schedule'!C3252+1,"")</f>
        <v/>
      </c>
      <c r="D3253" s="27" t="str">
        <f>IF(C3253&lt;='Investment Calculator'!$C$8*'Investment Calculator'!$F$4,'Investment Calculator'!$C$6,"")</f>
        <v/>
      </c>
      <c r="E3253" s="27" t="str">
        <f>IFERROR((F3252+D3253)*'Investment Calculator'!$C$7/'Investment Calculator'!$F$4,"")</f>
        <v/>
      </c>
      <c r="F3253" s="27" t="str">
        <f>IFERROR(ABS(FV('Investment Calculator'!$C$7/'Investment Calculator'!$F$4,'SIP Schedule'!C3253,'SIP Schedule'!D3253,,1)),"")</f>
        <v/>
      </c>
    </row>
    <row r="3254" spans="3:6" x14ac:dyDescent="0.3">
      <c r="C3254" s="1" t="str">
        <f>IF(C3253&lt;'Investment Calculator'!$C$8*'Investment Calculator'!$F$4,'SIP Schedule'!C3253+1,"")</f>
        <v/>
      </c>
      <c r="D3254" s="27" t="str">
        <f>IF(C3254&lt;='Investment Calculator'!$C$8*'Investment Calculator'!$F$4,'Investment Calculator'!$C$6,"")</f>
        <v/>
      </c>
      <c r="E3254" s="27" t="str">
        <f>IFERROR((F3253+D3254)*'Investment Calculator'!$C$7/'Investment Calculator'!$F$4,"")</f>
        <v/>
      </c>
      <c r="F3254" s="27" t="str">
        <f>IFERROR(ABS(FV('Investment Calculator'!$C$7/'Investment Calculator'!$F$4,'SIP Schedule'!C3254,'SIP Schedule'!D3254,,1)),"")</f>
        <v/>
      </c>
    </row>
    <row r="3255" spans="3:6" x14ac:dyDescent="0.3">
      <c r="C3255" s="1" t="str">
        <f>IF(C3254&lt;'Investment Calculator'!$C$8*'Investment Calculator'!$F$4,'SIP Schedule'!C3254+1,"")</f>
        <v/>
      </c>
      <c r="D3255" s="27" t="str">
        <f>IF(C3255&lt;='Investment Calculator'!$C$8*'Investment Calculator'!$F$4,'Investment Calculator'!$C$6,"")</f>
        <v/>
      </c>
      <c r="E3255" s="27" t="str">
        <f>IFERROR((F3254+D3255)*'Investment Calculator'!$C$7/'Investment Calculator'!$F$4,"")</f>
        <v/>
      </c>
      <c r="F3255" s="27" t="str">
        <f>IFERROR(ABS(FV('Investment Calculator'!$C$7/'Investment Calculator'!$F$4,'SIP Schedule'!C3255,'SIP Schedule'!D3255,,1)),"")</f>
        <v/>
      </c>
    </row>
    <row r="3256" spans="3:6" x14ac:dyDescent="0.3">
      <c r="C3256" s="1" t="str">
        <f>IF(C3255&lt;'Investment Calculator'!$C$8*'Investment Calculator'!$F$4,'SIP Schedule'!C3255+1,"")</f>
        <v/>
      </c>
      <c r="D3256" s="27" t="str">
        <f>IF(C3256&lt;='Investment Calculator'!$C$8*'Investment Calculator'!$F$4,'Investment Calculator'!$C$6,"")</f>
        <v/>
      </c>
      <c r="E3256" s="27" t="str">
        <f>IFERROR((F3255+D3256)*'Investment Calculator'!$C$7/'Investment Calculator'!$F$4,"")</f>
        <v/>
      </c>
      <c r="F3256" s="27" t="str">
        <f>IFERROR(ABS(FV('Investment Calculator'!$C$7/'Investment Calculator'!$F$4,'SIP Schedule'!C3256,'SIP Schedule'!D3256,,1)),"")</f>
        <v/>
      </c>
    </row>
    <row r="3257" spans="3:6" x14ac:dyDescent="0.3">
      <c r="C3257" s="1" t="str">
        <f>IF(C3256&lt;'Investment Calculator'!$C$8*'Investment Calculator'!$F$4,'SIP Schedule'!C3256+1,"")</f>
        <v/>
      </c>
      <c r="D3257" s="27" t="str">
        <f>IF(C3257&lt;='Investment Calculator'!$C$8*'Investment Calculator'!$F$4,'Investment Calculator'!$C$6,"")</f>
        <v/>
      </c>
      <c r="E3257" s="27" t="str">
        <f>IFERROR((F3256+D3257)*'Investment Calculator'!$C$7/'Investment Calculator'!$F$4,"")</f>
        <v/>
      </c>
      <c r="F3257" s="27" t="str">
        <f>IFERROR(ABS(FV('Investment Calculator'!$C$7/'Investment Calculator'!$F$4,'SIP Schedule'!C3257,'SIP Schedule'!D3257,,1)),"")</f>
        <v/>
      </c>
    </row>
    <row r="3258" spans="3:6" x14ac:dyDescent="0.3">
      <c r="C3258" s="1" t="str">
        <f>IF(C3257&lt;'Investment Calculator'!$C$8*'Investment Calculator'!$F$4,'SIP Schedule'!C3257+1,"")</f>
        <v/>
      </c>
      <c r="D3258" s="27" t="str">
        <f>IF(C3258&lt;='Investment Calculator'!$C$8*'Investment Calculator'!$F$4,'Investment Calculator'!$C$6,"")</f>
        <v/>
      </c>
      <c r="E3258" s="27" t="str">
        <f>IFERROR((F3257+D3258)*'Investment Calculator'!$C$7/'Investment Calculator'!$F$4,"")</f>
        <v/>
      </c>
      <c r="F3258" s="27" t="str">
        <f>IFERROR(ABS(FV('Investment Calculator'!$C$7/'Investment Calculator'!$F$4,'SIP Schedule'!C3258,'SIP Schedule'!D3258,,1)),"")</f>
        <v/>
      </c>
    </row>
    <row r="3259" spans="3:6" x14ac:dyDescent="0.3">
      <c r="C3259" s="1" t="str">
        <f>IF(C3258&lt;'Investment Calculator'!$C$8*'Investment Calculator'!$F$4,'SIP Schedule'!C3258+1,"")</f>
        <v/>
      </c>
      <c r="D3259" s="27" t="str">
        <f>IF(C3259&lt;='Investment Calculator'!$C$8*'Investment Calculator'!$F$4,'Investment Calculator'!$C$6,"")</f>
        <v/>
      </c>
      <c r="E3259" s="27" t="str">
        <f>IFERROR((F3258+D3259)*'Investment Calculator'!$C$7/'Investment Calculator'!$F$4,"")</f>
        <v/>
      </c>
      <c r="F3259" s="27" t="str">
        <f>IFERROR(ABS(FV('Investment Calculator'!$C$7/'Investment Calculator'!$F$4,'SIP Schedule'!C3259,'SIP Schedule'!D3259,,1)),"")</f>
        <v/>
      </c>
    </row>
    <row r="3260" spans="3:6" x14ac:dyDescent="0.3">
      <c r="C3260" s="1" t="str">
        <f>IF(C3259&lt;'Investment Calculator'!$C$8*'Investment Calculator'!$F$4,'SIP Schedule'!C3259+1,"")</f>
        <v/>
      </c>
      <c r="D3260" s="27" t="str">
        <f>IF(C3260&lt;='Investment Calculator'!$C$8*'Investment Calculator'!$F$4,'Investment Calculator'!$C$6,"")</f>
        <v/>
      </c>
      <c r="E3260" s="27" t="str">
        <f>IFERROR((F3259+D3260)*'Investment Calculator'!$C$7/'Investment Calculator'!$F$4,"")</f>
        <v/>
      </c>
      <c r="F3260" s="27" t="str">
        <f>IFERROR(ABS(FV('Investment Calculator'!$C$7/'Investment Calculator'!$F$4,'SIP Schedule'!C3260,'SIP Schedule'!D3260,,1)),"")</f>
        <v/>
      </c>
    </row>
    <row r="3261" spans="3:6" x14ac:dyDescent="0.3">
      <c r="C3261" s="1" t="str">
        <f>IF(C3260&lt;'Investment Calculator'!$C$8*'Investment Calculator'!$F$4,'SIP Schedule'!C3260+1,"")</f>
        <v/>
      </c>
      <c r="D3261" s="27" t="str">
        <f>IF(C3261&lt;='Investment Calculator'!$C$8*'Investment Calculator'!$F$4,'Investment Calculator'!$C$6,"")</f>
        <v/>
      </c>
      <c r="E3261" s="27" t="str">
        <f>IFERROR((F3260+D3261)*'Investment Calculator'!$C$7/'Investment Calculator'!$F$4,"")</f>
        <v/>
      </c>
      <c r="F3261" s="27" t="str">
        <f>IFERROR(ABS(FV('Investment Calculator'!$C$7/'Investment Calculator'!$F$4,'SIP Schedule'!C3261,'SIP Schedule'!D3261,,1)),"")</f>
        <v/>
      </c>
    </row>
    <row r="3262" spans="3:6" x14ac:dyDescent="0.3">
      <c r="C3262" s="1" t="str">
        <f>IF(C3261&lt;'Investment Calculator'!$C$8*'Investment Calculator'!$F$4,'SIP Schedule'!C3261+1,"")</f>
        <v/>
      </c>
      <c r="D3262" s="27" t="str">
        <f>IF(C3262&lt;='Investment Calculator'!$C$8*'Investment Calculator'!$F$4,'Investment Calculator'!$C$6,"")</f>
        <v/>
      </c>
      <c r="E3262" s="27" t="str">
        <f>IFERROR((F3261+D3262)*'Investment Calculator'!$C$7/'Investment Calculator'!$F$4,"")</f>
        <v/>
      </c>
      <c r="F3262" s="27" t="str">
        <f>IFERROR(ABS(FV('Investment Calculator'!$C$7/'Investment Calculator'!$F$4,'SIP Schedule'!C3262,'SIP Schedule'!D3262,,1)),"")</f>
        <v/>
      </c>
    </row>
    <row r="3263" spans="3:6" x14ac:dyDescent="0.3">
      <c r="C3263" s="1" t="str">
        <f>IF(C3262&lt;'Investment Calculator'!$C$8*'Investment Calculator'!$F$4,'SIP Schedule'!C3262+1,"")</f>
        <v/>
      </c>
      <c r="D3263" s="27" t="str">
        <f>IF(C3263&lt;='Investment Calculator'!$C$8*'Investment Calculator'!$F$4,'Investment Calculator'!$C$6,"")</f>
        <v/>
      </c>
      <c r="E3263" s="27" t="str">
        <f>IFERROR((F3262+D3263)*'Investment Calculator'!$C$7/'Investment Calculator'!$F$4,"")</f>
        <v/>
      </c>
      <c r="F3263" s="27" t="str">
        <f>IFERROR(ABS(FV('Investment Calculator'!$C$7/'Investment Calculator'!$F$4,'SIP Schedule'!C3263,'SIP Schedule'!D3263,,1)),"")</f>
        <v/>
      </c>
    </row>
    <row r="3264" spans="3:6" x14ac:dyDescent="0.3">
      <c r="C3264" s="1" t="str">
        <f>IF(C3263&lt;'Investment Calculator'!$C$8*'Investment Calculator'!$F$4,'SIP Schedule'!C3263+1,"")</f>
        <v/>
      </c>
      <c r="D3264" s="27" t="str">
        <f>IF(C3264&lt;='Investment Calculator'!$C$8*'Investment Calculator'!$F$4,'Investment Calculator'!$C$6,"")</f>
        <v/>
      </c>
      <c r="E3264" s="27" t="str">
        <f>IFERROR((F3263+D3264)*'Investment Calculator'!$C$7/'Investment Calculator'!$F$4,"")</f>
        <v/>
      </c>
      <c r="F3264" s="27" t="str">
        <f>IFERROR(ABS(FV('Investment Calculator'!$C$7/'Investment Calculator'!$F$4,'SIP Schedule'!C3264,'SIP Schedule'!D3264,,1)),"")</f>
        <v/>
      </c>
    </row>
    <row r="3265" spans="3:6" x14ac:dyDescent="0.3">
      <c r="C3265" s="1" t="str">
        <f>IF(C3264&lt;'Investment Calculator'!$C$8*'Investment Calculator'!$F$4,'SIP Schedule'!C3264+1,"")</f>
        <v/>
      </c>
      <c r="D3265" s="27" t="str">
        <f>IF(C3265&lt;='Investment Calculator'!$C$8*'Investment Calculator'!$F$4,'Investment Calculator'!$C$6,"")</f>
        <v/>
      </c>
      <c r="E3265" s="27" t="str">
        <f>IFERROR((F3264+D3265)*'Investment Calculator'!$C$7/'Investment Calculator'!$F$4,"")</f>
        <v/>
      </c>
      <c r="F3265" s="27" t="str">
        <f>IFERROR(ABS(FV('Investment Calculator'!$C$7/'Investment Calculator'!$F$4,'SIP Schedule'!C3265,'SIP Schedule'!D3265,,1)),"")</f>
        <v/>
      </c>
    </row>
    <row r="3266" spans="3:6" x14ac:dyDescent="0.3">
      <c r="C3266" s="1" t="str">
        <f>IF(C3265&lt;'Investment Calculator'!$C$8*'Investment Calculator'!$F$4,'SIP Schedule'!C3265+1,"")</f>
        <v/>
      </c>
      <c r="D3266" s="27" t="str">
        <f>IF(C3266&lt;='Investment Calculator'!$C$8*'Investment Calculator'!$F$4,'Investment Calculator'!$C$6,"")</f>
        <v/>
      </c>
      <c r="E3266" s="27" t="str">
        <f>IFERROR((F3265+D3266)*'Investment Calculator'!$C$7/'Investment Calculator'!$F$4,"")</f>
        <v/>
      </c>
      <c r="F3266" s="27" t="str">
        <f>IFERROR(ABS(FV('Investment Calculator'!$C$7/'Investment Calculator'!$F$4,'SIP Schedule'!C3266,'SIP Schedule'!D3266,,1)),"")</f>
        <v/>
      </c>
    </row>
    <row r="3267" spans="3:6" x14ac:dyDescent="0.3">
      <c r="C3267" s="1" t="str">
        <f>IF(C3266&lt;'Investment Calculator'!$C$8*'Investment Calculator'!$F$4,'SIP Schedule'!C3266+1,"")</f>
        <v/>
      </c>
      <c r="D3267" s="27" t="str">
        <f>IF(C3267&lt;='Investment Calculator'!$C$8*'Investment Calculator'!$F$4,'Investment Calculator'!$C$6,"")</f>
        <v/>
      </c>
      <c r="E3267" s="27" t="str">
        <f>IFERROR((F3266+D3267)*'Investment Calculator'!$C$7/'Investment Calculator'!$F$4,"")</f>
        <v/>
      </c>
      <c r="F3267" s="27" t="str">
        <f>IFERROR(ABS(FV('Investment Calculator'!$C$7/'Investment Calculator'!$F$4,'SIP Schedule'!C3267,'SIP Schedule'!D3267,,1)),"")</f>
        <v/>
      </c>
    </row>
    <row r="3268" spans="3:6" x14ac:dyDescent="0.3">
      <c r="C3268" s="1" t="str">
        <f>IF(C3267&lt;'Investment Calculator'!$C$8*'Investment Calculator'!$F$4,'SIP Schedule'!C3267+1,"")</f>
        <v/>
      </c>
      <c r="D3268" s="27" t="str">
        <f>IF(C3268&lt;='Investment Calculator'!$C$8*'Investment Calculator'!$F$4,'Investment Calculator'!$C$6,"")</f>
        <v/>
      </c>
      <c r="E3268" s="27" t="str">
        <f>IFERROR((F3267+D3268)*'Investment Calculator'!$C$7/'Investment Calculator'!$F$4,"")</f>
        <v/>
      </c>
      <c r="F3268" s="27" t="str">
        <f>IFERROR(ABS(FV('Investment Calculator'!$C$7/'Investment Calculator'!$F$4,'SIP Schedule'!C3268,'SIP Schedule'!D3268,,1)),"")</f>
        <v/>
      </c>
    </row>
    <row r="3269" spans="3:6" x14ac:dyDescent="0.3">
      <c r="C3269" s="1" t="str">
        <f>IF(C3268&lt;'Investment Calculator'!$C$8*'Investment Calculator'!$F$4,'SIP Schedule'!C3268+1,"")</f>
        <v/>
      </c>
      <c r="D3269" s="27" t="str">
        <f>IF(C3269&lt;='Investment Calculator'!$C$8*'Investment Calculator'!$F$4,'Investment Calculator'!$C$6,"")</f>
        <v/>
      </c>
      <c r="E3269" s="27" t="str">
        <f>IFERROR((F3268+D3269)*'Investment Calculator'!$C$7/'Investment Calculator'!$F$4,"")</f>
        <v/>
      </c>
      <c r="F3269" s="27" t="str">
        <f>IFERROR(ABS(FV('Investment Calculator'!$C$7/'Investment Calculator'!$F$4,'SIP Schedule'!C3269,'SIP Schedule'!D3269,,1)),"")</f>
        <v/>
      </c>
    </row>
    <row r="3270" spans="3:6" x14ac:dyDescent="0.3">
      <c r="C3270" s="1" t="str">
        <f>IF(C3269&lt;'Investment Calculator'!$C$8*'Investment Calculator'!$F$4,'SIP Schedule'!C3269+1,"")</f>
        <v/>
      </c>
      <c r="D3270" s="27" t="str">
        <f>IF(C3270&lt;='Investment Calculator'!$C$8*'Investment Calculator'!$F$4,'Investment Calculator'!$C$6,"")</f>
        <v/>
      </c>
      <c r="E3270" s="27" t="str">
        <f>IFERROR((F3269+D3270)*'Investment Calculator'!$C$7/'Investment Calculator'!$F$4,"")</f>
        <v/>
      </c>
      <c r="F3270" s="27" t="str">
        <f>IFERROR(ABS(FV('Investment Calculator'!$C$7/'Investment Calculator'!$F$4,'SIP Schedule'!C3270,'SIP Schedule'!D3270,,1)),"")</f>
        <v/>
      </c>
    </row>
    <row r="3271" spans="3:6" x14ac:dyDescent="0.3">
      <c r="C3271" s="1" t="str">
        <f>IF(C3270&lt;'Investment Calculator'!$C$8*'Investment Calculator'!$F$4,'SIP Schedule'!C3270+1,"")</f>
        <v/>
      </c>
      <c r="D3271" s="27" t="str">
        <f>IF(C3271&lt;='Investment Calculator'!$C$8*'Investment Calculator'!$F$4,'Investment Calculator'!$C$6,"")</f>
        <v/>
      </c>
      <c r="E3271" s="27" t="str">
        <f>IFERROR((F3270+D3271)*'Investment Calculator'!$C$7/'Investment Calculator'!$F$4,"")</f>
        <v/>
      </c>
      <c r="F3271" s="27" t="str">
        <f>IFERROR(ABS(FV('Investment Calculator'!$C$7/'Investment Calculator'!$F$4,'SIP Schedule'!C3271,'SIP Schedule'!D3271,,1)),"")</f>
        <v/>
      </c>
    </row>
    <row r="3272" spans="3:6" x14ac:dyDescent="0.3">
      <c r="C3272" s="1" t="str">
        <f>IF(C3271&lt;'Investment Calculator'!$C$8*'Investment Calculator'!$F$4,'SIP Schedule'!C3271+1,"")</f>
        <v/>
      </c>
      <c r="D3272" s="27" t="str">
        <f>IF(C3272&lt;='Investment Calculator'!$C$8*'Investment Calculator'!$F$4,'Investment Calculator'!$C$6,"")</f>
        <v/>
      </c>
      <c r="E3272" s="27" t="str">
        <f>IFERROR((F3271+D3272)*'Investment Calculator'!$C$7/'Investment Calculator'!$F$4,"")</f>
        <v/>
      </c>
      <c r="F3272" s="27" t="str">
        <f>IFERROR(ABS(FV('Investment Calculator'!$C$7/'Investment Calculator'!$F$4,'SIP Schedule'!C3272,'SIP Schedule'!D3272,,1)),"")</f>
        <v/>
      </c>
    </row>
    <row r="3273" spans="3:6" x14ac:dyDescent="0.3">
      <c r="C3273" s="1" t="str">
        <f>IF(C3272&lt;'Investment Calculator'!$C$8*'Investment Calculator'!$F$4,'SIP Schedule'!C3272+1,"")</f>
        <v/>
      </c>
      <c r="D3273" s="27" t="str">
        <f>IF(C3273&lt;='Investment Calculator'!$C$8*'Investment Calculator'!$F$4,'Investment Calculator'!$C$6,"")</f>
        <v/>
      </c>
      <c r="E3273" s="27" t="str">
        <f>IFERROR((F3272+D3273)*'Investment Calculator'!$C$7/'Investment Calculator'!$F$4,"")</f>
        <v/>
      </c>
      <c r="F3273" s="27" t="str">
        <f>IFERROR(ABS(FV('Investment Calculator'!$C$7/'Investment Calculator'!$F$4,'SIP Schedule'!C3273,'SIP Schedule'!D3273,,1)),"")</f>
        <v/>
      </c>
    </row>
    <row r="3274" spans="3:6" x14ac:dyDescent="0.3">
      <c r="C3274" s="1" t="str">
        <f>IF(C3273&lt;'Investment Calculator'!$C$8*'Investment Calculator'!$F$4,'SIP Schedule'!C3273+1,"")</f>
        <v/>
      </c>
      <c r="D3274" s="27" t="str">
        <f>IF(C3274&lt;='Investment Calculator'!$C$8*'Investment Calculator'!$F$4,'Investment Calculator'!$C$6,"")</f>
        <v/>
      </c>
      <c r="E3274" s="27" t="str">
        <f>IFERROR((F3273+D3274)*'Investment Calculator'!$C$7/'Investment Calculator'!$F$4,"")</f>
        <v/>
      </c>
      <c r="F3274" s="27" t="str">
        <f>IFERROR(ABS(FV('Investment Calculator'!$C$7/'Investment Calculator'!$F$4,'SIP Schedule'!C3274,'SIP Schedule'!D3274,,1)),"")</f>
        <v/>
      </c>
    </row>
    <row r="3275" spans="3:6" x14ac:dyDescent="0.3">
      <c r="C3275" s="1" t="str">
        <f>IF(C3274&lt;'Investment Calculator'!$C$8*'Investment Calculator'!$F$4,'SIP Schedule'!C3274+1,"")</f>
        <v/>
      </c>
      <c r="D3275" s="27" t="str">
        <f>IF(C3275&lt;='Investment Calculator'!$C$8*'Investment Calculator'!$F$4,'Investment Calculator'!$C$6,"")</f>
        <v/>
      </c>
      <c r="E3275" s="27" t="str">
        <f>IFERROR((F3274+D3275)*'Investment Calculator'!$C$7/'Investment Calculator'!$F$4,"")</f>
        <v/>
      </c>
      <c r="F3275" s="27" t="str">
        <f>IFERROR(ABS(FV('Investment Calculator'!$C$7/'Investment Calculator'!$F$4,'SIP Schedule'!C3275,'SIP Schedule'!D3275,,1)),"")</f>
        <v/>
      </c>
    </row>
    <row r="3276" spans="3:6" x14ac:dyDescent="0.3">
      <c r="C3276" s="1" t="str">
        <f>IF(C3275&lt;'Investment Calculator'!$C$8*'Investment Calculator'!$F$4,'SIP Schedule'!C3275+1,"")</f>
        <v/>
      </c>
      <c r="D3276" s="27" t="str">
        <f>IF(C3276&lt;='Investment Calculator'!$C$8*'Investment Calculator'!$F$4,'Investment Calculator'!$C$6,"")</f>
        <v/>
      </c>
      <c r="E3276" s="27" t="str">
        <f>IFERROR((F3275+D3276)*'Investment Calculator'!$C$7/'Investment Calculator'!$F$4,"")</f>
        <v/>
      </c>
      <c r="F3276" s="27" t="str">
        <f>IFERROR(ABS(FV('Investment Calculator'!$C$7/'Investment Calculator'!$F$4,'SIP Schedule'!C3276,'SIP Schedule'!D3276,,1)),"")</f>
        <v/>
      </c>
    </row>
    <row r="3277" spans="3:6" x14ac:dyDescent="0.3">
      <c r="C3277" s="1" t="str">
        <f>IF(C3276&lt;'Investment Calculator'!$C$8*'Investment Calculator'!$F$4,'SIP Schedule'!C3276+1,"")</f>
        <v/>
      </c>
      <c r="D3277" s="27" t="str">
        <f>IF(C3277&lt;='Investment Calculator'!$C$8*'Investment Calculator'!$F$4,'Investment Calculator'!$C$6,"")</f>
        <v/>
      </c>
      <c r="E3277" s="27" t="str">
        <f>IFERROR((F3276+D3277)*'Investment Calculator'!$C$7/'Investment Calculator'!$F$4,"")</f>
        <v/>
      </c>
      <c r="F3277" s="27" t="str">
        <f>IFERROR(ABS(FV('Investment Calculator'!$C$7/'Investment Calculator'!$F$4,'SIP Schedule'!C3277,'SIP Schedule'!D3277,,1)),"")</f>
        <v/>
      </c>
    </row>
    <row r="3278" spans="3:6" x14ac:dyDescent="0.3">
      <c r="C3278" s="1" t="str">
        <f>IF(C3277&lt;'Investment Calculator'!$C$8*'Investment Calculator'!$F$4,'SIP Schedule'!C3277+1,"")</f>
        <v/>
      </c>
      <c r="D3278" s="27" t="str">
        <f>IF(C3278&lt;='Investment Calculator'!$C$8*'Investment Calculator'!$F$4,'Investment Calculator'!$C$6,"")</f>
        <v/>
      </c>
      <c r="E3278" s="27" t="str">
        <f>IFERROR((F3277+D3278)*'Investment Calculator'!$C$7/'Investment Calculator'!$F$4,"")</f>
        <v/>
      </c>
      <c r="F3278" s="27" t="str">
        <f>IFERROR(ABS(FV('Investment Calculator'!$C$7/'Investment Calculator'!$F$4,'SIP Schedule'!C3278,'SIP Schedule'!D3278,,1)),"")</f>
        <v/>
      </c>
    </row>
    <row r="3279" spans="3:6" x14ac:dyDescent="0.3">
      <c r="C3279" s="1" t="str">
        <f>IF(C3278&lt;'Investment Calculator'!$C$8*'Investment Calculator'!$F$4,'SIP Schedule'!C3278+1,"")</f>
        <v/>
      </c>
      <c r="D3279" s="27" t="str">
        <f>IF(C3279&lt;='Investment Calculator'!$C$8*'Investment Calculator'!$F$4,'Investment Calculator'!$C$6,"")</f>
        <v/>
      </c>
      <c r="E3279" s="27" t="str">
        <f>IFERROR((F3278+D3279)*'Investment Calculator'!$C$7/'Investment Calculator'!$F$4,"")</f>
        <v/>
      </c>
      <c r="F3279" s="27" t="str">
        <f>IFERROR(ABS(FV('Investment Calculator'!$C$7/'Investment Calculator'!$F$4,'SIP Schedule'!C3279,'SIP Schedule'!D3279,,1)),"")</f>
        <v/>
      </c>
    </row>
    <row r="3280" spans="3:6" x14ac:dyDescent="0.3">
      <c r="C3280" s="1" t="str">
        <f>IF(C3279&lt;'Investment Calculator'!$C$8*'Investment Calculator'!$F$4,'SIP Schedule'!C3279+1,"")</f>
        <v/>
      </c>
      <c r="D3280" s="27" t="str">
        <f>IF(C3280&lt;='Investment Calculator'!$C$8*'Investment Calculator'!$F$4,'Investment Calculator'!$C$6,"")</f>
        <v/>
      </c>
      <c r="E3280" s="27" t="str">
        <f>IFERROR((F3279+D3280)*'Investment Calculator'!$C$7/'Investment Calculator'!$F$4,"")</f>
        <v/>
      </c>
      <c r="F3280" s="27" t="str">
        <f>IFERROR(ABS(FV('Investment Calculator'!$C$7/'Investment Calculator'!$F$4,'SIP Schedule'!C3280,'SIP Schedule'!D3280,,1)),"")</f>
        <v/>
      </c>
    </row>
    <row r="3281" spans="3:6" x14ac:dyDescent="0.3">
      <c r="C3281" s="1" t="str">
        <f>IF(C3280&lt;'Investment Calculator'!$C$8*'Investment Calculator'!$F$4,'SIP Schedule'!C3280+1,"")</f>
        <v/>
      </c>
      <c r="D3281" s="27" t="str">
        <f>IF(C3281&lt;='Investment Calculator'!$C$8*'Investment Calculator'!$F$4,'Investment Calculator'!$C$6,"")</f>
        <v/>
      </c>
      <c r="E3281" s="27" t="str">
        <f>IFERROR((F3280+D3281)*'Investment Calculator'!$C$7/'Investment Calculator'!$F$4,"")</f>
        <v/>
      </c>
      <c r="F3281" s="27" t="str">
        <f>IFERROR(ABS(FV('Investment Calculator'!$C$7/'Investment Calculator'!$F$4,'SIP Schedule'!C3281,'SIP Schedule'!D3281,,1)),"")</f>
        <v/>
      </c>
    </row>
    <row r="3282" spans="3:6" x14ac:dyDescent="0.3">
      <c r="C3282" s="1" t="str">
        <f>IF(C3281&lt;'Investment Calculator'!$C$8*'Investment Calculator'!$F$4,'SIP Schedule'!C3281+1,"")</f>
        <v/>
      </c>
      <c r="D3282" s="27" t="str">
        <f>IF(C3282&lt;='Investment Calculator'!$C$8*'Investment Calculator'!$F$4,'Investment Calculator'!$C$6,"")</f>
        <v/>
      </c>
      <c r="E3282" s="27" t="str">
        <f>IFERROR((F3281+D3282)*'Investment Calculator'!$C$7/'Investment Calculator'!$F$4,"")</f>
        <v/>
      </c>
      <c r="F3282" s="27" t="str">
        <f>IFERROR(ABS(FV('Investment Calculator'!$C$7/'Investment Calculator'!$F$4,'SIP Schedule'!C3282,'SIP Schedule'!D3282,,1)),"")</f>
        <v/>
      </c>
    </row>
    <row r="3283" spans="3:6" x14ac:dyDescent="0.3">
      <c r="C3283" s="1" t="str">
        <f>IF(C3282&lt;'Investment Calculator'!$C$8*'Investment Calculator'!$F$4,'SIP Schedule'!C3282+1,"")</f>
        <v/>
      </c>
      <c r="D3283" s="27" t="str">
        <f>IF(C3283&lt;='Investment Calculator'!$C$8*'Investment Calculator'!$F$4,'Investment Calculator'!$C$6,"")</f>
        <v/>
      </c>
      <c r="E3283" s="27" t="str">
        <f>IFERROR((F3282+D3283)*'Investment Calculator'!$C$7/'Investment Calculator'!$F$4,"")</f>
        <v/>
      </c>
      <c r="F3283" s="27" t="str">
        <f>IFERROR(ABS(FV('Investment Calculator'!$C$7/'Investment Calculator'!$F$4,'SIP Schedule'!C3283,'SIP Schedule'!D3283,,1)),"")</f>
        <v/>
      </c>
    </row>
    <row r="3284" spans="3:6" x14ac:dyDescent="0.3">
      <c r="C3284" s="1" t="str">
        <f>IF(C3283&lt;'Investment Calculator'!$C$8*'Investment Calculator'!$F$4,'SIP Schedule'!C3283+1,"")</f>
        <v/>
      </c>
      <c r="D3284" s="27" t="str">
        <f>IF(C3284&lt;='Investment Calculator'!$C$8*'Investment Calculator'!$F$4,'Investment Calculator'!$C$6,"")</f>
        <v/>
      </c>
      <c r="E3284" s="27" t="str">
        <f>IFERROR((F3283+D3284)*'Investment Calculator'!$C$7/'Investment Calculator'!$F$4,"")</f>
        <v/>
      </c>
      <c r="F3284" s="27" t="str">
        <f>IFERROR(ABS(FV('Investment Calculator'!$C$7/'Investment Calculator'!$F$4,'SIP Schedule'!C3284,'SIP Schedule'!D3284,,1)),"")</f>
        <v/>
      </c>
    </row>
    <row r="3285" spans="3:6" x14ac:dyDescent="0.3">
      <c r="C3285" s="1" t="str">
        <f>IF(C3284&lt;'Investment Calculator'!$C$8*'Investment Calculator'!$F$4,'SIP Schedule'!C3284+1,"")</f>
        <v/>
      </c>
      <c r="D3285" s="27" t="str">
        <f>IF(C3285&lt;='Investment Calculator'!$C$8*'Investment Calculator'!$F$4,'Investment Calculator'!$C$6,"")</f>
        <v/>
      </c>
      <c r="E3285" s="27" t="str">
        <f>IFERROR((F3284+D3285)*'Investment Calculator'!$C$7/'Investment Calculator'!$F$4,"")</f>
        <v/>
      </c>
      <c r="F3285" s="27" t="str">
        <f>IFERROR(ABS(FV('Investment Calculator'!$C$7/'Investment Calculator'!$F$4,'SIP Schedule'!C3285,'SIP Schedule'!D3285,,1)),"")</f>
        <v/>
      </c>
    </row>
    <row r="3286" spans="3:6" x14ac:dyDescent="0.3">
      <c r="C3286" s="1" t="str">
        <f>IF(C3285&lt;'Investment Calculator'!$C$8*'Investment Calculator'!$F$4,'SIP Schedule'!C3285+1,"")</f>
        <v/>
      </c>
      <c r="D3286" s="27" t="str">
        <f>IF(C3286&lt;='Investment Calculator'!$C$8*'Investment Calculator'!$F$4,'Investment Calculator'!$C$6,"")</f>
        <v/>
      </c>
      <c r="E3286" s="27" t="str">
        <f>IFERROR((F3285+D3286)*'Investment Calculator'!$C$7/'Investment Calculator'!$F$4,"")</f>
        <v/>
      </c>
      <c r="F3286" s="27" t="str">
        <f>IFERROR(ABS(FV('Investment Calculator'!$C$7/'Investment Calculator'!$F$4,'SIP Schedule'!C3286,'SIP Schedule'!D3286,,1)),"")</f>
        <v/>
      </c>
    </row>
    <row r="3287" spans="3:6" x14ac:dyDescent="0.3">
      <c r="C3287" s="1" t="str">
        <f>IF(C3286&lt;'Investment Calculator'!$C$8*'Investment Calculator'!$F$4,'SIP Schedule'!C3286+1,"")</f>
        <v/>
      </c>
      <c r="D3287" s="27" t="str">
        <f>IF(C3287&lt;='Investment Calculator'!$C$8*'Investment Calculator'!$F$4,'Investment Calculator'!$C$6,"")</f>
        <v/>
      </c>
      <c r="E3287" s="27" t="str">
        <f>IFERROR((F3286+D3287)*'Investment Calculator'!$C$7/'Investment Calculator'!$F$4,"")</f>
        <v/>
      </c>
      <c r="F3287" s="27" t="str">
        <f>IFERROR(ABS(FV('Investment Calculator'!$C$7/'Investment Calculator'!$F$4,'SIP Schedule'!C3287,'SIP Schedule'!D3287,,1)),"")</f>
        <v/>
      </c>
    </row>
    <row r="3288" spans="3:6" x14ac:dyDescent="0.3">
      <c r="C3288" s="1" t="str">
        <f>IF(C3287&lt;'Investment Calculator'!$C$8*'Investment Calculator'!$F$4,'SIP Schedule'!C3287+1,"")</f>
        <v/>
      </c>
      <c r="D3288" s="27" t="str">
        <f>IF(C3288&lt;='Investment Calculator'!$C$8*'Investment Calculator'!$F$4,'Investment Calculator'!$C$6,"")</f>
        <v/>
      </c>
      <c r="E3288" s="27" t="str">
        <f>IFERROR((F3287+D3288)*'Investment Calculator'!$C$7/'Investment Calculator'!$F$4,"")</f>
        <v/>
      </c>
      <c r="F3288" s="27" t="str">
        <f>IFERROR(ABS(FV('Investment Calculator'!$C$7/'Investment Calculator'!$F$4,'SIP Schedule'!C3288,'SIP Schedule'!D3288,,1)),"")</f>
        <v/>
      </c>
    </row>
    <row r="3289" spans="3:6" x14ac:dyDescent="0.3">
      <c r="C3289" s="1" t="str">
        <f>IF(C3288&lt;'Investment Calculator'!$C$8*'Investment Calculator'!$F$4,'SIP Schedule'!C3288+1,"")</f>
        <v/>
      </c>
      <c r="D3289" s="27" t="str">
        <f>IF(C3289&lt;='Investment Calculator'!$C$8*'Investment Calculator'!$F$4,'Investment Calculator'!$C$6,"")</f>
        <v/>
      </c>
      <c r="E3289" s="27" t="str">
        <f>IFERROR((F3288+D3289)*'Investment Calculator'!$C$7/'Investment Calculator'!$F$4,"")</f>
        <v/>
      </c>
      <c r="F3289" s="27" t="str">
        <f>IFERROR(ABS(FV('Investment Calculator'!$C$7/'Investment Calculator'!$F$4,'SIP Schedule'!C3289,'SIP Schedule'!D3289,,1)),"")</f>
        <v/>
      </c>
    </row>
    <row r="3290" spans="3:6" x14ac:dyDescent="0.3">
      <c r="C3290" s="1" t="str">
        <f>IF(C3289&lt;'Investment Calculator'!$C$8*'Investment Calculator'!$F$4,'SIP Schedule'!C3289+1,"")</f>
        <v/>
      </c>
      <c r="D3290" s="27" t="str">
        <f>IF(C3290&lt;='Investment Calculator'!$C$8*'Investment Calculator'!$F$4,'Investment Calculator'!$C$6,"")</f>
        <v/>
      </c>
      <c r="E3290" s="27" t="str">
        <f>IFERROR((F3289+D3290)*'Investment Calculator'!$C$7/'Investment Calculator'!$F$4,"")</f>
        <v/>
      </c>
      <c r="F3290" s="27" t="str">
        <f>IFERROR(ABS(FV('Investment Calculator'!$C$7/'Investment Calculator'!$F$4,'SIP Schedule'!C3290,'SIP Schedule'!D3290,,1)),"")</f>
        <v/>
      </c>
    </row>
    <row r="3291" spans="3:6" x14ac:dyDescent="0.3">
      <c r="C3291" s="1" t="str">
        <f>IF(C3290&lt;'Investment Calculator'!$C$8*'Investment Calculator'!$F$4,'SIP Schedule'!C3290+1,"")</f>
        <v/>
      </c>
      <c r="D3291" s="27" t="str">
        <f>IF(C3291&lt;='Investment Calculator'!$C$8*'Investment Calculator'!$F$4,'Investment Calculator'!$C$6,"")</f>
        <v/>
      </c>
      <c r="E3291" s="27" t="str">
        <f>IFERROR((F3290+D3291)*'Investment Calculator'!$C$7/'Investment Calculator'!$F$4,"")</f>
        <v/>
      </c>
      <c r="F3291" s="27" t="str">
        <f>IFERROR(ABS(FV('Investment Calculator'!$C$7/'Investment Calculator'!$F$4,'SIP Schedule'!C3291,'SIP Schedule'!D3291,,1)),"")</f>
        <v/>
      </c>
    </row>
    <row r="3292" spans="3:6" x14ac:dyDescent="0.3">
      <c r="C3292" s="1" t="str">
        <f>IF(C3291&lt;'Investment Calculator'!$C$8*'Investment Calculator'!$F$4,'SIP Schedule'!C3291+1,"")</f>
        <v/>
      </c>
      <c r="D3292" s="27" t="str">
        <f>IF(C3292&lt;='Investment Calculator'!$C$8*'Investment Calculator'!$F$4,'Investment Calculator'!$C$6,"")</f>
        <v/>
      </c>
      <c r="E3292" s="27" t="str">
        <f>IFERROR((F3291+D3292)*'Investment Calculator'!$C$7/'Investment Calculator'!$F$4,"")</f>
        <v/>
      </c>
      <c r="F3292" s="27" t="str">
        <f>IFERROR(ABS(FV('Investment Calculator'!$C$7/'Investment Calculator'!$F$4,'SIP Schedule'!C3292,'SIP Schedule'!D3292,,1)),"")</f>
        <v/>
      </c>
    </row>
    <row r="3293" spans="3:6" x14ac:dyDescent="0.3">
      <c r="C3293" s="1" t="str">
        <f>IF(C3292&lt;'Investment Calculator'!$C$8*'Investment Calculator'!$F$4,'SIP Schedule'!C3292+1,"")</f>
        <v/>
      </c>
      <c r="D3293" s="27" t="str">
        <f>IF(C3293&lt;='Investment Calculator'!$C$8*'Investment Calculator'!$F$4,'Investment Calculator'!$C$6,"")</f>
        <v/>
      </c>
      <c r="E3293" s="27" t="str">
        <f>IFERROR((F3292+D3293)*'Investment Calculator'!$C$7/'Investment Calculator'!$F$4,"")</f>
        <v/>
      </c>
      <c r="F3293" s="27" t="str">
        <f>IFERROR(ABS(FV('Investment Calculator'!$C$7/'Investment Calculator'!$F$4,'SIP Schedule'!C3293,'SIP Schedule'!D3293,,1)),"")</f>
        <v/>
      </c>
    </row>
    <row r="3294" spans="3:6" x14ac:dyDescent="0.3">
      <c r="C3294" s="1" t="str">
        <f>IF(C3293&lt;'Investment Calculator'!$C$8*'Investment Calculator'!$F$4,'SIP Schedule'!C3293+1,"")</f>
        <v/>
      </c>
      <c r="D3294" s="27" t="str">
        <f>IF(C3294&lt;='Investment Calculator'!$C$8*'Investment Calculator'!$F$4,'Investment Calculator'!$C$6,"")</f>
        <v/>
      </c>
      <c r="E3294" s="27" t="str">
        <f>IFERROR((F3293+D3294)*'Investment Calculator'!$C$7/'Investment Calculator'!$F$4,"")</f>
        <v/>
      </c>
      <c r="F3294" s="27" t="str">
        <f>IFERROR(ABS(FV('Investment Calculator'!$C$7/'Investment Calculator'!$F$4,'SIP Schedule'!C3294,'SIP Schedule'!D3294,,1)),"")</f>
        <v/>
      </c>
    </row>
    <row r="3295" spans="3:6" x14ac:dyDescent="0.3">
      <c r="C3295" s="1" t="str">
        <f>IF(C3294&lt;'Investment Calculator'!$C$8*'Investment Calculator'!$F$4,'SIP Schedule'!C3294+1,"")</f>
        <v/>
      </c>
      <c r="D3295" s="27" t="str">
        <f>IF(C3295&lt;='Investment Calculator'!$C$8*'Investment Calculator'!$F$4,'Investment Calculator'!$C$6,"")</f>
        <v/>
      </c>
      <c r="E3295" s="27" t="str">
        <f>IFERROR((F3294+D3295)*'Investment Calculator'!$C$7/'Investment Calculator'!$F$4,"")</f>
        <v/>
      </c>
      <c r="F3295" s="27" t="str">
        <f>IFERROR(ABS(FV('Investment Calculator'!$C$7/'Investment Calculator'!$F$4,'SIP Schedule'!C3295,'SIP Schedule'!D3295,,1)),"")</f>
        <v/>
      </c>
    </row>
    <row r="3296" spans="3:6" x14ac:dyDescent="0.3">
      <c r="C3296" s="1" t="str">
        <f>IF(C3295&lt;'Investment Calculator'!$C$8*'Investment Calculator'!$F$4,'SIP Schedule'!C3295+1,"")</f>
        <v/>
      </c>
      <c r="D3296" s="27" t="str">
        <f>IF(C3296&lt;='Investment Calculator'!$C$8*'Investment Calculator'!$F$4,'Investment Calculator'!$C$6,"")</f>
        <v/>
      </c>
      <c r="E3296" s="27" t="str">
        <f>IFERROR((F3295+D3296)*'Investment Calculator'!$C$7/'Investment Calculator'!$F$4,"")</f>
        <v/>
      </c>
      <c r="F3296" s="27" t="str">
        <f>IFERROR(ABS(FV('Investment Calculator'!$C$7/'Investment Calculator'!$F$4,'SIP Schedule'!C3296,'SIP Schedule'!D3296,,1)),"")</f>
        <v/>
      </c>
    </row>
    <row r="3297" spans="3:6" x14ac:dyDescent="0.3">
      <c r="C3297" s="1" t="str">
        <f>IF(C3296&lt;'Investment Calculator'!$C$8*'Investment Calculator'!$F$4,'SIP Schedule'!C3296+1,"")</f>
        <v/>
      </c>
      <c r="D3297" s="27" t="str">
        <f>IF(C3297&lt;='Investment Calculator'!$C$8*'Investment Calculator'!$F$4,'Investment Calculator'!$C$6,"")</f>
        <v/>
      </c>
      <c r="E3297" s="27" t="str">
        <f>IFERROR((F3296+D3297)*'Investment Calculator'!$C$7/'Investment Calculator'!$F$4,"")</f>
        <v/>
      </c>
      <c r="F3297" s="27" t="str">
        <f>IFERROR(ABS(FV('Investment Calculator'!$C$7/'Investment Calculator'!$F$4,'SIP Schedule'!C3297,'SIP Schedule'!D3297,,1)),"")</f>
        <v/>
      </c>
    </row>
    <row r="3298" spans="3:6" x14ac:dyDescent="0.3">
      <c r="C3298" s="1" t="str">
        <f>IF(C3297&lt;'Investment Calculator'!$C$8*'Investment Calculator'!$F$4,'SIP Schedule'!C3297+1,"")</f>
        <v/>
      </c>
      <c r="D3298" s="27" t="str">
        <f>IF(C3298&lt;='Investment Calculator'!$C$8*'Investment Calculator'!$F$4,'Investment Calculator'!$C$6,"")</f>
        <v/>
      </c>
      <c r="E3298" s="27" t="str">
        <f>IFERROR((F3297+D3298)*'Investment Calculator'!$C$7/'Investment Calculator'!$F$4,"")</f>
        <v/>
      </c>
      <c r="F3298" s="27" t="str">
        <f>IFERROR(ABS(FV('Investment Calculator'!$C$7/'Investment Calculator'!$F$4,'SIP Schedule'!C3298,'SIP Schedule'!D3298,,1)),"")</f>
        <v/>
      </c>
    </row>
    <row r="3299" spans="3:6" x14ac:dyDescent="0.3">
      <c r="C3299" s="1" t="str">
        <f>IF(C3298&lt;'Investment Calculator'!$C$8*'Investment Calculator'!$F$4,'SIP Schedule'!C3298+1,"")</f>
        <v/>
      </c>
      <c r="D3299" s="27" t="str">
        <f>IF(C3299&lt;='Investment Calculator'!$C$8*'Investment Calculator'!$F$4,'Investment Calculator'!$C$6,"")</f>
        <v/>
      </c>
      <c r="E3299" s="27" t="str">
        <f>IFERROR((F3298+D3299)*'Investment Calculator'!$C$7/'Investment Calculator'!$F$4,"")</f>
        <v/>
      </c>
      <c r="F3299" s="27" t="str">
        <f>IFERROR(ABS(FV('Investment Calculator'!$C$7/'Investment Calculator'!$F$4,'SIP Schedule'!C3299,'SIP Schedule'!D3299,,1)),"")</f>
        <v/>
      </c>
    </row>
    <row r="3300" spans="3:6" x14ac:dyDescent="0.3">
      <c r="C3300" s="1" t="str">
        <f>IF(C3299&lt;'Investment Calculator'!$C$8*'Investment Calculator'!$F$4,'SIP Schedule'!C3299+1,"")</f>
        <v/>
      </c>
      <c r="D3300" s="27" t="str">
        <f>IF(C3300&lt;='Investment Calculator'!$C$8*'Investment Calculator'!$F$4,'Investment Calculator'!$C$6,"")</f>
        <v/>
      </c>
      <c r="E3300" s="27" t="str">
        <f>IFERROR((F3299+D3300)*'Investment Calculator'!$C$7/'Investment Calculator'!$F$4,"")</f>
        <v/>
      </c>
      <c r="F3300" s="27" t="str">
        <f>IFERROR(ABS(FV('Investment Calculator'!$C$7/'Investment Calculator'!$F$4,'SIP Schedule'!C3300,'SIP Schedule'!D3300,,1)),"")</f>
        <v/>
      </c>
    </row>
    <row r="3301" spans="3:6" x14ac:dyDescent="0.3">
      <c r="C3301" s="1" t="str">
        <f>IF(C3300&lt;'Investment Calculator'!$C$8*'Investment Calculator'!$F$4,'SIP Schedule'!C3300+1,"")</f>
        <v/>
      </c>
      <c r="D3301" s="27" t="str">
        <f>IF(C3301&lt;='Investment Calculator'!$C$8*'Investment Calculator'!$F$4,'Investment Calculator'!$C$6,"")</f>
        <v/>
      </c>
      <c r="E3301" s="27" t="str">
        <f>IFERROR((F3300+D3301)*'Investment Calculator'!$C$7/'Investment Calculator'!$F$4,"")</f>
        <v/>
      </c>
      <c r="F3301" s="27" t="str">
        <f>IFERROR(ABS(FV('Investment Calculator'!$C$7/'Investment Calculator'!$F$4,'SIP Schedule'!C3301,'SIP Schedule'!D3301,,1)),"")</f>
        <v/>
      </c>
    </row>
    <row r="3302" spans="3:6" x14ac:dyDescent="0.3">
      <c r="C3302" s="1" t="str">
        <f>IF(C3301&lt;'Investment Calculator'!$C$8*'Investment Calculator'!$F$4,'SIP Schedule'!C3301+1,"")</f>
        <v/>
      </c>
      <c r="D3302" s="27" t="str">
        <f>IF(C3302&lt;='Investment Calculator'!$C$8*'Investment Calculator'!$F$4,'Investment Calculator'!$C$6,"")</f>
        <v/>
      </c>
      <c r="E3302" s="27" t="str">
        <f>IFERROR((F3301+D3302)*'Investment Calculator'!$C$7/'Investment Calculator'!$F$4,"")</f>
        <v/>
      </c>
      <c r="F3302" s="27" t="str">
        <f>IFERROR(ABS(FV('Investment Calculator'!$C$7/'Investment Calculator'!$F$4,'SIP Schedule'!C3302,'SIP Schedule'!D3302,,1)),"")</f>
        <v/>
      </c>
    </row>
    <row r="3303" spans="3:6" x14ac:dyDescent="0.3">
      <c r="C3303" s="1" t="str">
        <f>IF(C3302&lt;'Investment Calculator'!$C$8*'Investment Calculator'!$F$4,'SIP Schedule'!C3302+1,"")</f>
        <v/>
      </c>
      <c r="D3303" s="27" t="str">
        <f>IF(C3303&lt;='Investment Calculator'!$C$8*'Investment Calculator'!$F$4,'Investment Calculator'!$C$6,"")</f>
        <v/>
      </c>
      <c r="E3303" s="27" t="str">
        <f>IFERROR((F3302+D3303)*'Investment Calculator'!$C$7/'Investment Calculator'!$F$4,"")</f>
        <v/>
      </c>
      <c r="F3303" s="27" t="str">
        <f>IFERROR(ABS(FV('Investment Calculator'!$C$7/'Investment Calculator'!$F$4,'SIP Schedule'!C3303,'SIP Schedule'!D3303,,1)),"")</f>
        <v/>
      </c>
    </row>
    <row r="3304" spans="3:6" x14ac:dyDescent="0.3">
      <c r="C3304" s="1" t="str">
        <f>IF(C3303&lt;'Investment Calculator'!$C$8*'Investment Calculator'!$F$4,'SIP Schedule'!C3303+1,"")</f>
        <v/>
      </c>
      <c r="D3304" s="27" t="str">
        <f>IF(C3304&lt;='Investment Calculator'!$C$8*'Investment Calculator'!$F$4,'Investment Calculator'!$C$6,"")</f>
        <v/>
      </c>
      <c r="E3304" s="27" t="str">
        <f>IFERROR((F3303+D3304)*'Investment Calculator'!$C$7/'Investment Calculator'!$F$4,"")</f>
        <v/>
      </c>
      <c r="F3304" s="27" t="str">
        <f>IFERROR(ABS(FV('Investment Calculator'!$C$7/'Investment Calculator'!$F$4,'SIP Schedule'!C3304,'SIP Schedule'!D3304,,1)),"")</f>
        <v/>
      </c>
    </row>
    <row r="3305" spans="3:6" x14ac:dyDescent="0.3">
      <c r="C3305" s="1" t="str">
        <f>IF(C3304&lt;'Investment Calculator'!$C$8*'Investment Calculator'!$F$4,'SIP Schedule'!C3304+1,"")</f>
        <v/>
      </c>
      <c r="D3305" s="27" t="str">
        <f>IF(C3305&lt;='Investment Calculator'!$C$8*'Investment Calculator'!$F$4,'Investment Calculator'!$C$6,"")</f>
        <v/>
      </c>
      <c r="E3305" s="27" t="str">
        <f>IFERROR((F3304+D3305)*'Investment Calculator'!$C$7/'Investment Calculator'!$F$4,"")</f>
        <v/>
      </c>
      <c r="F3305" s="27" t="str">
        <f>IFERROR(ABS(FV('Investment Calculator'!$C$7/'Investment Calculator'!$F$4,'SIP Schedule'!C3305,'SIP Schedule'!D3305,,1)),"")</f>
        <v/>
      </c>
    </row>
    <row r="3306" spans="3:6" x14ac:dyDescent="0.3">
      <c r="C3306" s="1" t="str">
        <f>IF(C3305&lt;'Investment Calculator'!$C$8*'Investment Calculator'!$F$4,'SIP Schedule'!C3305+1,"")</f>
        <v/>
      </c>
      <c r="D3306" s="27" t="str">
        <f>IF(C3306&lt;='Investment Calculator'!$C$8*'Investment Calculator'!$F$4,'Investment Calculator'!$C$6,"")</f>
        <v/>
      </c>
      <c r="E3306" s="27" t="str">
        <f>IFERROR((F3305+D3306)*'Investment Calculator'!$C$7/'Investment Calculator'!$F$4,"")</f>
        <v/>
      </c>
      <c r="F3306" s="27" t="str">
        <f>IFERROR(ABS(FV('Investment Calculator'!$C$7/'Investment Calculator'!$F$4,'SIP Schedule'!C3306,'SIP Schedule'!D3306,,1)),"")</f>
        <v/>
      </c>
    </row>
    <row r="3307" spans="3:6" x14ac:dyDescent="0.3">
      <c r="C3307" s="1" t="str">
        <f>IF(C3306&lt;'Investment Calculator'!$C$8*'Investment Calculator'!$F$4,'SIP Schedule'!C3306+1,"")</f>
        <v/>
      </c>
      <c r="D3307" s="27" t="str">
        <f>IF(C3307&lt;='Investment Calculator'!$C$8*'Investment Calculator'!$F$4,'Investment Calculator'!$C$6,"")</f>
        <v/>
      </c>
      <c r="E3307" s="27" t="str">
        <f>IFERROR((F3306+D3307)*'Investment Calculator'!$C$7/'Investment Calculator'!$F$4,"")</f>
        <v/>
      </c>
      <c r="F3307" s="27" t="str">
        <f>IFERROR(ABS(FV('Investment Calculator'!$C$7/'Investment Calculator'!$F$4,'SIP Schedule'!C3307,'SIP Schedule'!D3307,,1)),"")</f>
        <v/>
      </c>
    </row>
    <row r="3308" spans="3:6" x14ac:dyDescent="0.3">
      <c r="C3308" s="1" t="str">
        <f>IF(C3307&lt;'Investment Calculator'!$C$8*'Investment Calculator'!$F$4,'SIP Schedule'!C3307+1,"")</f>
        <v/>
      </c>
      <c r="D3308" s="27" t="str">
        <f>IF(C3308&lt;='Investment Calculator'!$C$8*'Investment Calculator'!$F$4,'Investment Calculator'!$C$6,"")</f>
        <v/>
      </c>
      <c r="E3308" s="27" t="str">
        <f>IFERROR((F3307+D3308)*'Investment Calculator'!$C$7/'Investment Calculator'!$F$4,"")</f>
        <v/>
      </c>
      <c r="F3308" s="27" t="str">
        <f>IFERROR(ABS(FV('Investment Calculator'!$C$7/'Investment Calculator'!$F$4,'SIP Schedule'!C3308,'SIP Schedule'!D3308,,1)),"")</f>
        <v/>
      </c>
    </row>
    <row r="3309" spans="3:6" x14ac:dyDescent="0.3">
      <c r="C3309" s="1" t="str">
        <f>IF(C3308&lt;'Investment Calculator'!$C$8*'Investment Calculator'!$F$4,'SIP Schedule'!C3308+1,"")</f>
        <v/>
      </c>
      <c r="D3309" s="27" t="str">
        <f>IF(C3309&lt;='Investment Calculator'!$C$8*'Investment Calculator'!$F$4,'Investment Calculator'!$C$6,"")</f>
        <v/>
      </c>
      <c r="E3309" s="27" t="str">
        <f>IFERROR((F3308+D3309)*'Investment Calculator'!$C$7/'Investment Calculator'!$F$4,"")</f>
        <v/>
      </c>
      <c r="F3309" s="27" t="str">
        <f>IFERROR(ABS(FV('Investment Calculator'!$C$7/'Investment Calculator'!$F$4,'SIP Schedule'!C3309,'SIP Schedule'!D3309,,1)),"")</f>
        <v/>
      </c>
    </row>
    <row r="3310" spans="3:6" x14ac:dyDescent="0.3">
      <c r="C3310" s="1" t="str">
        <f>IF(C3309&lt;'Investment Calculator'!$C$8*'Investment Calculator'!$F$4,'SIP Schedule'!C3309+1,"")</f>
        <v/>
      </c>
      <c r="D3310" s="27" t="str">
        <f>IF(C3310&lt;='Investment Calculator'!$C$8*'Investment Calculator'!$F$4,'Investment Calculator'!$C$6,"")</f>
        <v/>
      </c>
      <c r="E3310" s="27" t="str">
        <f>IFERROR((F3309+D3310)*'Investment Calculator'!$C$7/'Investment Calculator'!$F$4,"")</f>
        <v/>
      </c>
      <c r="F3310" s="27" t="str">
        <f>IFERROR(ABS(FV('Investment Calculator'!$C$7/'Investment Calculator'!$F$4,'SIP Schedule'!C3310,'SIP Schedule'!D3310,,1)),"")</f>
        <v/>
      </c>
    </row>
    <row r="3311" spans="3:6" x14ac:dyDescent="0.3">
      <c r="C3311" s="1" t="str">
        <f>IF(C3310&lt;'Investment Calculator'!$C$8*'Investment Calculator'!$F$4,'SIP Schedule'!C3310+1,"")</f>
        <v/>
      </c>
      <c r="D3311" s="27" t="str">
        <f>IF(C3311&lt;='Investment Calculator'!$C$8*'Investment Calculator'!$F$4,'Investment Calculator'!$C$6,"")</f>
        <v/>
      </c>
      <c r="E3311" s="27" t="str">
        <f>IFERROR((F3310+D3311)*'Investment Calculator'!$C$7/'Investment Calculator'!$F$4,"")</f>
        <v/>
      </c>
      <c r="F3311" s="27" t="str">
        <f>IFERROR(ABS(FV('Investment Calculator'!$C$7/'Investment Calculator'!$F$4,'SIP Schedule'!C3311,'SIP Schedule'!D3311,,1)),"")</f>
        <v/>
      </c>
    </row>
    <row r="3312" spans="3:6" x14ac:dyDescent="0.3">
      <c r="C3312" s="1" t="str">
        <f>IF(C3311&lt;'Investment Calculator'!$C$8*'Investment Calculator'!$F$4,'SIP Schedule'!C3311+1,"")</f>
        <v/>
      </c>
      <c r="D3312" s="27" t="str">
        <f>IF(C3312&lt;='Investment Calculator'!$C$8*'Investment Calculator'!$F$4,'Investment Calculator'!$C$6,"")</f>
        <v/>
      </c>
      <c r="E3312" s="27" t="str">
        <f>IFERROR((F3311+D3312)*'Investment Calculator'!$C$7/'Investment Calculator'!$F$4,"")</f>
        <v/>
      </c>
      <c r="F3312" s="27" t="str">
        <f>IFERROR(ABS(FV('Investment Calculator'!$C$7/'Investment Calculator'!$F$4,'SIP Schedule'!C3312,'SIP Schedule'!D3312,,1)),"")</f>
        <v/>
      </c>
    </row>
    <row r="3313" spans="3:6" x14ac:dyDescent="0.3">
      <c r="C3313" s="1" t="str">
        <f>IF(C3312&lt;'Investment Calculator'!$C$8*'Investment Calculator'!$F$4,'SIP Schedule'!C3312+1,"")</f>
        <v/>
      </c>
      <c r="D3313" s="27" t="str">
        <f>IF(C3313&lt;='Investment Calculator'!$C$8*'Investment Calculator'!$F$4,'Investment Calculator'!$C$6,"")</f>
        <v/>
      </c>
      <c r="E3313" s="27" t="str">
        <f>IFERROR((F3312+D3313)*'Investment Calculator'!$C$7/'Investment Calculator'!$F$4,"")</f>
        <v/>
      </c>
      <c r="F3313" s="27" t="str">
        <f>IFERROR(ABS(FV('Investment Calculator'!$C$7/'Investment Calculator'!$F$4,'SIP Schedule'!C3313,'SIP Schedule'!D3313,,1)),"")</f>
        <v/>
      </c>
    </row>
    <row r="3314" spans="3:6" x14ac:dyDescent="0.3">
      <c r="C3314" s="1" t="str">
        <f>IF(C3313&lt;'Investment Calculator'!$C$8*'Investment Calculator'!$F$4,'SIP Schedule'!C3313+1,"")</f>
        <v/>
      </c>
      <c r="D3314" s="27" t="str">
        <f>IF(C3314&lt;='Investment Calculator'!$C$8*'Investment Calculator'!$F$4,'Investment Calculator'!$C$6,"")</f>
        <v/>
      </c>
      <c r="E3314" s="27" t="str">
        <f>IFERROR((F3313+D3314)*'Investment Calculator'!$C$7/'Investment Calculator'!$F$4,"")</f>
        <v/>
      </c>
      <c r="F3314" s="27" t="str">
        <f>IFERROR(ABS(FV('Investment Calculator'!$C$7/'Investment Calculator'!$F$4,'SIP Schedule'!C3314,'SIP Schedule'!D3314,,1)),"")</f>
        <v/>
      </c>
    </row>
    <row r="3315" spans="3:6" x14ac:dyDescent="0.3">
      <c r="C3315" s="1" t="str">
        <f>IF(C3314&lt;'Investment Calculator'!$C$8*'Investment Calculator'!$F$4,'SIP Schedule'!C3314+1,"")</f>
        <v/>
      </c>
      <c r="D3315" s="27" t="str">
        <f>IF(C3315&lt;='Investment Calculator'!$C$8*'Investment Calculator'!$F$4,'Investment Calculator'!$C$6,"")</f>
        <v/>
      </c>
      <c r="E3315" s="27" t="str">
        <f>IFERROR((F3314+D3315)*'Investment Calculator'!$C$7/'Investment Calculator'!$F$4,"")</f>
        <v/>
      </c>
      <c r="F3315" s="27" t="str">
        <f>IFERROR(ABS(FV('Investment Calculator'!$C$7/'Investment Calculator'!$F$4,'SIP Schedule'!C3315,'SIP Schedule'!D3315,,1)),"")</f>
        <v/>
      </c>
    </row>
    <row r="3316" spans="3:6" x14ac:dyDescent="0.3">
      <c r="C3316" s="1" t="str">
        <f>IF(C3315&lt;'Investment Calculator'!$C$8*'Investment Calculator'!$F$4,'SIP Schedule'!C3315+1,"")</f>
        <v/>
      </c>
      <c r="D3316" s="27" t="str">
        <f>IF(C3316&lt;='Investment Calculator'!$C$8*'Investment Calculator'!$F$4,'Investment Calculator'!$C$6,"")</f>
        <v/>
      </c>
      <c r="E3316" s="27" t="str">
        <f>IFERROR((F3315+D3316)*'Investment Calculator'!$C$7/'Investment Calculator'!$F$4,"")</f>
        <v/>
      </c>
      <c r="F3316" s="27" t="str">
        <f>IFERROR(ABS(FV('Investment Calculator'!$C$7/'Investment Calculator'!$F$4,'SIP Schedule'!C3316,'SIP Schedule'!D3316,,1)),"")</f>
        <v/>
      </c>
    </row>
    <row r="3317" spans="3:6" x14ac:dyDescent="0.3">
      <c r="C3317" s="1" t="str">
        <f>IF(C3316&lt;'Investment Calculator'!$C$8*'Investment Calculator'!$F$4,'SIP Schedule'!C3316+1,"")</f>
        <v/>
      </c>
      <c r="D3317" s="27" t="str">
        <f>IF(C3317&lt;='Investment Calculator'!$C$8*'Investment Calculator'!$F$4,'Investment Calculator'!$C$6,"")</f>
        <v/>
      </c>
      <c r="E3317" s="27" t="str">
        <f>IFERROR((F3316+D3317)*'Investment Calculator'!$C$7/'Investment Calculator'!$F$4,"")</f>
        <v/>
      </c>
      <c r="F3317" s="27" t="str">
        <f>IFERROR(ABS(FV('Investment Calculator'!$C$7/'Investment Calculator'!$F$4,'SIP Schedule'!C3317,'SIP Schedule'!D3317,,1)),"")</f>
        <v/>
      </c>
    </row>
    <row r="3318" spans="3:6" x14ac:dyDescent="0.3">
      <c r="C3318" s="1" t="str">
        <f>IF(C3317&lt;'Investment Calculator'!$C$8*'Investment Calculator'!$F$4,'SIP Schedule'!C3317+1,"")</f>
        <v/>
      </c>
      <c r="D3318" s="27" t="str">
        <f>IF(C3318&lt;='Investment Calculator'!$C$8*'Investment Calculator'!$F$4,'Investment Calculator'!$C$6,"")</f>
        <v/>
      </c>
      <c r="E3318" s="27" t="str">
        <f>IFERROR((F3317+D3318)*'Investment Calculator'!$C$7/'Investment Calculator'!$F$4,"")</f>
        <v/>
      </c>
      <c r="F3318" s="27" t="str">
        <f>IFERROR(ABS(FV('Investment Calculator'!$C$7/'Investment Calculator'!$F$4,'SIP Schedule'!C3318,'SIP Schedule'!D3318,,1)),"")</f>
        <v/>
      </c>
    </row>
    <row r="3319" spans="3:6" x14ac:dyDescent="0.3">
      <c r="C3319" s="1" t="str">
        <f>IF(C3318&lt;'Investment Calculator'!$C$8*'Investment Calculator'!$F$4,'SIP Schedule'!C3318+1,"")</f>
        <v/>
      </c>
      <c r="D3319" s="27" t="str">
        <f>IF(C3319&lt;='Investment Calculator'!$C$8*'Investment Calculator'!$F$4,'Investment Calculator'!$C$6,"")</f>
        <v/>
      </c>
      <c r="E3319" s="27" t="str">
        <f>IFERROR((F3318+D3319)*'Investment Calculator'!$C$7/'Investment Calculator'!$F$4,"")</f>
        <v/>
      </c>
      <c r="F3319" s="27" t="str">
        <f>IFERROR(ABS(FV('Investment Calculator'!$C$7/'Investment Calculator'!$F$4,'SIP Schedule'!C3319,'SIP Schedule'!D3319,,1)),"")</f>
        <v/>
      </c>
    </row>
    <row r="3320" spans="3:6" x14ac:dyDescent="0.3">
      <c r="C3320" s="1" t="str">
        <f>IF(C3319&lt;'Investment Calculator'!$C$8*'Investment Calculator'!$F$4,'SIP Schedule'!C3319+1,"")</f>
        <v/>
      </c>
      <c r="D3320" s="27" t="str">
        <f>IF(C3320&lt;='Investment Calculator'!$C$8*'Investment Calculator'!$F$4,'Investment Calculator'!$C$6,"")</f>
        <v/>
      </c>
      <c r="E3320" s="27" t="str">
        <f>IFERROR((F3319+D3320)*'Investment Calculator'!$C$7/'Investment Calculator'!$F$4,"")</f>
        <v/>
      </c>
      <c r="F3320" s="27" t="str">
        <f>IFERROR(ABS(FV('Investment Calculator'!$C$7/'Investment Calculator'!$F$4,'SIP Schedule'!C3320,'SIP Schedule'!D3320,,1)),"")</f>
        <v/>
      </c>
    </row>
    <row r="3321" spans="3:6" x14ac:dyDescent="0.3">
      <c r="C3321" s="1" t="str">
        <f>IF(C3320&lt;'Investment Calculator'!$C$8*'Investment Calculator'!$F$4,'SIP Schedule'!C3320+1,"")</f>
        <v/>
      </c>
      <c r="D3321" s="27" t="str">
        <f>IF(C3321&lt;='Investment Calculator'!$C$8*'Investment Calculator'!$F$4,'Investment Calculator'!$C$6,"")</f>
        <v/>
      </c>
      <c r="E3321" s="27" t="str">
        <f>IFERROR((F3320+D3321)*'Investment Calculator'!$C$7/'Investment Calculator'!$F$4,"")</f>
        <v/>
      </c>
      <c r="F3321" s="27" t="str">
        <f>IFERROR(ABS(FV('Investment Calculator'!$C$7/'Investment Calculator'!$F$4,'SIP Schedule'!C3321,'SIP Schedule'!D3321,,1)),"")</f>
        <v/>
      </c>
    </row>
    <row r="3322" spans="3:6" x14ac:dyDescent="0.3">
      <c r="C3322" s="1" t="str">
        <f>IF(C3321&lt;'Investment Calculator'!$C$8*'Investment Calculator'!$F$4,'SIP Schedule'!C3321+1,"")</f>
        <v/>
      </c>
      <c r="D3322" s="27" t="str">
        <f>IF(C3322&lt;='Investment Calculator'!$C$8*'Investment Calculator'!$F$4,'Investment Calculator'!$C$6,"")</f>
        <v/>
      </c>
      <c r="E3322" s="27" t="str">
        <f>IFERROR((F3321+D3322)*'Investment Calculator'!$C$7/'Investment Calculator'!$F$4,"")</f>
        <v/>
      </c>
      <c r="F3322" s="27" t="str">
        <f>IFERROR(ABS(FV('Investment Calculator'!$C$7/'Investment Calculator'!$F$4,'SIP Schedule'!C3322,'SIP Schedule'!D3322,,1)),"")</f>
        <v/>
      </c>
    </row>
    <row r="3323" spans="3:6" x14ac:dyDescent="0.3">
      <c r="C3323" s="1" t="str">
        <f>IF(C3322&lt;'Investment Calculator'!$C$8*'Investment Calculator'!$F$4,'SIP Schedule'!C3322+1,"")</f>
        <v/>
      </c>
      <c r="D3323" s="27" t="str">
        <f>IF(C3323&lt;='Investment Calculator'!$C$8*'Investment Calculator'!$F$4,'Investment Calculator'!$C$6,"")</f>
        <v/>
      </c>
      <c r="E3323" s="27" t="str">
        <f>IFERROR((F3322+D3323)*'Investment Calculator'!$C$7/'Investment Calculator'!$F$4,"")</f>
        <v/>
      </c>
      <c r="F3323" s="27" t="str">
        <f>IFERROR(ABS(FV('Investment Calculator'!$C$7/'Investment Calculator'!$F$4,'SIP Schedule'!C3323,'SIP Schedule'!D3323,,1)),"")</f>
        <v/>
      </c>
    </row>
    <row r="3324" spans="3:6" x14ac:dyDescent="0.3">
      <c r="C3324" s="1" t="str">
        <f>IF(C3323&lt;'Investment Calculator'!$C$8*'Investment Calculator'!$F$4,'SIP Schedule'!C3323+1,"")</f>
        <v/>
      </c>
      <c r="D3324" s="27" t="str">
        <f>IF(C3324&lt;='Investment Calculator'!$C$8*'Investment Calculator'!$F$4,'Investment Calculator'!$C$6,"")</f>
        <v/>
      </c>
      <c r="E3324" s="27" t="str">
        <f>IFERROR((F3323+D3324)*'Investment Calculator'!$C$7/'Investment Calculator'!$F$4,"")</f>
        <v/>
      </c>
      <c r="F3324" s="27" t="str">
        <f>IFERROR(ABS(FV('Investment Calculator'!$C$7/'Investment Calculator'!$F$4,'SIP Schedule'!C3324,'SIP Schedule'!D3324,,1)),"")</f>
        <v/>
      </c>
    </row>
    <row r="3325" spans="3:6" x14ac:dyDescent="0.3">
      <c r="C3325" s="1" t="str">
        <f>IF(C3324&lt;'Investment Calculator'!$C$8*'Investment Calculator'!$F$4,'SIP Schedule'!C3324+1,"")</f>
        <v/>
      </c>
      <c r="D3325" s="27" t="str">
        <f>IF(C3325&lt;='Investment Calculator'!$C$8*'Investment Calculator'!$F$4,'Investment Calculator'!$C$6,"")</f>
        <v/>
      </c>
      <c r="E3325" s="27" t="str">
        <f>IFERROR((F3324+D3325)*'Investment Calculator'!$C$7/'Investment Calculator'!$F$4,"")</f>
        <v/>
      </c>
      <c r="F3325" s="27" t="str">
        <f>IFERROR(ABS(FV('Investment Calculator'!$C$7/'Investment Calculator'!$F$4,'SIP Schedule'!C3325,'SIP Schedule'!D3325,,1)),"")</f>
        <v/>
      </c>
    </row>
    <row r="3326" spans="3:6" x14ac:dyDescent="0.3">
      <c r="C3326" s="1" t="str">
        <f>IF(C3325&lt;'Investment Calculator'!$C$8*'Investment Calculator'!$F$4,'SIP Schedule'!C3325+1,"")</f>
        <v/>
      </c>
      <c r="D3326" s="27" t="str">
        <f>IF(C3326&lt;='Investment Calculator'!$C$8*'Investment Calculator'!$F$4,'Investment Calculator'!$C$6,"")</f>
        <v/>
      </c>
      <c r="E3326" s="27" t="str">
        <f>IFERROR((F3325+D3326)*'Investment Calculator'!$C$7/'Investment Calculator'!$F$4,"")</f>
        <v/>
      </c>
      <c r="F3326" s="27" t="str">
        <f>IFERROR(ABS(FV('Investment Calculator'!$C$7/'Investment Calculator'!$F$4,'SIP Schedule'!C3326,'SIP Schedule'!D3326,,1)),"")</f>
        <v/>
      </c>
    </row>
    <row r="3327" spans="3:6" x14ac:dyDescent="0.3">
      <c r="C3327" s="1" t="str">
        <f>IF(C3326&lt;'Investment Calculator'!$C$8*'Investment Calculator'!$F$4,'SIP Schedule'!C3326+1,"")</f>
        <v/>
      </c>
      <c r="D3327" s="27" t="str">
        <f>IF(C3327&lt;='Investment Calculator'!$C$8*'Investment Calculator'!$F$4,'Investment Calculator'!$C$6,"")</f>
        <v/>
      </c>
      <c r="E3327" s="27" t="str">
        <f>IFERROR((F3326+D3327)*'Investment Calculator'!$C$7/'Investment Calculator'!$F$4,"")</f>
        <v/>
      </c>
      <c r="F3327" s="27" t="str">
        <f>IFERROR(ABS(FV('Investment Calculator'!$C$7/'Investment Calculator'!$F$4,'SIP Schedule'!C3327,'SIP Schedule'!D3327,,1)),"")</f>
        <v/>
      </c>
    </row>
    <row r="3328" spans="3:6" x14ac:dyDescent="0.3">
      <c r="C3328" s="1" t="str">
        <f>IF(C3327&lt;'Investment Calculator'!$C$8*'Investment Calculator'!$F$4,'SIP Schedule'!C3327+1,"")</f>
        <v/>
      </c>
      <c r="D3328" s="27" t="str">
        <f>IF(C3328&lt;='Investment Calculator'!$C$8*'Investment Calculator'!$F$4,'Investment Calculator'!$C$6,"")</f>
        <v/>
      </c>
      <c r="E3328" s="27" t="str">
        <f>IFERROR((F3327+D3328)*'Investment Calculator'!$C$7/'Investment Calculator'!$F$4,"")</f>
        <v/>
      </c>
      <c r="F3328" s="27" t="str">
        <f>IFERROR(ABS(FV('Investment Calculator'!$C$7/'Investment Calculator'!$F$4,'SIP Schedule'!C3328,'SIP Schedule'!D3328,,1)),"")</f>
        <v/>
      </c>
    </row>
    <row r="3329" spans="3:6" x14ac:dyDescent="0.3">
      <c r="C3329" s="1" t="str">
        <f>IF(C3328&lt;'Investment Calculator'!$C$8*'Investment Calculator'!$F$4,'SIP Schedule'!C3328+1,"")</f>
        <v/>
      </c>
      <c r="D3329" s="27" t="str">
        <f>IF(C3329&lt;='Investment Calculator'!$C$8*'Investment Calculator'!$F$4,'Investment Calculator'!$C$6,"")</f>
        <v/>
      </c>
      <c r="E3329" s="27" t="str">
        <f>IFERROR((F3328+D3329)*'Investment Calculator'!$C$7/'Investment Calculator'!$F$4,"")</f>
        <v/>
      </c>
      <c r="F3329" s="27" t="str">
        <f>IFERROR(ABS(FV('Investment Calculator'!$C$7/'Investment Calculator'!$F$4,'SIP Schedule'!C3329,'SIP Schedule'!D3329,,1)),"")</f>
        <v/>
      </c>
    </row>
    <row r="3330" spans="3:6" x14ac:dyDescent="0.3">
      <c r="C3330" s="1" t="str">
        <f>IF(C3329&lt;'Investment Calculator'!$C$8*'Investment Calculator'!$F$4,'SIP Schedule'!C3329+1,"")</f>
        <v/>
      </c>
      <c r="D3330" s="27" t="str">
        <f>IF(C3330&lt;='Investment Calculator'!$C$8*'Investment Calculator'!$F$4,'Investment Calculator'!$C$6,"")</f>
        <v/>
      </c>
      <c r="E3330" s="27" t="str">
        <f>IFERROR((F3329+D3330)*'Investment Calculator'!$C$7/'Investment Calculator'!$F$4,"")</f>
        <v/>
      </c>
      <c r="F3330" s="27" t="str">
        <f>IFERROR(ABS(FV('Investment Calculator'!$C$7/'Investment Calculator'!$F$4,'SIP Schedule'!C3330,'SIP Schedule'!D3330,,1)),"")</f>
        <v/>
      </c>
    </row>
    <row r="3331" spans="3:6" x14ac:dyDescent="0.3">
      <c r="C3331" s="1" t="str">
        <f>IF(C3330&lt;'Investment Calculator'!$C$8*'Investment Calculator'!$F$4,'SIP Schedule'!C3330+1,"")</f>
        <v/>
      </c>
      <c r="D3331" s="27" t="str">
        <f>IF(C3331&lt;='Investment Calculator'!$C$8*'Investment Calculator'!$F$4,'Investment Calculator'!$C$6,"")</f>
        <v/>
      </c>
      <c r="E3331" s="27" t="str">
        <f>IFERROR((F3330+D3331)*'Investment Calculator'!$C$7/'Investment Calculator'!$F$4,"")</f>
        <v/>
      </c>
      <c r="F3331" s="27" t="str">
        <f>IFERROR(ABS(FV('Investment Calculator'!$C$7/'Investment Calculator'!$F$4,'SIP Schedule'!C3331,'SIP Schedule'!D3331,,1)),"")</f>
        <v/>
      </c>
    </row>
    <row r="3332" spans="3:6" x14ac:dyDescent="0.3">
      <c r="C3332" s="1" t="str">
        <f>IF(C3331&lt;'Investment Calculator'!$C$8*'Investment Calculator'!$F$4,'SIP Schedule'!C3331+1,"")</f>
        <v/>
      </c>
      <c r="D3332" s="27" t="str">
        <f>IF(C3332&lt;='Investment Calculator'!$C$8*'Investment Calculator'!$F$4,'Investment Calculator'!$C$6,"")</f>
        <v/>
      </c>
      <c r="E3332" s="27" t="str">
        <f>IFERROR((F3331+D3332)*'Investment Calculator'!$C$7/'Investment Calculator'!$F$4,"")</f>
        <v/>
      </c>
      <c r="F3332" s="27" t="str">
        <f>IFERROR(ABS(FV('Investment Calculator'!$C$7/'Investment Calculator'!$F$4,'SIP Schedule'!C3332,'SIP Schedule'!D3332,,1)),"")</f>
        <v/>
      </c>
    </row>
    <row r="3333" spans="3:6" x14ac:dyDescent="0.3">
      <c r="C3333" s="1" t="str">
        <f>IF(C3332&lt;'Investment Calculator'!$C$8*'Investment Calculator'!$F$4,'SIP Schedule'!C3332+1,"")</f>
        <v/>
      </c>
      <c r="D3333" s="27" t="str">
        <f>IF(C3333&lt;='Investment Calculator'!$C$8*'Investment Calculator'!$F$4,'Investment Calculator'!$C$6,"")</f>
        <v/>
      </c>
      <c r="E3333" s="27" t="str">
        <f>IFERROR((F3332+D3333)*'Investment Calculator'!$C$7/'Investment Calculator'!$F$4,"")</f>
        <v/>
      </c>
      <c r="F3333" s="27" t="str">
        <f>IFERROR(ABS(FV('Investment Calculator'!$C$7/'Investment Calculator'!$F$4,'SIP Schedule'!C3333,'SIP Schedule'!D3333,,1)),"")</f>
        <v/>
      </c>
    </row>
    <row r="3334" spans="3:6" x14ac:dyDescent="0.3">
      <c r="C3334" s="1" t="str">
        <f>IF(C3333&lt;'Investment Calculator'!$C$8*'Investment Calculator'!$F$4,'SIP Schedule'!C3333+1,"")</f>
        <v/>
      </c>
      <c r="D3334" s="27" t="str">
        <f>IF(C3334&lt;='Investment Calculator'!$C$8*'Investment Calculator'!$F$4,'Investment Calculator'!$C$6,"")</f>
        <v/>
      </c>
      <c r="E3334" s="27" t="str">
        <f>IFERROR((F3333+D3334)*'Investment Calculator'!$C$7/'Investment Calculator'!$F$4,"")</f>
        <v/>
      </c>
      <c r="F3334" s="27" t="str">
        <f>IFERROR(ABS(FV('Investment Calculator'!$C$7/'Investment Calculator'!$F$4,'SIP Schedule'!C3334,'SIP Schedule'!D3334,,1)),"")</f>
        <v/>
      </c>
    </row>
    <row r="3335" spans="3:6" x14ac:dyDescent="0.3">
      <c r="C3335" s="1" t="str">
        <f>IF(C3334&lt;'Investment Calculator'!$C$8*'Investment Calculator'!$F$4,'SIP Schedule'!C3334+1,"")</f>
        <v/>
      </c>
      <c r="D3335" s="27" t="str">
        <f>IF(C3335&lt;='Investment Calculator'!$C$8*'Investment Calculator'!$F$4,'Investment Calculator'!$C$6,"")</f>
        <v/>
      </c>
      <c r="E3335" s="27" t="str">
        <f>IFERROR((F3334+D3335)*'Investment Calculator'!$C$7/'Investment Calculator'!$F$4,"")</f>
        <v/>
      </c>
      <c r="F3335" s="27" t="str">
        <f>IFERROR(ABS(FV('Investment Calculator'!$C$7/'Investment Calculator'!$F$4,'SIP Schedule'!C3335,'SIP Schedule'!D3335,,1)),"")</f>
        <v/>
      </c>
    </row>
    <row r="3336" spans="3:6" x14ac:dyDescent="0.3">
      <c r="C3336" s="1" t="str">
        <f>IF(C3335&lt;'Investment Calculator'!$C$8*'Investment Calculator'!$F$4,'SIP Schedule'!C3335+1,"")</f>
        <v/>
      </c>
      <c r="D3336" s="27" t="str">
        <f>IF(C3336&lt;='Investment Calculator'!$C$8*'Investment Calculator'!$F$4,'Investment Calculator'!$C$6,"")</f>
        <v/>
      </c>
      <c r="E3336" s="27" t="str">
        <f>IFERROR((F3335+D3336)*'Investment Calculator'!$C$7/'Investment Calculator'!$F$4,"")</f>
        <v/>
      </c>
      <c r="F3336" s="27" t="str">
        <f>IFERROR(ABS(FV('Investment Calculator'!$C$7/'Investment Calculator'!$F$4,'SIP Schedule'!C3336,'SIP Schedule'!D3336,,1)),"")</f>
        <v/>
      </c>
    </row>
    <row r="3337" spans="3:6" x14ac:dyDescent="0.3">
      <c r="C3337" s="1" t="str">
        <f>IF(C3336&lt;'Investment Calculator'!$C$8*'Investment Calculator'!$F$4,'SIP Schedule'!C3336+1,"")</f>
        <v/>
      </c>
      <c r="D3337" s="27" t="str">
        <f>IF(C3337&lt;='Investment Calculator'!$C$8*'Investment Calculator'!$F$4,'Investment Calculator'!$C$6,"")</f>
        <v/>
      </c>
      <c r="E3337" s="27" t="str">
        <f>IFERROR((F3336+D3337)*'Investment Calculator'!$C$7/'Investment Calculator'!$F$4,"")</f>
        <v/>
      </c>
      <c r="F3337" s="27" t="str">
        <f>IFERROR(ABS(FV('Investment Calculator'!$C$7/'Investment Calculator'!$F$4,'SIP Schedule'!C3337,'SIP Schedule'!D3337,,1)),"")</f>
        <v/>
      </c>
    </row>
    <row r="3338" spans="3:6" x14ac:dyDescent="0.3">
      <c r="C3338" s="1" t="str">
        <f>IF(C3337&lt;'Investment Calculator'!$C$8*'Investment Calculator'!$F$4,'SIP Schedule'!C3337+1,"")</f>
        <v/>
      </c>
      <c r="D3338" s="27" t="str">
        <f>IF(C3338&lt;='Investment Calculator'!$C$8*'Investment Calculator'!$F$4,'Investment Calculator'!$C$6,"")</f>
        <v/>
      </c>
      <c r="E3338" s="27" t="str">
        <f>IFERROR((F3337+D3338)*'Investment Calculator'!$C$7/'Investment Calculator'!$F$4,"")</f>
        <v/>
      </c>
      <c r="F3338" s="27" t="str">
        <f>IFERROR(ABS(FV('Investment Calculator'!$C$7/'Investment Calculator'!$F$4,'SIP Schedule'!C3338,'SIP Schedule'!D3338,,1)),"")</f>
        <v/>
      </c>
    </row>
    <row r="3339" spans="3:6" x14ac:dyDescent="0.3">
      <c r="C3339" s="1" t="str">
        <f>IF(C3338&lt;'Investment Calculator'!$C$8*'Investment Calculator'!$F$4,'SIP Schedule'!C3338+1,"")</f>
        <v/>
      </c>
      <c r="D3339" s="27" t="str">
        <f>IF(C3339&lt;='Investment Calculator'!$C$8*'Investment Calculator'!$F$4,'Investment Calculator'!$C$6,"")</f>
        <v/>
      </c>
      <c r="E3339" s="27" t="str">
        <f>IFERROR((F3338+D3339)*'Investment Calculator'!$C$7/'Investment Calculator'!$F$4,"")</f>
        <v/>
      </c>
      <c r="F3339" s="27" t="str">
        <f>IFERROR(ABS(FV('Investment Calculator'!$C$7/'Investment Calculator'!$F$4,'SIP Schedule'!C3339,'SIP Schedule'!D3339,,1)),"")</f>
        <v/>
      </c>
    </row>
    <row r="3340" spans="3:6" x14ac:dyDescent="0.3">
      <c r="C3340" s="1" t="str">
        <f>IF(C3339&lt;'Investment Calculator'!$C$8*'Investment Calculator'!$F$4,'SIP Schedule'!C3339+1,"")</f>
        <v/>
      </c>
      <c r="D3340" s="27" t="str">
        <f>IF(C3340&lt;='Investment Calculator'!$C$8*'Investment Calculator'!$F$4,'Investment Calculator'!$C$6,"")</f>
        <v/>
      </c>
      <c r="E3340" s="27" t="str">
        <f>IFERROR((F3339+D3340)*'Investment Calculator'!$C$7/'Investment Calculator'!$F$4,"")</f>
        <v/>
      </c>
      <c r="F3340" s="27" t="str">
        <f>IFERROR(ABS(FV('Investment Calculator'!$C$7/'Investment Calculator'!$F$4,'SIP Schedule'!C3340,'SIP Schedule'!D3340,,1)),"")</f>
        <v/>
      </c>
    </row>
    <row r="3341" spans="3:6" x14ac:dyDescent="0.3">
      <c r="C3341" s="1" t="str">
        <f>IF(C3340&lt;'Investment Calculator'!$C$8*'Investment Calculator'!$F$4,'SIP Schedule'!C3340+1,"")</f>
        <v/>
      </c>
      <c r="D3341" s="27" t="str">
        <f>IF(C3341&lt;='Investment Calculator'!$C$8*'Investment Calculator'!$F$4,'Investment Calculator'!$C$6,"")</f>
        <v/>
      </c>
      <c r="E3341" s="27" t="str">
        <f>IFERROR((F3340+D3341)*'Investment Calculator'!$C$7/'Investment Calculator'!$F$4,"")</f>
        <v/>
      </c>
      <c r="F3341" s="27" t="str">
        <f>IFERROR(ABS(FV('Investment Calculator'!$C$7/'Investment Calculator'!$F$4,'SIP Schedule'!C3341,'SIP Schedule'!D3341,,1)),"")</f>
        <v/>
      </c>
    </row>
    <row r="3342" spans="3:6" x14ac:dyDescent="0.3">
      <c r="C3342" s="1" t="str">
        <f>IF(C3341&lt;'Investment Calculator'!$C$8*'Investment Calculator'!$F$4,'SIP Schedule'!C3341+1,"")</f>
        <v/>
      </c>
      <c r="D3342" s="27" t="str">
        <f>IF(C3342&lt;='Investment Calculator'!$C$8*'Investment Calculator'!$F$4,'Investment Calculator'!$C$6,"")</f>
        <v/>
      </c>
      <c r="E3342" s="27" t="str">
        <f>IFERROR((F3341+D3342)*'Investment Calculator'!$C$7/'Investment Calculator'!$F$4,"")</f>
        <v/>
      </c>
      <c r="F3342" s="27" t="str">
        <f>IFERROR(ABS(FV('Investment Calculator'!$C$7/'Investment Calculator'!$F$4,'SIP Schedule'!C3342,'SIP Schedule'!D3342,,1)),"")</f>
        <v/>
      </c>
    </row>
    <row r="3343" spans="3:6" x14ac:dyDescent="0.3">
      <c r="C3343" s="1" t="str">
        <f>IF(C3342&lt;'Investment Calculator'!$C$8*'Investment Calculator'!$F$4,'SIP Schedule'!C3342+1,"")</f>
        <v/>
      </c>
      <c r="D3343" s="27" t="str">
        <f>IF(C3343&lt;='Investment Calculator'!$C$8*'Investment Calculator'!$F$4,'Investment Calculator'!$C$6,"")</f>
        <v/>
      </c>
      <c r="E3343" s="27" t="str">
        <f>IFERROR((F3342+D3343)*'Investment Calculator'!$C$7/'Investment Calculator'!$F$4,"")</f>
        <v/>
      </c>
      <c r="F3343" s="27" t="str">
        <f>IFERROR(ABS(FV('Investment Calculator'!$C$7/'Investment Calculator'!$F$4,'SIP Schedule'!C3343,'SIP Schedule'!D3343,,1)),"")</f>
        <v/>
      </c>
    </row>
    <row r="3344" spans="3:6" x14ac:dyDescent="0.3">
      <c r="C3344" s="1" t="str">
        <f>IF(C3343&lt;'Investment Calculator'!$C$8*'Investment Calculator'!$F$4,'SIP Schedule'!C3343+1,"")</f>
        <v/>
      </c>
      <c r="D3344" s="27" t="str">
        <f>IF(C3344&lt;='Investment Calculator'!$C$8*'Investment Calculator'!$F$4,'Investment Calculator'!$C$6,"")</f>
        <v/>
      </c>
      <c r="E3344" s="27" t="str">
        <f>IFERROR((F3343+D3344)*'Investment Calculator'!$C$7/'Investment Calculator'!$F$4,"")</f>
        <v/>
      </c>
      <c r="F3344" s="27" t="str">
        <f>IFERROR(ABS(FV('Investment Calculator'!$C$7/'Investment Calculator'!$F$4,'SIP Schedule'!C3344,'SIP Schedule'!D3344,,1)),"")</f>
        <v/>
      </c>
    </row>
    <row r="3345" spans="3:6" x14ac:dyDescent="0.3">
      <c r="C3345" s="1" t="str">
        <f>IF(C3344&lt;'Investment Calculator'!$C$8*'Investment Calculator'!$F$4,'SIP Schedule'!C3344+1,"")</f>
        <v/>
      </c>
      <c r="D3345" s="27" t="str">
        <f>IF(C3345&lt;='Investment Calculator'!$C$8*'Investment Calculator'!$F$4,'Investment Calculator'!$C$6,"")</f>
        <v/>
      </c>
      <c r="E3345" s="27" t="str">
        <f>IFERROR((F3344+D3345)*'Investment Calculator'!$C$7/'Investment Calculator'!$F$4,"")</f>
        <v/>
      </c>
      <c r="F3345" s="27" t="str">
        <f>IFERROR(ABS(FV('Investment Calculator'!$C$7/'Investment Calculator'!$F$4,'SIP Schedule'!C3345,'SIP Schedule'!D3345,,1)),"")</f>
        <v/>
      </c>
    </row>
    <row r="3346" spans="3:6" x14ac:dyDescent="0.3">
      <c r="C3346" s="1" t="str">
        <f>IF(C3345&lt;'Investment Calculator'!$C$8*'Investment Calculator'!$F$4,'SIP Schedule'!C3345+1,"")</f>
        <v/>
      </c>
      <c r="D3346" s="27" t="str">
        <f>IF(C3346&lt;='Investment Calculator'!$C$8*'Investment Calculator'!$F$4,'Investment Calculator'!$C$6,"")</f>
        <v/>
      </c>
      <c r="E3346" s="27" t="str">
        <f>IFERROR((F3345+D3346)*'Investment Calculator'!$C$7/'Investment Calculator'!$F$4,"")</f>
        <v/>
      </c>
      <c r="F3346" s="27" t="str">
        <f>IFERROR(ABS(FV('Investment Calculator'!$C$7/'Investment Calculator'!$F$4,'SIP Schedule'!C3346,'SIP Schedule'!D3346,,1)),"")</f>
        <v/>
      </c>
    </row>
    <row r="3347" spans="3:6" x14ac:dyDescent="0.3">
      <c r="C3347" s="1" t="str">
        <f>IF(C3346&lt;'Investment Calculator'!$C$8*'Investment Calculator'!$F$4,'SIP Schedule'!C3346+1,"")</f>
        <v/>
      </c>
      <c r="D3347" s="27" t="str">
        <f>IF(C3347&lt;='Investment Calculator'!$C$8*'Investment Calculator'!$F$4,'Investment Calculator'!$C$6,"")</f>
        <v/>
      </c>
      <c r="E3347" s="27" t="str">
        <f>IFERROR((F3346+D3347)*'Investment Calculator'!$C$7/'Investment Calculator'!$F$4,"")</f>
        <v/>
      </c>
      <c r="F3347" s="27" t="str">
        <f>IFERROR(ABS(FV('Investment Calculator'!$C$7/'Investment Calculator'!$F$4,'SIP Schedule'!C3347,'SIP Schedule'!D3347,,1)),"")</f>
        <v/>
      </c>
    </row>
    <row r="3348" spans="3:6" x14ac:dyDescent="0.3">
      <c r="C3348" s="1" t="str">
        <f>IF(C3347&lt;'Investment Calculator'!$C$8*'Investment Calculator'!$F$4,'SIP Schedule'!C3347+1,"")</f>
        <v/>
      </c>
      <c r="D3348" s="27" t="str">
        <f>IF(C3348&lt;='Investment Calculator'!$C$8*'Investment Calculator'!$F$4,'Investment Calculator'!$C$6,"")</f>
        <v/>
      </c>
      <c r="E3348" s="27" t="str">
        <f>IFERROR((F3347+D3348)*'Investment Calculator'!$C$7/'Investment Calculator'!$F$4,"")</f>
        <v/>
      </c>
      <c r="F3348" s="27" t="str">
        <f>IFERROR(ABS(FV('Investment Calculator'!$C$7/'Investment Calculator'!$F$4,'SIP Schedule'!C3348,'SIP Schedule'!D3348,,1)),"")</f>
        <v/>
      </c>
    </row>
    <row r="3349" spans="3:6" x14ac:dyDescent="0.3">
      <c r="C3349" s="1" t="str">
        <f>IF(C3348&lt;'Investment Calculator'!$C$8*'Investment Calculator'!$F$4,'SIP Schedule'!C3348+1,"")</f>
        <v/>
      </c>
      <c r="D3349" s="27" t="str">
        <f>IF(C3349&lt;='Investment Calculator'!$C$8*'Investment Calculator'!$F$4,'Investment Calculator'!$C$6,"")</f>
        <v/>
      </c>
      <c r="E3349" s="27" t="str">
        <f>IFERROR((F3348+D3349)*'Investment Calculator'!$C$7/'Investment Calculator'!$F$4,"")</f>
        <v/>
      </c>
      <c r="F3349" s="27" t="str">
        <f>IFERROR(ABS(FV('Investment Calculator'!$C$7/'Investment Calculator'!$F$4,'SIP Schedule'!C3349,'SIP Schedule'!D3349,,1)),"")</f>
        <v/>
      </c>
    </row>
    <row r="3350" spans="3:6" x14ac:dyDescent="0.3">
      <c r="C3350" s="1" t="str">
        <f>IF(C3349&lt;'Investment Calculator'!$C$8*'Investment Calculator'!$F$4,'SIP Schedule'!C3349+1,"")</f>
        <v/>
      </c>
      <c r="D3350" s="27" t="str">
        <f>IF(C3350&lt;='Investment Calculator'!$C$8*'Investment Calculator'!$F$4,'Investment Calculator'!$C$6,"")</f>
        <v/>
      </c>
      <c r="E3350" s="27" t="str">
        <f>IFERROR((F3349+D3350)*'Investment Calculator'!$C$7/'Investment Calculator'!$F$4,"")</f>
        <v/>
      </c>
      <c r="F3350" s="27" t="str">
        <f>IFERROR(ABS(FV('Investment Calculator'!$C$7/'Investment Calculator'!$F$4,'SIP Schedule'!C3350,'SIP Schedule'!D3350,,1)),"")</f>
        <v/>
      </c>
    </row>
    <row r="3351" spans="3:6" x14ac:dyDescent="0.3">
      <c r="C3351" s="1" t="str">
        <f>IF(C3350&lt;'Investment Calculator'!$C$8*'Investment Calculator'!$F$4,'SIP Schedule'!C3350+1,"")</f>
        <v/>
      </c>
      <c r="D3351" s="27" t="str">
        <f>IF(C3351&lt;='Investment Calculator'!$C$8*'Investment Calculator'!$F$4,'Investment Calculator'!$C$6,"")</f>
        <v/>
      </c>
      <c r="E3351" s="27" t="str">
        <f>IFERROR((F3350+D3351)*'Investment Calculator'!$C$7/'Investment Calculator'!$F$4,"")</f>
        <v/>
      </c>
      <c r="F3351" s="27" t="str">
        <f>IFERROR(ABS(FV('Investment Calculator'!$C$7/'Investment Calculator'!$F$4,'SIP Schedule'!C3351,'SIP Schedule'!D3351,,1)),"")</f>
        <v/>
      </c>
    </row>
    <row r="3352" spans="3:6" x14ac:dyDescent="0.3">
      <c r="C3352" s="1" t="str">
        <f>IF(C3351&lt;'Investment Calculator'!$C$8*'Investment Calculator'!$F$4,'SIP Schedule'!C3351+1,"")</f>
        <v/>
      </c>
      <c r="D3352" s="27" t="str">
        <f>IF(C3352&lt;='Investment Calculator'!$C$8*'Investment Calculator'!$F$4,'Investment Calculator'!$C$6,"")</f>
        <v/>
      </c>
      <c r="E3352" s="27" t="str">
        <f>IFERROR((F3351+D3352)*'Investment Calculator'!$C$7/'Investment Calculator'!$F$4,"")</f>
        <v/>
      </c>
      <c r="F3352" s="27" t="str">
        <f>IFERROR(ABS(FV('Investment Calculator'!$C$7/'Investment Calculator'!$F$4,'SIP Schedule'!C3352,'SIP Schedule'!D3352,,1)),"")</f>
        <v/>
      </c>
    </row>
    <row r="3353" spans="3:6" x14ac:dyDescent="0.3">
      <c r="C3353" s="1" t="str">
        <f>IF(C3352&lt;'Investment Calculator'!$C$8*'Investment Calculator'!$F$4,'SIP Schedule'!C3352+1,"")</f>
        <v/>
      </c>
      <c r="D3353" s="27" t="str">
        <f>IF(C3353&lt;='Investment Calculator'!$C$8*'Investment Calculator'!$F$4,'Investment Calculator'!$C$6,"")</f>
        <v/>
      </c>
      <c r="E3353" s="27" t="str">
        <f>IFERROR((F3352+D3353)*'Investment Calculator'!$C$7/'Investment Calculator'!$F$4,"")</f>
        <v/>
      </c>
      <c r="F3353" s="27" t="str">
        <f>IFERROR(ABS(FV('Investment Calculator'!$C$7/'Investment Calculator'!$F$4,'SIP Schedule'!C3353,'SIP Schedule'!D3353,,1)),"")</f>
        <v/>
      </c>
    </row>
    <row r="3354" spans="3:6" x14ac:dyDescent="0.3">
      <c r="C3354" s="1" t="str">
        <f>IF(C3353&lt;'Investment Calculator'!$C$8*'Investment Calculator'!$F$4,'SIP Schedule'!C3353+1,"")</f>
        <v/>
      </c>
      <c r="D3354" s="27" t="str">
        <f>IF(C3354&lt;='Investment Calculator'!$C$8*'Investment Calculator'!$F$4,'Investment Calculator'!$C$6,"")</f>
        <v/>
      </c>
      <c r="E3354" s="27" t="str">
        <f>IFERROR((F3353+D3354)*'Investment Calculator'!$C$7/'Investment Calculator'!$F$4,"")</f>
        <v/>
      </c>
      <c r="F3354" s="27" t="str">
        <f>IFERROR(ABS(FV('Investment Calculator'!$C$7/'Investment Calculator'!$F$4,'SIP Schedule'!C3354,'SIP Schedule'!D3354,,1)),"")</f>
        <v/>
      </c>
    </row>
    <row r="3355" spans="3:6" x14ac:dyDescent="0.3">
      <c r="C3355" s="1" t="str">
        <f>IF(C3354&lt;'Investment Calculator'!$C$8*'Investment Calculator'!$F$4,'SIP Schedule'!C3354+1,"")</f>
        <v/>
      </c>
      <c r="D3355" s="27" t="str">
        <f>IF(C3355&lt;='Investment Calculator'!$C$8*'Investment Calculator'!$F$4,'Investment Calculator'!$C$6,"")</f>
        <v/>
      </c>
      <c r="E3355" s="27" t="str">
        <f>IFERROR((F3354+D3355)*'Investment Calculator'!$C$7/'Investment Calculator'!$F$4,"")</f>
        <v/>
      </c>
      <c r="F3355" s="27" t="str">
        <f>IFERROR(ABS(FV('Investment Calculator'!$C$7/'Investment Calculator'!$F$4,'SIP Schedule'!C3355,'SIP Schedule'!D3355,,1)),"")</f>
        <v/>
      </c>
    </row>
    <row r="3356" spans="3:6" x14ac:dyDescent="0.3">
      <c r="C3356" s="1" t="str">
        <f>IF(C3355&lt;'Investment Calculator'!$C$8*'Investment Calculator'!$F$4,'SIP Schedule'!C3355+1,"")</f>
        <v/>
      </c>
      <c r="D3356" s="27" t="str">
        <f>IF(C3356&lt;='Investment Calculator'!$C$8*'Investment Calculator'!$F$4,'Investment Calculator'!$C$6,"")</f>
        <v/>
      </c>
      <c r="E3356" s="27" t="str">
        <f>IFERROR((F3355+D3356)*'Investment Calculator'!$C$7/'Investment Calculator'!$F$4,"")</f>
        <v/>
      </c>
      <c r="F3356" s="27" t="str">
        <f>IFERROR(ABS(FV('Investment Calculator'!$C$7/'Investment Calculator'!$F$4,'SIP Schedule'!C3356,'SIP Schedule'!D3356,,1)),"")</f>
        <v/>
      </c>
    </row>
    <row r="3357" spans="3:6" x14ac:dyDescent="0.3">
      <c r="C3357" s="1" t="str">
        <f>IF(C3356&lt;'Investment Calculator'!$C$8*'Investment Calculator'!$F$4,'SIP Schedule'!C3356+1,"")</f>
        <v/>
      </c>
      <c r="D3357" s="27" t="str">
        <f>IF(C3357&lt;='Investment Calculator'!$C$8*'Investment Calculator'!$F$4,'Investment Calculator'!$C$6,"")</f>
        <v/>
      </c>
      <c r="E3357" s="27" t="str">
        <f>IFERROR((F3356+D3357)*'Investment Calculator'!$C$7/'Investment Calculator'!$F$4,"")</f>
        <v/>
      </c>
      <c r="F3357" s="27" t="str">
        <f>IFERROR(ABS(FV('Investment Calculator'!$C$7/'Investment Calculator'!$F$4,'SIP Schedule'!C3357,'SIP Schedule'!D3357,,1)),"")</f>
        <v/>
      </c>
    </row>
    <row r="3358" spans="3:6" x14ac:dyDescent="0.3">
      <c r="C3358" s="1" t="str">
        <f>IF(C3357&lt;'Investment Calculator'!$C$8*'Investment Calculator'!$F$4,'SIP Schedule'!C3357+1,"")</f>
        <v/>
      </c>
      <c r="D3358" s="27" t="str">
        <f>IF(C3358&lt;='Investment Calculator'!$C$8*'Investment Calculator'!$F$4,'Investment Calculator'!$C$6,"")</f>
        <v/>
      </c>
      <c r="E3358" s="27" t="str">
        <f>IFERROR((F3357+D3358)*'Investment Calculator'!$C$7/'Investment Calculator'!$F$4,"")</f>
        <v/>
      </c>
      <c r="F3358" s="27" t="str">
        <f>IFERROR(ABS(FV('Investment Calculator'!$C$7/'Investment Calculator'!$F$4,'SIP Schedule'!C3358,'SIP Schedule'!D3358,,1)),"")</f>
        <v/>
      </c>
    </row>
    <row r="3359" spans="3:6" x14ac:dyDescent="0.3">
      <c r="C3359" s="1" t="str">
        <f>IF(C3358&lt;'Investment Calculator'!$C$8*'Investment Calculator'!$F$4,'SIP Schedule'!C3358+1,"")</f>
        <v/>
      </c>
      <c r="D3359" s="27" t="str">
        <f>IF(C3359&lt;='Investment Calculator'!$C$8*'Investment Calculator'!$F$4,'Investment Calculator'!$C$6,"")</f>
        <v/>
      </c>
      <c r="E3359" s="27" t="str">
        <f>IFERROR((F3358+D3359)*'Investment Calculator'!$C$7/'Investment Calculator'!$F$4,"")</f>
        <v/>
      </c>
      <c r="F3359" s="27" t="str">
        <f>IFERROR(ABS(FV('Investment Calculator'!$C$7/'Investment Calculator'!$F$4,'SIP Schedule'!C3359,'SIP Schedule'!D3359,,1)),"")</f>
        <v/>
      </c>
    </row>
    <row r="3360" spans="3:6" x14ac:dyDescent="0.3">
      <c r="C3360" s="1" t="str">
        <f>IF(C3359&lt;'Investment Calculator'!$C$8*'Investment Calculator'!$F$4,'SIP Schedule'!C3359+1,"")</f>
        <v/>
      </c>
      <c r="D3360" s="27" t="str">
        <f>IF(C3360&lt;='Investment Calculator'!$C$8*'Investment Calculator'!$F$4,'Investment Calculator'!$C$6,"")</f>
        <v/>
      </c>
      <c r="E3360" s="27" t="str">
        <f>IFERROR((F3359+D3360)*'Investment Calculator'!$C$7/'Investment Calculator'!$F$4,"")</f>
        <v/>
      </c>
      <c r="F3360" s="27" t="str">
        <f>IFERROR(ABS(FV('Investment Calculator'!$C$7/'Investment Calculator'!$F$4,'SIP Schedule'!C3360,'SIP Schedule'!D3360,,1)),"")</f>
        <v/>
      </c>
    </row>
    <row r="3361" spans="3:6" x14ac:dyDescent="0.3">
      <c r="C3361" s="1" t="str">
        <f>IF(C3360&lt;'Investment Calculator'!$C$8*'Investment Calculator'!$F$4,'SIP Schedule'!C3360+1,"")</f>
        <v/>
      </c>
      <c r="D3361" s="27" t="str">
        <f>IF(C3361&lt;='Investment Calculator'!$C$8*'Investment Calculator'!$F$4,'Investment Calculator'!$C$6,"")</f>
        <v/>
      </c>
      <c r="E3361" s="27" t="str">
        <f>IFERROR((F3360+D3361)*'Investment Calculator'!$C$7/'Investment Calculator'!$F$4,"")</f>
        <v/>
      </c>
      <c r="F3361" s="27" t="str">
        <f>IFERROR(ABS(FV('Investment Calculator'!$C$7/'Investment Calculator'!$F$4,'SIP Schedule'!C3361,'SIP Schedule'!D3361,,1)),"")</f>
        <v/>
      </c>
    </row>
    <row r="3362" spans="3:6" x14ac:dyDescent="0.3">
      <c r="C3362" s="1" t="str">
        <f>IF(C3361&lt;'Investment Calculator'!$C$8*'Investment Calculator'!$F$4,'SIP Schedule'!C3361+1,"")</f>
        <v/>
      </c>
      <c r="D3362" s="27" t="str">
        <f>IF(C3362&lt;='Investment Calculator'!$C$8*'Investment Calculator'!$F$4,'Investment Calculator'!$C$6,"")</f>
        <v/>
      </c>
      <c r="E3362" s="27" t="str">
        <f>IFERROR((F3361+D3362)*'Investment Calculator'!$C$7/'Investment Calculator'!$F$4,"")</f>
        <v/>
      </c>
      <c r="F3362" s="27" t="str">
        <f>IFERROR(ABS(FV('Investment Calculator'!$C$7/'Investment Calculator'!$F$4,'SIP Schedule'!C3362,'SIP Schedule'!D3362,,1)),"")</f>
        <v/>
      </c>
    </row>
    <row r="3363" spans="3:6" x14ac:dyDescent="0.3">
      <c r="C3363" s="1" t="str">
        <f>IF(C3362&lt;'Investment Calculator'!$C$8*'Investment Calculator'!$F$4,'SIP Schedule'!C3362+1,"")</f>
        <v/>
      </c>
      <c r="D3363" s="27" t="str">
        <f>IF(C3363&lt;='Investment Calculator'!$C$8*'Investment Calculator'!$F$4,'Investment Calculator'!$C$6,"")</f>
        <v/>
      </c>
      <c r="E3363" s="27" t="str">
        <f>IFERROR((F3362+D3363)*'Investment Calculator'!$C$7/'Investment Calculator'!$F$4,"")</f>
        <v/>
      </c>
      <c r="F3363" s="27" t="str">
        <f>IFERROR(ABS(FV('Investment Calculator'!$C$7/'Investment Calculator'!$F$4,'SIP Schedule'!C3363,'SIP Schedule'!D3363,,1)),"")</f>
        <v/>
      </c>
    </row>
    <row r="3364" spans="3:6" x14ac:dyDescent="0.3">
      <c r="C3364" s="1" t="str">
        <f>IF(C3363&lt;'Investment Calculator'!$C$8*'Investment Calculator'!$F$4,'SIP Schedule'!C3363+1,"")</f>
        <v/>
      </c>
      <c r="D3364" s="27" t="str">
        <f>IF(C3364&lt;='Investment Calculator'!$C$8*'Investment Calculator'!$F$4,'Investment Calculator'!$C$6,"")</f>
        <v/>
      </c>
      <c r="E3364" s="27" t="str">
        <f>IFERROR((F3363+D3364)*'Investment Calculator'!$C$7/'Investment Calculator'!$F$4,"")</f>
        <v/>
      </c>
      <c r="F3364" s="27" t="str">
        <f>IFERROR(ABS(FV('Investment Calculator'!$C$7/'Investment Calculator'!$F$4,'SIP Schedule'!C3364,'SIP Schedule'!D3364,,1)),"")</f>
        <v/>
      </c>
    </row>
    <row r="3365" spans="3:6" x14ac:dyDescent="0.3">
      <c r="C3365" s="1" t="str">
        <f>IF(C3364&lt;'Investment Calculator'!$C$8*'Investment Calculator'!$F$4,'SIP Schedule'!C3364+1,"")</f>
        <v/>
      </c>
      <c r="D3365" s="27" t="str">
        <f>IF(C3365&lt;='Investment Calculator'!$C$8*'Investment Calculator'!$F$4,'Investment Calculator'!$C$6,"")</f>
        <v/>
      </c>
      <c r="E3365" s="27" t="str">
        <f>IFERROR((F3364+D3365)*'Investment Calculator'!$C$7/'Investment Calculator'!$F$4,"")</f>
        <v/>
      </c>
      <c r="F3365" s="27" t="str">
        <f>IFERROR(ABS(FV('Investment Calculator'!$C$7/'Investment Calculator'!$F$4,'SIP Schedule'!C3365,'SIP Schedule'!D3365,,1)),"")</f>
        <v/>
      </c>
    </row>
    <row r="3366" spans="3:6" x14ac:dyDescent="0.3">
      <c r="C3366" s="1" t="str">
        <f>IF(C3365&lt;'Investment Calculator'!$C$8*'Investment Calculator'!$F$4,'SIP Schedule'!C3365+1,"")</f>
        <v/>
      </c>
      <c r="D3366" s="27" t="str">
        <f>IF(C3366&lt;='Investment Calculator'!$C$8*'Investment Calculator'!$F$4,'Investment Calculator'!$C$6,"")</f>
        <v/>
      </c>
      <c r="E3366" s="27" t="str">
        <f>IFERROR((F3365+D3366)*'Investment Calculator'!$C$7/'Investment Calculator'!$F$4,"")</f>
        <v/>
      </c>
      <c r="F3366" s="27" t="str">
        <f>IFERROR(ABS(FV('Investment Calculator'!$C$7/'Investment Calculator'!$F$4,'SIP Schedule'!C3366,'SIP Schedule'!D3366,,1)),"")</f>
        <v/>
      </c>
    </row>
    <row r="3367" spans="3:6" x14ac:dyDescent="0.3">
      <c r="C3367" s="1" t="str">
        <f>IF(C3366&lt;'Investment Calculator'!$C$8*'Investment Calculator'!$F$4,'SIP Schedule'!C3366+1,"")</f>
        <v/>
      </c>
      <c r="D3367" s="27" t="str">
        <f>IF(C3367&lt;='Investment Calculator'!$C$8*'Investment Calculator'!$F$4,'Investment Calculator'!$C$6,"")</f>
        <v/>
      </c>
      <c r="E3367" s="27" t="str">
        <f>IFERROR((F3366+D3367)*'Investment Calculator'!$C$7/'Investment Calculator'!$F$4,"")</f>
        <v/>
      </c>
      <c r="F3367" s="27" t="str">
        <f>IFERROR(ABS(FV('Investment Calculator'!$C$7/'Investment Calculator'!$F$4,'SIP Schedule'!C3367,'SIP Schedule'!D3367,,1)),"")</f>
        <v/>
      </c>
    </row>
    <row r="3368" spans="3:6" x14ac:dyDescent="0.3">
      <c r="C3368" s="1" t="str">
        <f>IF(C3367&lt;'Investment Calculator'!$C$8*'Investment Calculator'!$F$4,'SIP Schedule'!C3367+1,"")</f>
        <v/>
      </c>
      <c r="D3368" s="27" t="str">
        <f>IF(C3368&lt;='Investment Calculator'!$C$8*'Investment Calculator'!$F$4,'Investment Calculator'!$C$6,"")</f>
        <v/>
      </c>
      <c r="E3368" s="27" t="str">
        <f>IFERROR((F3367+D3368)*'Investment Calculator'!$C$7/'Investment Calculator'!$F$4,"")</f>
        <v/>
      </c>
      <c r="F3368" s="27" t="str">
        <f>IFERROR(ABS(FV('Investment Calculator'!$C$7/'Investment Calculator'!$F$4,'SIP Schedule'!C3368,'SIP Schedule'!D3368,,1)),"")</f>
        <v/>
      </c>
    </row>
    <row r="3369" spans="3:6" x14ac:dyDescent="0.3">
      <c r="C3369" s="1" t="str">
        <f>IF(C3368&lt;'Investment Calculator'!$C$8*'Investment Calculator'!$F$4,'SIP Schedule'!C3368+1,"")</f>
        <v/>
      </c>
      <c r="D3369" s="27" t="str">
        <f>IF(C3369&lt;='Investment Calculator'!$C$8*'Investment Calculator'!$F$4,'Investment Calculator'!$C$6,"")</f>
        <v/>
      </c>
      <c r="E3369" s="27" t="str">
        <f>IFERROR((F3368+D3369)*'Investment Calculator'!$C$7/'Investment Calculator'!$F$4,"")</f>
        <v/>
      </c>
      <c r="F3369" s="27" t="str">
        <f>IFERROR(ABS(FV('Investment Calculator'!$C$7/'Investment Calculator'!$F$4,'SIP Schedule'!C3369,'SIP Schedule'!D3369,,1)),"")</f>
        <v/>
      </c>
    </row>
    <row r="3370" spans="3:6" x14ac:dyDescent="0.3">
      <c r="C3370" s="1" t="str">
        <f>IF(C3369&lt;'Investment Calculator'!$C$8*'Investment Calculator'!$F$4,'SIP Schedule'!C3369+1,"")</f>
        <v/>
      </c>
      <c r="D3370" s="27" t="str">
        <f>IF(C3370&lt;='Investment Calculator'!$C$8*'Investment Calculator'!$F$4,'Investment Calculator'!$C$6,"")</f>
        <v/>
      </c>
      <c r="E3370" s="27" t="str">
        <f>IFERROR((F3369+D3370)*'Investment Calculator'!$C$7/'Investment Calculator'!$F$4,"")</f>
        <v/>
      </c>
      <c r="F3370" s="27" t="str">
        <f>IFERROR(ABS(FV('Investment Calculator'!$C$7/'Investment Calculator'!$F$4,'SIP Schedule'!C3370,'SIP Schedule'!D3370,,1)),"")</f>
        <v/>
      </c>
    </row>
    <row r="3371" spans="3:6" x14ac:dyDescent="0.3">
      <c r="C3371" s="1" t="str">
        <f>IF(C3370&lt;'Investment Calculator'!$C$8*'Investment Calculator'!$F$4,'SIP Schedule'!C3370+1,"")</f>
        <v/>
      </c>
      <c r="D3371" s="27" t="str">
        <f>IF(C3371&lt;='Investment Calculator'!$C$8*'Investment Calculator'!$F$4,'Investment Calculator'!$C$6,"")</f>
        <v/>
      </c>
      <c r="E3371" s="27" t="str">
        <f>IFERROR((F3370+D3371)*'Investment Calculator'!$C$7/'Investment Calculator'!$F$4,"")</f>
        <v/>
      </c>
      <c r="F3371" s="27" t="str">
        <f>IFERROR(ABS(FV('Investment Calculator'!$C$7/'Investment Calculator'!$F$4,'SIP Schedule'!C3371,'SIP Schedule'!D3371,,1)),"")</f>
        <v/>
      </c>
    </row>
    <row r="3372" spans="3:6" x14ac:dyDescent="0.3">
      <c r="C3372" s="1" t="str">
        <f>IF(C3371&lt;'Investment Calculator'!$C$8*'Investment Calculator'!$F$4,'SIP Schedule'!C3371+1,"")</f>
        <v/>
      </c>
      <c r="D3372" s="27" t="str">
        <f>IF(C3372&lt;='Investment Calculator'!$C$8*'Investment Calculator'!$F$4,'Investment Calculator'!$C$6,"")</f>
        <v/>
      </c>
      <c r="E3372" s="27" t="str">
        <f>IFERROR((F3371+D3372)*'Investment Calculator'!$C$7/'Investment Calculator'!$F$4,"")</f>
        <v/>
      </c>
      <c r="F3372" s="27" t="str">
        <f>IFERROR(ABS(FV('Investment Calculator'!$C$7/'Investment Calculator'!$F$4,'SIP Schedule'!C3372,'SIP Schedule'!D3372,,1)),"")</f>
        <v/>
      </c>
    </row>
    <row r="3373" spans="3:6" x14ac:dyDescent="0.3">
      <c r="C3373" s="1" t="str">
        <f>IF(C3372&lt;'Investment Calculator'!$C$8*'Investment Calculator'!$F$4,'SIP Schedule'!C3372+1,"")</f>
        <v/>
      </c>
      <c r="D3373" s="27" t="str">
        <f>IF(C3373&lt;='Investment Calculator'!$C$8*'Investment Calculator'!$F$4,'Investment Calculator'!$C$6,"")</f>
        <v/>
      </c>
      <c r="E3373" s="27" t="str">
        <f>IFERROR((F3372+D3373)*'Investment Calculator'!$C$7/'Investment Calculator'!$F$4,"")</f>
        <v/>
      </c>
      <c r="F3373" s="27" t="str">
        <f>IFERROR(ABS(FV('Investment Calculator'!$C$7/'Investment Calculator'!$F$4,'SIP Schedule'!C3373,'SIP Schedule'!D3373,,1)),"")</f>
        <v/>
      </c>
    </row>
    <row r="3374" spans="3:6" x14ac:dyDescent="0.3">
      <c r="C3374" s="1" t="str">
        <f>IF(C3373&lt;'Investment Calculator'!$C$8*'Investment Calculator'!$F$4,'SIP Schedule'!C3373+1,"")</f>
        <v/>
      </c>
      <c r="D3374" s="27" t="str">
        <f>IF(C3374&lt;='Investment Calculator'!$C$8*'Investment Calculator'!$F$4,'Investment Calculator'!$C$6,"")</f>
        <v/>
      </c>
      <c r="E3374" s="27" t="str">
        <f>IFERROR((F3373+D3374)*'Investment Calculator'!$C$7/'Investment Calculator'!$F$4,"")</f>
        <v/>
      </c>
      <c r="F3374" s="27" t="str">
        <f>IFERROR(ABS(FV('Investment Calculator'!$C$7/'Investment Calculator'!$F$4,'SIP Schedule'!C3374,'SIP Schedule'!D3374,,1)),"")</f>
        <v/>
      </c>
    </row>
    <row r="3375" spans="3:6" x14ac:dyDescent="0.3">
      <c r="C3375" s="1" t="str">
        <f>IF(C3374&lt;'Investment Calculator'!$C$8*'Investment Calculator'!$F$4,'SIP Schedule'!C3374+1,"")</f>
        <v/>
      </c>
      <c r="D3375" s="27" t="str">
        <f>IF(C3375&lt;='Investment Calculator'!$C$8*'Investment Calculator'!$F$4,'Investment Calculator'!$C$6,"")</f>
        <v/>
      </c>
      <c r="E3375" s="27" t="str">
        <f>IFERROR((F3374+D3375)*'Investment Calculator'!$C$7/'Investment Calculator'!$F$4,"")</f>
        <v/>
      </c>
      <c r="F3375" s="27" t="str">
        <f>IFERROR(ABS(FV('Investment Calculator'!$C$7/'Investment Calculator'!$F$4,'SIP Schedule'!C3375,'SIP Schedule'!D3375,,1)),"")</f>
        <v/>
      </c>
    </row>
    <row r="3376" spans="3:6" x14ac:dyDescent="0.3">
      <c r="C3376" s="1" t="str">
        <f>IF(C3375&lt;'Investment Calculator'!$C$8*'Investment Calculator'!$F$4,'SIP Schedule'!C3375+1,"")</f>
        <v/>
      </c>
      <c r="D3376" s="27" t="str">
        <f>IF(C3376&lt;='Investment Calculator'!$C$8*'Investment Calculator'!$F$4,'Investment Calculator'!$C$6,"")</f>
        <v/>
      </c>
      <c r="E3376" s="27" t="str">
        <f>IFERROR((F3375+D3376)*'Investment Calculator'!$C$7/'Investment Calculator'!$F$4,"")</f>
        <v/>
      </c>
      <c r="F3376" s="27" t="str">
        <f>IFERROR(ABS(FV('Investment Calculator'!$C$7/'Investment Calculator'!$F$4,'SIP Schedule'!C3376,'SIP Schedule'!D3376,,1)),"")</f>
        <v/>
      </c>
    </row>
    <row r="3377" spans="3:6" x14ac:dyDescent="0.3">
      <c r="C3377" s="1" t="str">
        <f>IF(C3376&lt;'Investment Calculator'!$C$8*'Investment Calculator'!$F$4,'SIP Schedule'!C3376+1,"")</f>
        <v/>
      </c>
      <c r="D3377" s="27" t="str">
        <f>IF(C3377&lt;='Investment Calculator'!$C$8*'Investment Calculator'!$F$4,'Investment Calculator'!$C$6,"")</f>
        <v/>
      </c>
      <c r="E3377" s="27" t="str">
        <f>IFERROR((F3376+D3377)*'Investment Calculator'!$C$7/'Investment Calculator'!$F$4,"")</f>
        <v/>
      </c>
      <c r="F3377" s="27" t="str">
        <f>IFERROR(ABS(FV('Investment Calculator'!$C$7/'Investment Calculator'!$F$4,'SIP Schedule'!C3377,'SIP Schedule'!D3377,,1)),"")</f>
        <v/>
      </c>
    </row>
    <row r="3378" spans="3:6" x14ac:dyDescent="0.3">
      <c r="C3378" s="1" t="str">
        <f>IF(C3377&lt;'Investment Calculator'!$C$8*'Investment Calculator'!$F$4,'SIP Schedule'!C3377+1,"")</f>
        <v/>
      </c>
      <c r="D3378" s="27" t="str">
        <f>IF(C3378&lt;='Investment Calculator'!$C$8*'Investment Calculator'!$F$4,'Investment Calculator'!$C$6,"")</f>
        <v/>
      </c>
      <c r="E3378" s="27" t="str">
        <f>IFERROR((F3377+D3378)*'Investment Calculator'!$C$7/'Investment Calculator'!$F$4,"")</f>
        <v/>
      </c>
      <c r="F3378" s="27" t="str">
        <f>IFERROR(ABS(FV('Investment Calculator'!$C$7/'Investment Calculator'!$F$4,'SIP Schedule'!C3378,'SIP Schedule'!D3378,,1)),"")</f>
        <v/>
      </c>
    </row>
    <row r="3379" spans="3:6" x14ac:dyDescent="0.3">
      <c r="C3379" s="1" t="str">
        <f>IF(C3378&lt;'Investment Calculator'!$C$8*'Investment Calculator'!$F$4,'SIP Schedule'!C3378+1,"")</f>
        <v/>
      </c>
      <c r="D3379" s="27" t="str">
        <f>IF(C3379&lt;='Investment Calculator'!$C$8*'Investment Calculator'!$F$4,'Investment Calculator'!$C$6,"")</f>
        <v/>
      </c>
      <c r="E3379" s="27" t="str">
        <f>IFERROR((F3378+D3379)*'Investment Calculator'!$C$7/'Investment Calculator'!$F$4,"")</f>
        <v/>
      </c>
      <c r="F3379" s="27" t="str">
        <f>IFERROR(ABS(FV('Investment Calculator'!$C$7/'Investment Calculator'!$F$4,'SIP Schedule'!C3379,'SIP Schedule'!D3379,,1)),"")</f>
        <v/>
      </c>
    </row>
    <row r="3380" spans="3:6" x14ac:dyDescent="0.3">
      <c r="C3380" s="1" t="str">
        <f>IF(C3379&lt;'Investment Calculator'!$C$8*'Investment Calculator'!$F$4,'SIP Schedule'!C3379+1,"")</f>
        <v/>
      </c>
      <c r="D3380" s="27" t="str">
        <f>IF(C3380&lt;='Investment Calculator'!$C$8*'Investment Calculator'!$F$4,'Investment Calculator'!$C$6,"")</f>
        <v/>
      </c>
      <c r="E3380" s="27" t="str">
        <f>IFERROR((F3379+D3380)*'Investment Calculator'!$C$7/'Investment Calculator'!$F$4,"")</f>
        <v/>
      </c>
      <c r="F3380" s="27" t="str">
        <f>IFERROR(ABS(FV('Investment Calculator'!$C$7/'Investment Calculator'!$F$4,'SIP Schedule'!C3380,'SIP Schedule'!D3380,,1)),"")</f>
        <v/>
      </c>
    </row>
    <row r="3381" spans="3:6" x14ac:dyDescent="0.3">
      <c r="C3381" s="1" t="str">
        <f>IF(C3380&lt;'Investment Calculator'!$C$8*'Investment Calculator'!$F$4,'SIP Schedule'!C3380+1,"")</f>
        <v/>
      </c>
      <c r="D3381" s="27" t="str">
        <f>IF(C3381&lt;='Investment Calculator'!$C$8*'Investment Calculator'!$F$4,'Investment Calculator'!$C$6,"")</f>
        <v/>
      </c>
      <c r="E3381" s="27" t="str">
        <f>IFERROR((F3380+D3381)*'Investment Calculator'!$C$7/'Investment Calculator'!$F$4,"")</f>
        <v/>
      </c>
      <c r="F3381" s="27" t="str">
        <f>IFERROR(ABS(FV('Investment Calculator'!$C$7/'Investment Calculator'!$F$4,'SIP Schedule'!C3381,'SIP Schedule'!D3381,,1)),"")</f>
        <v/>
      </c>
    </row>
    <row r="3382" spans="3:6" x14ac:dyDescent="0.3">
      <c r="C3382" s="1" t="str">
        <f>IF(C3381&lt;'Investment Calculator'!$C$8*'Investment Calculator'!$F$4,'SIP Schedule'!C3381+1,"")</f>
        <v/>
      </c>
      <c r="D3382" s="27" t="str">
        <f>IF(C3382&lt;='Investment Calculator'!$C$8*'Investment Calculator'!$F$4,'Investment Calculator'!$C$6,"")</f>
        <v/>
      </c>
      <c r="E3382" s="27" t="str">
        <f>IFERROR((F3381+D3382)*'Investment Calculator'!$C$7/'Investment Calculator'!$F$4,"")</f>
        <v/>
      </c>
      <c r="F3382" s="27" t="str">
        <f>IFERROR(ABS(FV('Investment Calculator'!$C$7/'Investment Calculator'!$F$4,'SIP Schedule'!C3382,'SIP Schedule'!D3382,,1)),"")</f>
        <v/>
      </c>
    </row>
    <row r="3383" spans="3:6" x14ac:dyDescent="0.3">
      <c r="C3383" s="1" t="str">
        <f>IF(C3382&lt;'Investment Calculator'!$C$8*'Investment Calculator'!$F$4,'SIP Schedule'!C3382+1,"")</f>
        <v/>
      </c>
      <c r="D3383" s="27" t="str">
        <f>IF(C3383&lt;='Investment Calculator'!$C$8*'Investment Calculator'!$F$4,'Investment Calculator'!$C$6,"")</f>
        <v/>
      </c>
      <c r="E3383" s="27" t="str">
        <f>IFERROR((F3382+D3383)*'Investment Calculator'!$C$7/'Investment Calculator'!$F$4,"")</f>
        <v/>
      </c>
      <c r="F3383" s="27" t="str">
        <f>IFERROR(ABS(FV('Investment Calculator'!$C$7/'Investment Calculator'!$F$4,'SIP Schedule'!C3383,'SIP Schedule'!D3383,,1)),"")</f>
        <v/>
      </c>
    </row>
    <row r="3384" spans="3:6" x14ac:dyDescent="0.3">
      <c r="C3384" s="1" t="str">
        <f>IF(C3383&lt;'Investment Calculator'!$C$8*'Investment Calculator'!$F$4,'SIP Schedule'!C3383+1,"")</f>
        <v/>
      </c>
      <c r="D3384" s="27" t="str">
        <f>IF(C3384&lt;='Investment Calculator'!$C$8*'Investment Calculator'!$F$4,'Investment Calculator'!$C$6,"")</f>
        <v/>
      </c>
      <c r="E3384" s="27" t="str">
        <f>IFERROR((F3383+D3384)*'Investment Calculator'!$C$7/'Investment Calculator'!$F$4,"")</f>
        <v/>
      </c>
      <c r="F3384" s="27" t="str">
        <f>IFERROR(ABS(FV('Investment Calculator'!$C$7/'Investment Calculator'!$F$4,'SIP Schedule'!C3384,'SIP Schedule'!D3384,,1)),"")</f>
        <v/>
      </c>
    </row>
    <row r="3385" spans="3:6" x14ac:dyDescent="0.3">
      <c r="C3385" s="1" t="str">
        <f>IF(C3384&lt;'Investment Calculator'!$C$8*'Investment Calculator'!$F$4,'SIP Schedule'!C3384+1,"")</f>
        <v/>
      </c>
      <c r="D3385" s="27" t="str">
        <f>IF(C3385&lt;='Investment Calculator'!$C$8*'Investment Calculator'!$F$4,'Investment Calculator'!$C$6,"")</f>
        <v/>
      </c>
      <c r="E3385" s="27" t="str">
        <f>IFERROR((F3384+D3385)*'Investment Calculator'!$C$7/'Investment Calculator'!$F$4,"")</f>
        <v/>
      </c>
      <c r="F3385" s="27" t="str">
        <f>IFERROR(ABS(FV('Investment Calculator'!$C$7/'Investment Calculator'!$F$4,'SIP Schedule'!C3385,'SIP Schedule'!D3385,,1)),"")</f>
        <v/>
      </c>
    </row>
    <row r="3386" spans="3:6" x14ac:dyDescent="0.3">
      <c r="C3386" s="1" t="str">
        <f>IF(C3385&lt;'Investment Calculator'!$C$8*'Investment Calculator'!$F$4,'SIP Schedule'!C3385+1,"")</f>
        <v/>
      </c>
      <c r="D3386" s="27" t="str">
        <f>IF(C3386&lt;='Investment Calculator'!$C$8*'Investment Calculator'!$F$4,'Investment Calculator'!$C$6,"")</f>
        <v/>
      </c>
      <c r="E3386" s="27" t="str">
        <f>IFERROR((F3385+D3386)*'Investment Calculator'!$C$7/'Investment Calculator'!$F$4,"")</f>
        <v/>
      </c>
      <c r="F3386" s="27" t="str">
        <f>IFERROR(ABS(FV('Investment Calculator'!$C$7/'Investment Calculator'!$F$4,'SIP Schedule'!C3386,'SIP Schedule'!D3386,,1)),"")</f>
        <v/>
      </c>
    </row>
    <row r="3387" spans="3:6" x14ac:dyDescent="0.3">
      <c r="C3387" s="1" t="str">
        <f>IF(C3386&lt;'Investment Calculator'!$C$8*'Investment Calculator'!$F$4,'SIP Schedule'!C3386+1,"")</f>
        <v/>
      </c>
      <c r="D3387" s="27" t="str">
        <f>IF(C3387&lt;='Investment Calculator'!$C$8*'Investment Calculator'!$F$4,'Investment Calculator'!$C$6,"")</f>
        <v/>
      </c>
      <c r="E3387" s="27" t="str">
        <f>IFERROR((F3386+D3387)*'Investment Calculator'!$C$7/'Investment Calculator'!$F$4,"")</f>
        <v/>
      </c>
      <c r="F3387" s="27" t="str">
        <f>IFERROR(ABS(FV('Investment Calculator'!$C$7/'Investment Calculator'!$F$4,'SIP Schedule'!C3387,'SIP Schedule'!D3387,,1)),"")</f>
        <v/>
      </c>
    </row>
    <row r="3388" spans="3:6" x14ac:dyDescent="0.3">
      <c r="C3388" s="1" t="str">
        <f>IF(C3387&lt;'Investment Calculator'!$C$8*'Investment Calculator'!$F$4,'SIP Schedule'!C3387+1,"")</f>
        <v/>
      </c>
      <c r="D3388" s="27" t="str">
        <f>IF(C3388&lt;='Investment Calculator'!$C$8*'Investment Calculator'!$F$4,'Investment Calculator'!$C$6,"")</f>
        <v/>
      </c>
      <c r="E3388" s="27" t="str">
        <f>IFERROR((F3387+D3388)*'Investment Calculator'!$C$7/'Investment Calculator'!$F$4,"")</f>
        <v/>
      </c>
      <c r="F3388" s="27" t="str">
        <f>IFERROR(ABS(FV('Investment Calculator'!$C$7/'Investment Calculator'!$F$4,'SIP Schedule'!C3388,'SIP Schedule'!D3388,,1)),"")</f>
        <v/>
      </c>
    </row>
    <row r="3389" spans="3:6" x14ac:dyDescent="0.3">
      <c r="C3389" s="1" t="str">
        <f>IF(C3388&lt;'Investment Calculator'!$C$8*'Investment Calculator'!$F$4,'SIP Schedule'!C3388+1,"")</f>
        <v/>
      </c>
      <c r="D3389" s="27" t="str">
        <f>IF(C3389&lt;='Investment Calculator'!$C$8*'Investment Calculator'!$F$4,'Investment Calculator'!$C$6,"")</f>
        <v/>
      </c>
      <c r="E3389" s="27" t="str">
        <f>IFERROR((F3388+D3389)*'Investment Calculator'!$C$7/'Investment Calculator'!$F$4,"")</f>
        <v/>
      </c>
      <c r="F3389" s="27" t="str">
        <f>IFERROR(ABS(FV('Investment Calculator'!$C$7/'Investment Calculator'!$F$4,'SIP Schedule'!C3389,'SIP Schedule'!D3389,,1)),"")</f>
        <v/>
      </c>
    </row>
    <row r="3390" spans="3:6" x14ac:dyDescent="0.3">
      <c r="C3390" s="1" t="str">
        <f>IF(C3389&lt;'Investment Calculator'!$C$8*'Investment Calculator'!$F$4,'SIP Schedule'!C3389+1,"")</f>
        <v/>
      </c>
      <c r="D3390" s="27" t="str">
        <f>IF(C3390&lt;='Investment Calculator'!$C$8*'Investment Calculator'!$F$4,'Investment Calculator'!$C$6,"")</f>
        <v/>
      </c>
      <c r="E3390" s="27" t="str">
        <f>IFERROR((F3389+D3390)*'Investment Calculator'!$C$7/'Investment Calculator'!$F$4,"")</f>
        <v/>
      </c>
      <c r="F3390" s="27" t="str">
        <f>IFERROR(ABS(FV('Investment Calculator'!$C$7/'Investment Calculator'!$F$4,'SIP Schedule'!C3390,'SIP Schedule'!D3390,,1)),"")</f>
        <v/>
      </c>
    </row>
    <row r="3391" spans="3:6" x14ac:dyDescent="0.3">
      <c r="C3391" s="1" t="str">
        <f>IF(C3390&lt;'Investment Calculator'!$C$8*'Investment Calculator'!$F$4,'SIP Schedule'!C3390+1,"")</f>
        <v/>
      </c>
      <c r="D3391" s="27" t="str">
        <f>IF(C3391&lt;='Investment Calculator'!$C$8*'Investment Calculator'!$F$4,'Investment Calculator'!$C$6,"")</f>
        <v/>
      </c>
      <c r="E3391" s="27" t="str">
        <f>IFERROR((F3390+D3391)*'Investment Calculator'!$C$7/'Investment Calculator'!$F$4,"")</f>
        <v/>
      </c>
      <c r="F3391" s="27" t="str">
        <f>IFERROR(ABS(FV('Investment Calculator'!$C$7/'Investment Calculator'!$F$4,'SIP Schedule'!C3391,'SIP Schedule'!D3391,,1)),"")</f>
        <v/>
      </c>
    </row>
    <row r="3392" spans="3:6" x14ac:dyDescent="0.3">
      <c r="C3392" s="1" t="str">
        <f>IF(C3391&lt;'Investment Calculator'!$C$8*'Investment Calculator'!$F$4,'SIP Schedule'!C3391+1,"")</f>
        <v/>
      </c>
      <c r="D3392" s="27" t="str">
        <f>IF(C3392&lt;='Investment Calculator'!$C$8*'Investment Calculator'!$F$4,'Investment Calculator'!$C$6,"")</f>
        <v/>
      </c>
      <c r="E3392" s="27" t="str">
        <f>IFERROR((F3391+D3392)*'Investment Calculator'!$C$7/'Investment Calculator'!$F$4,"")</f>
        <v/>
      </c>
      <c r="F3392" s="27" t="str">
        <f>IFERROR(ABS(FV('Investment Calculator'!$C$7/'Investment Calculator'!$F$4,'SIP Schedule'!C3392,'SIP Schedule'!D3392,,1)),"")</f>
        <v/>
      </c>
    </row>
    <row r="3393" spans="3:6" x14ac:dyDescent="0.3">
      <c r="C3393" s="1" t="str">
        <f>IF(C3392&lt;'Investment Calculator'!$C$8*'Investment Calculator'!$F$4,'SIP Schedule'!C3392+1,"")</f>
        <v/>
      </c>
      <c r="D3393" s="27" t="str">
        <f>IF(C3393&lt;='Investment Calculator'!$C$8*'Investment Calculator'!$F$4,'Investment Calculator'!$C$6,"")</f>
        <v/>
      </c>
      <c r="E3393" s="27" t="str">
        <f>IFERROR((F3392+D3393)*'Investment Calculator'!$C$7/'Investment Calculator'!$F$4,"")</f>
        <v/>
      </c>
      <c r="F3393" s="27" t="str">
        <f>IFERROR(ABS(FV('Investment Calculator'!$C$7/'Investment Calculator'!$F$4,'SIP Schedule'!C3393,'SIP Schedule'!D3393,,1)),"")</f>
        <v/>
      </c>
    </row>
    <row r="3394" spans="3:6" x14ac:dyDescent="0.3">
      <c r="C3394" s="1" t="str">
        <f>IF(C3393&lt;'Investment Calculator'!$C$8*'Investment Calculator'!$F$4,'SIP Schedule'!C3393+1,"")</f>
        <v/>
      </c>
      <c r="D3394" s="27" t="str">
        <f>IF(C3394&lt;='Investment Calculator'!$C$8*'Investment Calculator'!$F$4,'Investment Calculator'!$C$6,"")</f>
        <v/>
      </c>
      <c r="E3394" s="27" t="str">
        <f>IFERROR((F3393+D3394)*'Investment Calculator'!$C$7/'Investment Calculator'!$F$4,"")</f>
        <v/>
      </c>
      <c r="F3394" s="27" t="str">
        <f>IFERROR(ABS(FV('Investment Calculator'!$C$7/'Investment Calculator'!$F$4,'SIP Schedule'!C3394,'SIP Schedule'!D3394,,1)),"")</f>
        <v/>
      </c>
    </row>
    <row r="3395" spans="3:6" x14ac:dyDescent="0.3">
      <c r="C3395" s="1" t="str">
        <f>IF(C3394&lt;'Investment Calculator'!$C$8*'Investment Calculator'!$F$4,'SIP Schedule'!C3394+1,"")</f>
        <v/>
      </c>
      <c r="D3395" s="27" t="str">
        <f>IF(C3395&lt;='Investment Calculator'!$C$8*'Investment Calculator'!$F$4,'Investment Calculator'!$C$6,"")</f>
        <v/>
      </c>
      <c r="E3395" s="27" t="str">
        <f>IFERROR((F3394+D3395)*'Investment Calculator'!$C$7/'Investment Calculator'!$F$4,"")</f>
        <v/>
      </c>
      <c r="F3395" s="27" t="str">
        <f>IFERROR(ABS(FV('Investment Calculator'!$C$7/'Investment Calculator'!$F$4,'SIP Schedule'!C3395,'SIP Schedule'!D3395,,1)),"")</f>
        <v/>
      </c>
    </row>
    <row r="3396" spans="3:6" x14ac:dyDescent="0.3">
      <c r="C3396" s="1" t="str">
        <f>IF(C3395&lt;'Investment Calculator'!$C$8*'Investment Calculator'!$F$4,'SIP Schedule'!C3395+1,"")</f>
        <v/>
      </c>
      <c r="D3396" s="27" t="str">
        <f>IF(C3396&lt;='Investment Calculator'!$C$8*'Investment Calculator'!$F$4,'Investment Calculator'!$C$6,"")</f>
        <v/>
      </c>
      <c r="E3396" s="27" t="str">
        <f>IFERROR((F3395+D3396)*'Investment Calculator'!$C$7/'Investment Calculator'!$F$4,"")</f>
        <v/>
      </c>
      <c r="F3396" s="27" t="str">
        <f>IFERROR(ABS(FV('Investment Calculator'!$C$7/'Investment Calculator'!$F$4,'SIP Schedule'!C3396,'SIP Schedule'!D3396,,1)),"")</f>
        <v/>
      </c>
    </row>
    <row r="3397" spans="3:6" x14ac:dyDescent="0.3">
      <c r="C3397" s="1" t="str">
        <f>IF(C3396&lt;'Investment Calculator'!$C$8*'Investment Calculator'!$F$4,'SIP Schedule'!C3396+1,"")</f>
        <v/>
      </c>
      <c r="D3397" s="27" t="str">
        <f>IF(C3397&lt;='Investment Calculator'!$C$8*'Investment Calculator'!$F$4,'Investment Calculator'!$C$6,"")</f>
        <v/>
      </c>
      <c r="E3397" s="27" t="str">
        <f>IFERROR((F3396+D3397)*'Investment Calculator'!$C$7/'Investment Calculator'!$F$4,"")</f>
        <v/>
      </c>
      <c r="F3397" s="27" t="str">
        <f>IFERROR(ABS(FV('Investment Calculator'!$C$7/'Investment Calculator'!$F$4,'SIP Schedule'!C3397,'SIP Schedule'!D3397,,1)),"")</f>
        <v/>
      </c>
    </row>
    <row r="3398" spans="3:6" x14ac:dyDescent="0.3">
      <c r="C3398" s="1" t="str">
        <f>IF(C3397&lt;'Investment Calculator'!$C$8*'Investment Calculator'!$F$4,'SIP Schedule'!C3397+1,"")</f>
        <v/>
      </c>
      <c r="D3398" s="27" t="str">
        <f>IF(C3398&lt;='Investment Calculator'!$C$8*'Investment Calculator'!$F$4,'Investment Calculator'!$C$6,"")</f>
        <v/>
      </c>
      <c r="E3398" s="27" t="str">
        <f>IFERROR((F3397+D3398)*'Investment Calculator'!$C$7/'Investment Calculator'!$F$4,"")</f>
        <v/>
      </c>
      <c r="F3398" s="27" t="str">
        <f>IFERROR(ABS(FV('Investment Calculator'!$C$7/'Investment Calculator'!$F$4,'SIP Schedule'!C3398,'SIP Schedule'!D3398,,1)),"")</f>
        <v/>
      </c>
    </row>
    <row r="3399" spans="3:6" x14ac:dyDescent="0.3">
      <c r="C3399" s="1" t="str">
        <f>IF(C3398&lt;'Investment Calculator'!$C$8*'Investment Calculator'!$F$4,'SIP Schedule'!C3398+1,"")</f>
        <v/>
      </c>
      <c r="D3399" s="27" t="str">
        <f>IF(C3399&lt;='Investment Calculator'!$C$8*'Investment Calculator'!$F$4,'Investment Calculator'!$C$6,"")</f>
        <v/>
      </c>
      <c r="E3399" s="27" t="str">
        <f>IFERROR((F3398+D3399)*'Investment Calculator'!$C$7/'Investment Calculator'!$F$4,"")</f>
        <v/>
      </c>
      <c r="F3399" s="27" t="str">
        <f>IFERROR(ABS(FV('Investment Calculator'!$C$7/'Investment Calculator'!$F$4,'SIP Schedule'!C3399,'SIP Schedule'!D3399,,1)),"")</f>
        <v/>
      </c>
    </row>
    <row r="3400" spans="3:6" x14ac:dyDescent="0.3">
      <c r="C3400" s="1" t="str">
        <f>IF(C3399&lt;'Investment Calculator'!$C$8*'Investment Calculator'!$F$4,'SIP Schedule'!C3399+1,"")</f>
        <v/>
      </c>
      <c r="D3400" s="27" t="str">
        <f>IF(C3400&lt;='Investment Calculator'!$C$8*'Investment Calculator'!$F$4,'Investment Calculator'!$C$6,"")</f>
        <v/>
      </c>
      <c r="E3400" s="27" t="str">
        <f>IFERROR((F3399+D3400)*'Investment Calculator'!$C$7/'Investment Calculator'!$F$4,"")</f>
        <v/>
      </c>
      <c r="F3400" s="27" t="str">
        <f>IFERROR(ABS(FV('Investment Calculator'!$C$7/'Investment Calculator'!$F$4,'SIP Schedule'!C3400,'SIP Schedule'!D3400,,1)),"")</f>
        <v/>
      </c>
    </row>
    <row r="3401" spans="3:6" x14ac:dyDescent="0.3">
      <c r="C3401" s="1" t="str">
        <f>IF(C3400&lt;'Investment Calculator'!$C$8*'Investment Calculator'!$F$4,'SIP Schedule'!C3400+1,"")</f>
        <v/>
      </c>
      <c r="D3401" s="27" t="str">
        <f>IF(C3401&lt;='Investment Calculator'!$C$8*'Investment Calculator'!$F$4,'Investment Calculator'!$C$6,"")</f>
        <v/>
      </c>
      <c r="E3401" s="27" t="str">
        <f>IFERROR((F3400+D3401)*'Investment Calculator'!$C$7/'Investment Calculator'!$F$4,"")</f>
        <v/>
      </c>
      <c r="F3401" s="27" t="str">
        <f>IFERROR(ABS(FV('Investment Calculator'!$C$7/'Investment Calculator'!$F$4,'SIP Schedule'!C3401,'SIP Schedule'!D3401,,1)),"")</f>
        <v/>
      </c>
    </row>
    <row r="3402" spans="3:6" x14ac:dyDescent="0.3">
      <c r="C3402" s="1" t="str">
        <f>IF(C3401&lt;'Investment Calculator'!$C$8*'Investment Calculator'!$F$4,'SIP Schedule'!C3401+1,"")</f>
        <v/>
      </c>
      <c r="D3402" s="27" t="str">
        <f>IF(C3402&lt;='Investment Calculator'!$C$8*'Investment Calculator'!$F$4,'Investment Calculator'!$C$6,"")</f>
        <v/>
      </c>
      <c r="E3402" s="27" t="str">
        <f>IFERROR((F3401+D3402)*'Investment Calculator'!$C$7/'Investment Calculator'!$F$4,"")</f>
        <v/>
      </c>
      <c r="F3402" s="27" t="str">
        <f>IFERROR(ABS(FV('Investment Calculator'!$C$7/'Investment Calculator'!$F$4,'SIP Schedule'!C3402,'SIP Schedule'!D3402,,1)),"")</f>
        <v/>
      </c>
    </row>
    <row r="3403" spans="3:6" x14ac:dyDescent="0.3">
      <c r="C3403" s="1" t="str">
        <f>IF(C3402&lt;'Investment Calculator'!$C$8*'Investment Calculator'!$F$4,'SIP Schedule'!C3402+1,"")</f>
        <v/>
      </c>
      <c r="D3403" s="27" t="str">
        <f>IF(C3403&lt;='Investment Calculator'!$C$8*'Investment Calculator'!$F$4,'Investment Calculator'!$C$6,"")</f>
        <v/>
      </c>
      <c r="E3403" s="27" t="str">
        <f>IFERROR((F3402+D3403)*'Investment Calculator'!$C$7/'Investment Calculator'!$F$4,"")</f>
        <v/>
      </c>
      <c r="F3403" s="27" t="str">
        <f>IFERROR(ABS(FV('Investment Calculator'!$C$7/'Investment Calculator'!$F$4,'SIP Schedule'!C3403,'SIP Schedule'!D3403,,1)),"")</f>
        <v/>
      </c>
    </row>
    <row r="3404" spans="3:6" x14ac:dyDescent="0.3">
      <c r="C3404" s="1" t="str">
        <f>IF(C3403&lt;'Investment Calculator'!$C$8*'Investment Calculator'!$F$4,'SIP Schedule'!C3403+1,"")</f>
        <v/>
      </c>
      <c r="D3404" s="27" t="str">
        <f>IF(C3404&lt;='Investment Calculator'!$C$8*'Investment Calculator'!$F$4,'Investment Calculator'!$C$6,"")</f>
        <v/>
      </c>
      <c r="E3404" s="27" t="str">
        <f>IFERROR((F3403+D3404)*'Investment Calculator'!$C$7/'Investment Calculator'!$F$4,"")</f>
        <v/>
      </c>
      <c r="F3404" s="27" t="str">
        <f>IFERROR(ABS(FV('Investment Calculator'!$C$7/'Investment Calculator'!$F$4,'SIP Schedule'!C3404,'SIP Schedule'!D3404,,1)),"")</f>
        <v/>
      </c>
    </row>
    <row r="3405" spans="3:6" x14ac:dyDescent="0.3">
      <c r="C3405" s="1" t="str">
        <f>IF(C3404&lt;'Investment Calculator'!$C$8*'Investment Calculator'!$F$4,'SIP Schedule'!C3404+1,"")</f>
        <v/>
      </c>
      <c r="D3405" s="27" t="str">
        <f>IF(C3405&lt;='Investment Calculator'!$C$8*'Investment Calculator'!$F$4,'Investment Calculator'!$C$6,"")</f>
        <v/>
      </c>
      <c r="E3405" s="27" t="str">
        <f>IFERROR((F3404+D3405)*'Investment Calculator'!$C$7/'Investment Calculator'!$F$4,"")</f>
        <v/>
      </c>
      <c r="F3405" s="27" t="str">
        <f>IFERROR(ABS(FV('Investment Calculator'!$C$7/'Investment Calculator'!$F$4,'SIP Schedule'!C3405,'SIP Schedule'!D3405,,1)),"")</f>
        <v/>
      </c>
    </row>
    <row r="3406" spans="3:6" x14ac:dyDescent="0.3">
      <c r="C3406" s="1" t="str">
        <f>IF(C3405&lt;'Investment Calculator'!$C$8*'Investment Calculator'!$F$4,'SIP Schedule'!C3405+1,"")</f>
        <v/>
      </c>
      <c r="D3406" s="27" t="str">
        <f>IF(C3406&lt;='Investment Calculator'!$C$8*'Investment Calculator'!$F$4,'Investment Calculator'!$C$6,"")</f>
        <v/>
      </c>
      <c r="E3406" s="27" t="str">
        <f>IFERROR((F3405+D3406)*'Investment Calculator'!$C$7/'Investment Calculator'!$F$4,"")</f>
        <v/>
      </c>
      <c r="F3406" s="27" t="str">
        <f>IFERROR(ABS(FV('Investment Calculator'!$C$7/'Investment Calculator'!$F$4,'SIP Schedule'!C3406,'SIP Schedule'!D3406,,1)),"")</f>
        <v/>
      </c>
    </row>
    <row r="3407" spans="3:6" x14ac:dyDescent="0.3">
      <c r="C3407" s="1" t="str">
        <f>IF(C3406&lt;'Investment Calculator'!$C$8*'Investment Calculator'!$F$4,'SIP Schedule'!C3406+1,"")</f>
        <v/>
      </c>
      <c r="D3407" s="27" t="str">
        <f>IF(C3407&lt;='Investment Calculator'!$C$8*'Investment Calculator'!$F$4,'Investment Calculator'!$C$6,"")</f>
        <v/>
      </c>
      <c r="E3407" s="27" t="str">
        <f>IFERROR((F3406+D3407)*'Investment Calculator'!$C$7/'Investment Calculator'!$F$4,"")</f>
        <v/>
      </c>
      <c r="F3407" s="27" t="str">
        <f>IFERROR(ABS(FV('Investment Calculator'!$C$7/'Investment Calculator'!$F$4,'SIP Schedule'!C3407,'SIP Schedule'!D3407,,1)),"")</f>
        <v/>
      </c>
    </row>
    <row r="3408" spans="3:6" x14ac:dyDescent="0.3">
      <c r="C3408" s="1" t="str">
        <f>IF(C3407&lt;'Investment Calculator'!$C$8*'Investment Calculator'!$F$4,'SIP Schedule'!C3407+1,"")</f>
        <v/>
      </c>
      <c r="D3408" s="27" t="str">
        <f>IF(C3408&lt;='Investment Calculator'!$C$8*'Investment Calculator'!$F$4,'Investment Calculator'!$C$6,"")</f>
        <v/>
      </c>
      <c r="E3408" s="27" t="str">
        <f>IFERROR((F3407+D3408)*'Investment Calculator'!$C$7/'Investment Calculator'!$F$4,"")</f>
        <v/>
      </c>
      <c r="F3408" s="27" t="str">
        <f>IFERROR(ABS(FV('Investment Calculator'!$C$7/'Investment Calculator'!$F$4,'SIP Schedule'!C3408,'SIP Schedule'!D3408,,1)),"")</f>
        <v/>
      </c>
    </row>
    <row r="3409" spans="3:6" x14ac:dyDescent="0.3">
      <c r="C3409" s="1" t="str">
        <f>IF(C3408&lt;'Investment Calculator'!$C$8*'Investment Calculator'!$F$4,'SIP Schedule'!C3408+1,"")</f>
        <v/>
      </c>
      <c r="D3409" s="27" t="str">
        <f>IF(C3409&lt;='Investment Calculator'!$C$8*'Investment Calculator'!$F$4,'Investment Calculator'!$C$6,"")</f>
        <v/>
      </c>
      <c r="E3409" s="27" t="str">
        <f>IFERROR((F3408+D3409)*'Investment Calculator'!$C$7/'Investment Calculator'!$F$4,"")</f>
        <v/>
      </c>
      <c r="F3409" s="27" t="str">
        <f>IFERROR(ABS(FV('Investment Calculator'!$C$7/'Investment Calculator'!$F$4,'SIP Schedule'!C3409,'SIP Schedule'!D3409,,1)),"")</f>
        <v/>
      </c>
    </row>
    <row r="3410" spans="3:6" x14ac:dyDescent="0.3">
      <c r="C3410" s="1" t="str">
        <f>IF(C3409&lt;'Investment Calculator'!$C$8*'Investment Calculator'!$F$4,'SIP Schedule'!C3409+1,"")</f>
        <v/>
      </c>
      <c r="D3410" s="27" t="str">
        <f>IF(C3410&lt;='Investment Calculator'!$C$8*'Investment Calculator'!$F$4,'Investment Calculator'!$C$6,"")</f>
        <v/>
      </c>
      <c r="E3410" s="27" t="str">
        <f>IFERROR((F3409+D3410)*'Investment Calculator'!$C$7/'Investment Calculator'!$F$4,"")</f>
        <v/>
      </c>
      <c r="F3410" s="27" t="str">
        <f>IFERROR(ABS(FV('Investment Calculator'!$C$7/'Investment Calculator'!$F$4,'SIP Schedule'!C3410,'SIP Schedule'!D3410,,1)),"")</f>
        <v/>
      </c>
    </row>
    <row r="3411" spans="3:6" x14ac:dyDescent="0.3">
      <c r="C3411" s="1" t="str">
        <f>IF(C3410&lt;'Investment Calculator'!$C$8*'Investment Calculator'!$F$4,'SIP Schedule'!C3410+1,"")</f>
        <v/>
      </c>
      <c r="D3411" s="27" t="str">
        <f>IF(C3411&lt;='Investment Calculator'!$C$8*'Investment Calculator'!$F$4,'Investment Calculator'!$C$6,"")</f>
        <v/>
      </c>
      <c r="E3411" s="27" t="str">
        <f>IFERROR((F3410+D3411)*'Investment Calculator'!$C$7/'Investment Calculator'!$F$4,"")</f>
        <v/>
      </c>
      <c r="F3411" s="27" t="str">
        <f>IFERROR(ABS(FV('Investment Calculator'!$C$7/'Investment Calculator'!$F$4,'SIP Schedule'!C3411,'SIP Schedule'!D3411,,1)),"")</f>
        <v/>
      </c>
    </row>
    <row r="3412" spans="3:6" x14ac:dyDescent="0.3">
      <c r="C3412" s="1" t="str">
        <f>IF(C3411&lt;'Investment Calculator'!$C$8*'Investment Calculator'!$F$4,'SIP Schedule'!C3411+1,"")</f>
        <v/>
      </c>
      <c r="D3412" s="27" t="str">
        <f>IF(C3412&lt;='Investment Calculator'!$C$8*'Investment Calculator'!$F$4,'Investment Calculator'!$C$6,"")</f>
        <v/>
      </c>
      <c r="E3412" s="27" t="str">
        <f>IFERROR((F3411+D3412)*'Investment Calculator'!$C$7/'Investment Calculator'!$F$4,"")</f>
        <v/>
      </c>
      <c r="F3412" s="27" t="str">
        <f>IFERROR(ABS(FV('Investment Calculator'!$C$7/'Investment Calculator'!$F$4,'SIP Schedule'!C3412,'SIP Schedule'!D3412,,1)),"")</f>
        <v/>
      </c>
    </row>
    <row r="3413" spans="3:6" x14ac:dyDescent="0.3">
      <c r="C3413" s="1" t="str">
        <f>IF(C3412&lt;'Investment Calculator'!$C$8*'Investment Calculator'!$F$4,'SIP Schedule'!C3412+1,"")</f>
        <v/>
      </c>
      <c r="D3413" s="27" t="str">
        <f>IF(C3413&lt;='Investment Calculator'!$C$8*'Investment Calculator'!$F$4,'Investment Calculator'!$C$6,"")</f>
        <v/>
      </c>
      <c r="E3413" s="27" t="str">
        <f>IFERROR((F3412+D3413)*'Investment Calculator'!$C$7/'Investment Calculator'!$F$4,"")</f>
        <v/>
      </c>
      <c r="F3413" s="27" t="str">
        <f>IFERROR(ABS(FV('Investment Calculator'!$C$7/'Investment Calculator'!$F$4,'SIP Schedule'!C3413,'SIP Schedule'!D3413,,1)),"")</f>
        <v/>
      </c>
    </row>
    <row r="3414" spans="3:6" x14ac:dyDescent="0.3">
      <c r="C3414" s="1" t="str">
        <f>IF(C3413&lt;'Investment Calculator'!$C$8*'Investment Calculator'!$F$4,'SIP Schedule'!C3413+1,"")</f>
        <v/>
      </c>
      <c r="D3414" s="27" t="str">
        <f>IF(C3414&lt;='Investment Calculator'!$C$8*'Investment Calculator'!$F$4,'Investment Calculator'!$C$6,"")</f>
        <v/>
      </c>
      <c r="E3414" s="27" t="str">
        <f>IFERROR((F3413+D3414)*'Investment Calculator'!$C$7/'Investment Calculator'!$F$4,"")</f>
        <v/>
      </c>
      <c r="F3414" s="27" t="str">
        <f>IFERROR(ABS(FV('Investment Calculator'!$C$7/'Investment Calculator'!$F$4,'SIP Schedule'!C3414,'SIP Schedule'!D3414,,1)),"")</f>
        <v/>
      </c>
    </row>
    <row r="3415" spans="3:6" x14ac:dyDescent="0.3">
      <c r="C3415" s="1" t="str">
        <f>IF(C3414&lt;'Investment Calculator'!$C$8*'Investment Calculator'!$F$4,'SIP Schedule'!C3414+1,"")</f>
        <v/>
      </c>
      <c r="D3415" s="27" t="str">
        <f>IF(C3415&lt;='Investment Calculator'!$C$8*'Investment Calculator'!$F$4,'Investment Calculator'!$C$6,"")</f>
        <v/>
      </c>
      <c r="E3415" s="27" t="str">
        <f>IFERROR((F3414+D3415)*'Investment Calculator'!$C$7/'Investment Calculator'!$F$4,"")</f>
        <v/>
      </c>
      <c r="F3415" s="27" t="str">
        <f>IFERROR(ABS(FV('Investment Calculator'!$C$7/'Investment Calculator'!$F$4,'SIP Schedule'!C3415,'SIP Schedule'!D3415,,1)),"")</f>
        <v/>
      </c>
    </row>
    <row r="3416" spans="3:6" x14ac:dyDescent="0.3">
      <c r="C3416" s="1" t="str">
        <f>IF(C3415&lt;'Investment Calculator'!$C$8*'Investment Calculator'!$F$4,'SIP Schedule'!C3415+1,"")</f>
        <v/>
      </c>
      <c r="D3416" s="27" t="str">
        <f>IF(C3416&lt;='Investment Calculator'!$C$8*'Investment Calculator'!$F$4,'Investment Calculator'!$C$6,"")</f>
        <v/>
      </c>
      <c r="E3416" s="27" t="str">
        <f>IFERROR((F3415+D3416)*'Investment Calculator'!$C$7/'Investment Calculator'!$F$4,"")</f>
        <v/>
      </c>
      <c r="F3416" s="27" t="str">
        <f>IFERROR(ABS(FV('Investment Calculator'!$C$7/'Investment Calculator'!$F$4,'SIP Schedule'!C3416,'SIP Schedule'!D3416,,1)),"")</f>
        <v/>
      </c>
    </row>
    <row r="3417" spans="3:6" x14ac:dyDescent="0.3">
      <c r="C3417" s="1" t="str">
        <f>IF(C3416&lt;'Investment Calculator'!$C$8*'Investment Calculator'!$F$4,'SIP Schedule'!C3416+1,"")</f>
        <v/>
      </c>
      <c r="D3417" s="27" t="str">
        <f>IF(C3417&lt;='Investment Calculator'!$C$8*'Investment Calculator'!$F$4,'Investment Calculator'!$C$6,"")</f>
        <v/>
      </c>
      <c r="E3417" s="27" t="str">
        <f>IFERROR((F3416+D3417)*'Investment Calculator'!$C$7/'Investment Calculator'!$F$4,"")</f>
        <v/>
      </c>
      <c r="F3417" s="27" t="str">
        <f>IFERROR(ABS(FV('Investment Calculator'!$C$7/'Investment Calculator'!$F$4,'SIP Schedule'!C3417,'SIP Schedule'!D3417,,1)),"")</f>
        <v/>
      </c>
    </row>
    <row r="3418" spans="3:6" x14ac:dyDescent="0.3">
      <c r="C3418" s="1" t="str">
        <f>IF(C3417&lt;'Investment Calculator'!$C$8*'Investment Calculator'!$F$4,'SIP Schedule'!C3417+1,"")</f>
        <v/>
      </c>
      <c r="D3418" s="27" t="str">
        <f>IF(C3418&lt;='Investment Calculator'!$C$8*'Investment Calculator'!$F$4,'Investment Calculator'!$C$6,"")</f>
        <v/>
      </c>
      <c r="E3418" s="27" t="str">
        <f>IFERROR((F3417+D3418)*'Investment Calculator'!$C$7/'Investment Calculator'!$F$4,"")</f>
        <v/>
      </c>
      <c r="F3418" s="27" t="str">
        <f>IFERROR(ABS(FV('Investment Calculator'!$C$7/'Investment Calculator'!$F$4,'SIP Schedule'!C3418,'SIP Schedule'!D3418,,1)),"")</f>
        <v/>
      </c>
    </row>
    <row r="3419" spans="3:6" x14ac:dyDescent="0.3">
      <c r="C3419" s="1" t="str">
        <f>IF(C3418&lt;'Investment Calculator'!$C$8*'Investment Calculator'!$F$4,'SIP Schedule'!C3418+1,"")</f>
        <v/>
      </c>
      <c r="D3419" s="27" t="str">
        <f>IF(C3419&lt;='Investment Calculator'!$C$8*'Investment Calculator'!$F$4,'Investment Calculator'!$C$6,"")</f>
        <v/>
      </c>
      <c r="E3419" s="27" t="str">
        <f>IFERROR((F3418+D3419)*'Investment Calculator'!$C$7/'Investment Calculator'!$F$4,"")</f>
        <v/>
      </c>
      <c r="F3419" s="27" t="str">
        <f>IFERROR(ABS(FV('Investment Calculator'!$C$7/'Investment Calculator'!$F$4,'SIP Schedule'!C3419,'SIP Schedule'!D3419,,1)),"")</f>
        <v/>
      </c>
    </row>
    <row r="3420" spans="3:6" x14ac:dyDescent="0.3">
      <c r="C3420" s="1" t="str">
        <f>IF(C3419&lt;'Investment Calculator'!$C$8*'Investment Calculator'!$F$4,'SIP Schedule'!C3419+1,"")</f>
        <v/>
      </c>
      <c r="D3420" s="27" t="str">
        <f>IF(C3420&lt;='Investment Calculator'!$C$8*'Investment Calculator'!$F$4,'Investment Calculator'!$C$6,"")</f>
        <v/>
      </c>
      <c r="E3420" s="27" t="str">
        <f>IFERROR((F3419+D3420)*'Investment Calculator'!$C$7/'Investment Calculator'!$F$4,"")</f>
        <v/>
      </c>
      <c r="F3420" s="27" t="str">
        <f>IFERROR(ABS(FV('Investment Calculator'!$C$7/'Investment Calculator'!$F$4,'SIP Schedule'!C3420,'SIP Schedule'!D3420,,1)),"")</f>
        <v/>
      </c>
    </row>
    <row r="3421" spans="3:6" x14ac:dyDescent="0.3">
      <c r="C3421" s="1" t="str">
        <f>IF(C3420&lt;'Investment Calculator'!$C$8*'Investment Calculator'!$F$4,'SIP Schedule'!C3420+1,"")</f>
        <v/>
      </c>
      <c r="D3421" s="27" t="str">
        <f>IF(C3421&lt;='Investment Calculator'!$C$8*'Investment Calculator'!$F$4,'Investment Calculator'!$C$6,"")</f>
        <v/>
      </c>
      <c r="E3421" s="27" t="str">
        <f>IFERROR((F3420+D3421)*'Investment Calculator'!$C$7/'Investment Calculator'!$F$4,"")</f>
        <v/>
      </c>
      <c r="F3421" s="27" t="str">
        <f>IFERROR(ABS(FV('Investment Calculator'!$C$7/'Investment Calculator'!$F$4,'SIP Schedule'!C3421,'SIP Schedule'!D3421,,1)),"")</f>
        <v/>
      </c>
    </row>
    <row r="3422" spans="3:6" x14ac:dyDescent="0.3">
      <c r="C3422" s="1" t="str">
        <f>IF(C3421&lt;'Investment Calculator'!$C$8*'Investment Calculator'!$F$4,'SIP Schedule'!C3421+1,"")</f>
        <v/>
      </c>
      <c r="D3422" s="27" t="str">
        <f>IF(C3422&lt;='Investment Calculator'!$C$8*'Investment Calculator'!$F$4,'Investment Calculator'!$C$6,"")</f>
        <v/>
      </c>
      <c r="E3422" s="27" t="str">
        <f>IFERROR((F3421+D3422)*'Investment Calculator'!$C$7/'Investment Calculator'!$F$4,"")</f>
        <v/>
      </c>
      <c r="F3422" s="27" t="str">
        <f>IFERROR(ABS(FV('Investment Calculator'!$C$7/'Investment Calculator'!$F$4,'SIP Schedule'!C3422,'SIP Schedule'!D3422,,1)),"")</f>
        <v/>
      </c>
    </row>
    <row r="3423" spans="3:6" x14ac:dyDescent="0.3">
      <c r="C3423" s="1" t="str">
        <f>IF(C3422&lt;'Investment Calculator'!$C$8*'Investment Calculator'!$F$4,'SIP Schedule'!C3422+1,"")</f>
        <v/>
      </c>
      <c r="D3423" s="27" t="str">
        <f>IF(C3423&lt;='Investment Calculator'!$C$8*'Investment Calculator'!$F$4,'Investment Calculator'!$C$6,"")</f>
        <v/>
      </c>
      <c r="E3423" s="27" t="str">
        <f>IFERROR((F3422+D3423)*'Investment Calculator'!$C$7/'Investment Calculator'!$F$4,"")</f>
        <v/>
      </c>
      <c r="F3423" s="27" t="str">
        <f>IFERROR(ABS(FV('Investment Calculator'!$C$7/'Investment Calculator'!$F$4,'SIP Schedule'!C3423,'SIP Schedule'!D3423,,1)),"")</f>
        <v/>
      </c>
    </row>
    <row r="3424" spans="3:6" x14ac:dyDescent="0.3">
      <c r="C3424" s="1" t="str">
        <f>IF(C3423&lt;'Investment Calculator'!$C$8*'Investment Calculator'!$F$4,'SIP Schedule'!C3423+1,"")</f>
        <v/>
      </c>
      <c r="D3424" s="27" t="str">
        <f>IF(C3424&lt;='Investment Calculator'!$C$8*'Investment Calculator'!$F$4,'Investment Calculator'!$C$6,"")</f>
        <v/>
      </c>
      <c r="E3424" s="27" t="str">
        <f>IFERROR((F3423+D3424)*'Investment Calculator'!$C$7/'Investment Calculator'!$F$4,"")</f>
        <v/>
      </c>
      <c r="F3424" s="27" t="str">
        <f>IFERROR(ABS(FV('Investment Calculator'!$C$7/'Investment Calculator'!$F$4,'SIP Schedule'!C3424,'SIP Schedule'!D3424,,1)),"")</f>
        <v/>
      </c>
    </row>
    <row r="3425" spans="3:6" x14ac:dyDescent="0.3">
      <c r="C3425" s="1" t="str">
        <f>IF(C3424&lt;'Investment Calculator'!$C$8*'Investment Calculator'!$F$4,'SIP Schedule'!C3424+1,"")</f>
        <v/>
      </c>
      <c r="D3425" s="27" t="str">
        <f>IF(C3425&lt;='Investment Calculator'!$C$8*'Investment Calculator'!$F$4,'Investment Calculator'!$C$6,"")</f>
        <v/>
      </c>
      <c r="E3425" s="27" t="str">
        <f>IFERROR((F3424+D3425)*'Investment Calculator'!$C$7/'Investment Calculator'!$F$4,"")</f>
        <v/>
      </c>
      <c r="F3425" s="27" t="str">
        <f>IFERROR(ABS(FV('Investment Calculator'!$C$7/'Investment Calculator'!$F$4,'SIP Schedule'!C3425,'SIP Schedule'!D3425,,1)),"")</f>
        <v/>
      </c>
    </row>
    <row r="3426" spans="3:6" x14ac:dyDescent="0.3">
      <c r="C3426" s="1" t="str">
        <f>IF(C3425&lt;'Investment Calculator'!$C$8*'Investment Calculator'!$F$4,'SIP Schedule'!C3425+1,"")</f>
        <v/>
      </c>
      <c r="D3426" s="27" t="str">
        <f>IF(C3426&lt;='Investment Calculator'!$C$8*'Investment Calculator'!$F$4,'Investment Calculator'!$C$6,"")</f>
        <v/>
      </c>
      <c r="E3426" s="27" t="str">
        <f>IFERROR((F3425+D3426)*'Investment Calculator'!$C$7/'Investment Calculator'!$F$4,"")</f>
        <v/>
      </c>
      <c r="F3426" s="27" t="str">
        <f>IFERROR(ABS(FV('Investment Calculator'!$C$7/'Investment Calculator'!$F$4,'SIP Schedule'!C3426,'SIP Schedule'!D3426,,1)),"")</f>
        <v/>
      </c>
    </row>
    <row r="3427" spans="3:6" x14ac:dyDescent="0.3">
      <c r="C3427" s="1" t="str">
        <f>IF(C3426&lt;'Investment Calculator'!$C$8*'Investment Calculator'!$F$4,'SIP Schedule'!C3426+1,"")</f>
        <v/>
      </c>
      <c r="D3427" s="27" t="str">
        <f>IF(C3427&lt;='Investment Calculator'!$C$8*'Investment Calculator'!$F$4,'Investment Calculator'!$C$6,"")</f>
        <v/>
      </c>
      <c r="E3427" s="27" t="str">
        <f>IFERROR((F3426+D3427)*'Investment Calculator'!$C$7/'Investment Calculator'!$F$4,"")</f>
        <v/>
      </c>
      <c r="F3427" s="27" t="str">
        <f>IFERROR(ABS(FV('Investment Calculator'!$C$7/'Investment Calculator'!$F$4,'SIP Schedule'!C3427,'SIP Schedule'!D3427,,1)),"")</f>
        <v/>
      </c>
    </row>
    <row r="3428" spans="3:6" x14ac:dyDescent="0.3">
      <c r="C3428" s="1" t="str">
        <f>IF(C3427&lt;'Investment Calculator'!$C$8*'Investment Calculator'!$F$4,'SIP Schedule'!C3427+1,"")</f>
        <v/>
      </c>
      <c r="D3428" s="27" t="str">
        <f>IF(C3428&lt;='Investment Calculator'!$C$8*'Investment Calculator'!$F$4,'Investment Calculator'!$C$6,"")</f>
        <v/>
      </c>
      <c r="E3428" s="27" t="str">
        <f>IFERROR((F3427+D3428)*'Investment Calculator'!$C$7/'Investment Calculator'!$F$4,"")</f>
        <v/>
      </c>
      <c r="F3428" s="27" t="str">
        <f>IFERROR(ABS(FV('Investment Calculator'!$C$7/'Investment Calculator'!$F$4,'SIP Schedule'!C3428,'SIP Schedule'!D3428,,1)),"")</f>
        <v/>
      </c>
    </row>
    <row r="3429" spans="3:6" x14ac:dyDescent="0.3">
      <c r="C3429" s="1" t="str">
        <f>IF(C3428&lt;'Investment Calculator'!$C$8*'Investment Calculator'!$F$4,'SIP Schedule'!C3428+1,"")</f>
        <v/>
      </c>
      <c r="D3429" s="27" t="str">
        <f>IF(C3429&lt;='Investment Calculator'!$C$8*'Investment Calculator'!$F$4,'Investment Calculator'!$C$6,"")</f>
        <v/>
      </c>
      <c r="E3429" s="27" t="str">
        <f>IFERROR((F3428+D3429)*'Investment Calculator'!$C$7/'Investment Calculator'!$F$4,"")</f>
        <v/>
      </c>
      <c r="F3429" s="27" t="str">
        <f>IFERROR(ABS(FV('Investment Calculator'!$C$7/'Investment Calculator'!$F$4,'SIP Schedule'!C3429,'SIP Schedule'!D3429,,1)),"")</f>
        <v/>
      </c>
    </row>
    <row r="3430" spans="3:6" x14ac:dyDescent="0.3">
      <c r="C3430" s="1" t="str">
        <f>IF(C3429&lt;'Investment Calculator'!$C$8*'Investment Calculator'!$F$4,'SIP Schedule'!C3429+1,"")</f>
        <v/>
      </c>
      <c r="D3430" s="27" t="str">
        <f>IF(C3430&lt;='Investment Calculator'!$C$8*'Investment Calculator'!$F$4,'Investment Calculator'!$C$6,"")</f>
        <v/>
      </c>
      <c r="E3430" s="27" t="str">
        <f>IFERROR((F3429+D3430)*'Investment Calculator'!$C$7/'Investment Calculator'!$F$4,"")</f>
        <v/>
      </c>
      <c r="F3430" s="27" t="str">
        <f>IFERROR(ABS(FV('Investment Calculator'!$C$7/'Investment Calculator'!$F$4,'SIP Schedule'!C3430,'SIP Schedule'!D3430,,1)),"")</f>
        <v/>
      </c>
    </row>
    <row r="3431" spans="3:6" x14ac:dyDescent="0.3">
      <c r="C3431" s="1" t="str">
        <f>IF(C3430&lt;'Investment Calculator'!$C$8*'Investment Calculator'!$F$4,'SIP Schedule'!C3430+1,"")</f>
        <v/>
      </c>
      <c r="D3431" s="27" t="str">
        <f>IF(C3431&lt;='Investment Calculator'!$C$8*'Investment Calculator'!$F$4,'Investment Calculator'!$C$6,"")</f>
        <v/>
      </c>
      <c r="E3431" s="27" t="str">
        <f>IFERROR((F3430+D3431)*'Investment Calculator'!$C$7/'Investment Calculator'!$F$4,"")</f>
        <v/>
      </c>
      <c r="F3431" s="27" t="str">
        <f>IFERROR(ABS(FV('Investment Calculator'!$C$7/'Investment Calculator'!$F$4,'SIP Schedule'!C3431,'SIP Schedule'!D3431,,1)),"")</f>
        <v/>
      </c>
    </row>
    <row r="3432" spans="3:6" x14ac:dyDescent="0.3">
      <c r="C3432" s="1" t="str">
        <f>IF(C3431&lt;'Investment Calculator'!$C$8*'Investment Calculator'!$F$4,'SIP Schedule'!C3431+1,"")</f>
        <v/>
      </c>
      <c r="D3432" s="27" t="str">
        <f>IF(C3432&lt;='Investment Calculator'!$C$8*'Investment Calculator'!$F$4,'Investment Calculator'!$C$6,"")</f>
        <v/>
      </c>
      <c r="E3432" s="27" t="str">
        <f>IFERROR((F3431+D3432)*'Investment Calculator'!$C$7/'Investment Calculator'!$F$4,"")</f>
        <v/>
      </c>
      <c r="F3432" s="27" t="str">
        <f>IFERROR(ABS(FV('Investment Calculator'!$C$7/'Investment Calculator'!$F$4,'SIP Schedule'!C3432,'SIP Schedule'!D3432,,1)),"")</f>
        <v/>
      </c>
    </row>
    <row r="3433" spans="3:6" x14ac:dyDescent="0.3">
      <c r="C3433" s="1" t="str">
        <f>IF(C3432&lt;'Investment Calculator'!$C$8*'Investment Calculator'!$F$4,'SIP Schedule'!C3432+1,"")</f>
        <v/>
      </c>
      <c r="D3433" s="27" t="str">
        <f>IF(C3433&lt;='Investment Calculator'!$C$8*'Investment Calculator'!$F$4,'Investment Calculator'!$C$6,"")</f>
        <v/>
      </c>
      <c r="E3433" s="27" t="str">
        <f>IFERROR((F3432+D3433)*'Investment Calculator'!$C$7/'Investment Calculator'!$F$4,"")</f>
        <v/>
      </c>
      <c r="F3433" s="27" t="str">
        <f>IFERROR(ABS(FV('Investment Calculator'!$C$7/'Investment Calculator'!$F$4,'SIP Schedule'!C3433,'SIP Schedule'!D3433,,1)),"")</f>
        <v/>
      </c>
    </row>
    <row r="3434" spans="3:6" x14ac:dyDescent="0.3">
      <c r="C3434" s="1" t="str">
        <f>IF(C3433&lt;'Investment Calculator'!$C$8*'Investment Calculator'!$F$4,'SIP Schedule'!C3433+1,"")</f>
        <v/>
      </c>
      <c r="D3434" s="27" t="str">
        <f>IF(C3434&lt;='Investment Calculator'!$C$8*'Investment Calculator'!$F$4,'Investment Calculator'!$C$6,"")</f>
        <v/>
      </c>
      <c r="E3434" s="27" t="str">
        <f>IFERROR((F3433+D3434)*'Investment Calculator'!$C$7/'Investment Calculator'!$F$4,"")</f>
        <v/>
      </c>
      <c r="F3434" s="27" t="str">
        <f>IFERROR(ABS(FV('Investment Calculator'!$C$7/'Investment Calculator'!$F$4,'SIP Schedule'!C3434,'SIP Schedule'!D3434,,1)),"")</f>
        <v/>
      </c>
    </row>
    <row r="3435" spans="3:6" x14ac:dyDescent="0.3">
      <c r="C3435" s="1" t="str">
        <f>IF(C3434&lt;'Investment Calculator'!$C$8*'Investment Calculator'!$F$4,'SIP Schedule'!C3434+1,"")</f>
        <v/>
      </c>
      <c r="D3435" s="27" t="str">
        <f>IF(C3435&lt;='Investment Calculator'!$C$8*'Investment Calculator'!$F$4,'Investment Calculator'!$C$6,"")</f>
        <v/>
      </c>
      <c r="E3435" s="27" t="str">
        <f>IFERROR((F3434+D3435)*'Investment Calculator'!$C$7/'Investment Calculator'!$F$4,"")</f>
        <v/>
      </c>
      <c r="F3435" s="27" t="str">
        <f>IFERROR(ABS(FV('Investment Calculator'!$C$7/'Investment Calculator'!$F$4,'SIP Schedule'!C3435,'SIP Schedule'!D3435,,1)),"")</f>
        <v/>
      </c>
    </row>
    <row r="3436" spans="3:6" x14ac:dyDescent="0.3">
      <c r="C3436" s="1" t="str">
        <f>IF(C3435&lt;'Investment Calculator'!$C$8*'Investment Calculator'!$F$4,'SIP Schedule'!C3435+1,"")</f>
        <v/>
      </c>
      <c r="D3436" s="27" t="str">
        <f>IF(C3436&lt;='Investment Calculator'!$C$8*'Investment Calculator'!$F$4,'Investment Calculator'!$C$6,"")</f>
        <v/>
      </c>
      <c r="E3436" s="27" t="str">
        <f>IFERROR((F3435+D3436)*'Investment Calculator'!$C$7/'Investment Calculator'!$F$4,"")</f>
        <v/>
      </c>
      <c r="F3436" s="27" t="str">
        <f>IFERROR(ABS(FV('Investment Calculator'!$C$7/'Investment Calculator'!$F$4,'SIP Schedule'!C3436,'SIP Schedule'!D3436,,1)),"")</f>
        <v/>
      </c>
    </row>
    <row r="3437" spans="3:6" x14ac:dyDescent="0.3">
      <c r="C3437" s="1" t="str">
        <f>IF(C3436&lt;'Investment Calculator'!$C$8*'Investment Calculator'!$F$4,'SIP Schedule'!C3436+1,"")</f>
        <v/>
      </c>
      <c r="D3437" s="27" t="str">
        <f>IF(C3437&lt;='Investment Calculator'!$C$8*'Investment Calculator'!$F$4,'Investment Calculator'!$C$6,"")</f>
        <v/>
      </c>
      <c r="E3437" s="27" t="str">
        <f>IFERROR((F3436+D3437)*'Investment Calculator'!$C$7/'Investment Calculator'!$F$4,"")</f>
        <v/>
      </c>
      <c r="F3437" s="27" t="str">
        <f>IFERROR(ABS(FV('Investment Calculator'!$C$7/'Investment Calculator'!$F$4,'SIP Schedule'!C3437,'SIP Schedule'!D3437,,1)),"")</f>
        <v/>
      </c>
    </row>
    <row r="3438" spans="3:6" x14ac:dyDescent="0.3">
      <c r="C3438" s="1" t="str">
        <f>IF(C3437&lt;'Investment Calculator'!$C$8*'Investment Calculator'!$F$4,'SIP Schedule'!C3437+1,"")</f>
        <v/>
      </c>
      <c r="D3438" s="27" t="str">
        <f>IF(C3438&lt;='Investment Calculator'!$C$8*'Investment Calculator'!$F$4,'Investment Calculator'!$C$6,"")</f>
        <v/>
      </c>
      <c r="E3438" s="27" t="str">
        <f>IFERROR((F3437+D3438)*'Investment Calculator'!$C$7/'Investment Calculator'!$F$4,"")</f>
        <v/>
      </c>
      <c r="F3438" s="27" t="str">
        <f>IFERROR(ABS(FV('Investment Calculator'!$C$7/'Investment Calculator'!$F$4,'SIP Schedule'!C3438,'SIP Schedule'!D3438,,1)),"")</f>
        <v/>
      </c>
    </row>
    <row r="3439" spans="3:6" x14ac:dyDescent="0.3">
      <c r="C3439" s="1" t="str">
        <f>IF(C3438&lt;'Investment Calculator'!$C$8*'Investment Calculator'!$F$4,'SIP Schedule'!C3438+1,"")</f>
        <v/>
      </c>
      <c r="D3439" s="27" t="str">
        <f>IF(C3439&lt;='Investment Calculator'!$C$8*'Investment Calculator'!$F$4,'Investment Calculator'!$C$6,"")</f>
        <v/>
      </c>
      <c r="E3439" s="27" t="str">
        <f>IFERROR((F3438+D3439)*'Investment Calculator'!$C$7/'Investment Calculator'!$F$4,"")</f>
        <v/>
      </c>
      <c r="F3439" s="27" t="str">
        <f>IFERROR(ABS(FV('Investment Calculator'!$C$7/'Investment Calculator'!$F$4,'SIP Schedule'!C3439,'SIP Schedule'!D3439,,1)),"")</f>
        <v/>
      </c>
    </row>
    <row r="3440" spans="3:6" x14ac:dyDescent="0.3">
      <c r="C3440" s="1" t="str">
        <f>IF(C3439&lt;'Investment Calculator'!$C$8*'Investment Calculator'!$F$4,'SIP Schedule'!C3439+1,"")</f>
        <v/>
      </c>
      <c r="D3440" s="27" t="str">
        <f>IF(C3440&lt;='Investment Calculator'!$C$8*'Investment Calculator'!$F$4,'Investment Calculator'!$C$6,"")</f>
        <v/>
      </c>
      <c r="E3440" s="27" t="str">
        <f>IFERROR((F3439+D3440)*'Investment Calculator'!$C$7/'Investment Calculator'!$F$4,"")</f>
        <v/>
      </c>
      <c r="F3440" s="27" t="str">
        <f>IFERROR(ABS(FV('Investment Calculator'!$C$7/'Investment Calculator'!$F$4,'SIP Schedule'!C3440,'SIP Schedule'!D3440,,1)),"")</f>
        <v/>
      </c>
    </row>
    <row r="3441" spans="3:6" x14ac:dyDescent="0.3">
      <c r="C3441" s="1" t="str">
        <f>IF(C3440&lt;'Investment Calculator'!$C$8*'Investment Calculator'!$F$4,'SIP Schedule'!C3440+1,"")</f>
        <v/>
      </c>
      <c r="D3441" s="27" t="str">
        <f>IF(C3441&lt;='Investment Calculator'!$C$8*'Investment Calculator'!$F$4,'Investment Calculator'!$C$6,"")</f>
        <v/>
      </c>
      <c r="E3441" s="27" t="str">
        <f>IFERROR((F3440+D3441)*'Investment Calculator'!$C$7/'Investment Calculator'!$F$4,"")</f>
        <v/>
      </c>
      <c r="F3441" s="27" t="str">
        <f>IFERROR(ABS(FV('Investment Calculator'!$C$7/'Investment Calculator'!$F$4,'SIP Schedule'!C3441,'SIP Schedule'!D3441,,1)),"")</f>
        <v/>
      </c>
    </row>
    <row r="3442" spans="3:6" x14ac:dyDescent="0.3">
      <c r="C3442" s="1" t="str">
        <f>IF(C3441&lt;'Investment Calculator'!$C$8*'Investment Calculator'!$F$4,'SIP Schedule'!C3441+1,"")</f>
        <v/>
      </c>
      <c r="D3442" s="27" t="str">
        <f>IF(C3442&lt;='Investment Calculator'!$C$8*'Investment Calculator'!$F$4,'Investment Calculator'!$C$6,"")</f>
        <v/>
      </c>
      <c r="E3442" s="27" t="str">
        <f>IFERROR((F3441+D3442)*'Investment Calculator'!$C$7/'Investment Calculator'!$F$4,"")</f>
        <v/>
      </c>
      <c r="F3442" s="27" t="str">
        <f>IFERROR(ABS(FV('Investment Calculator'!$C$7/'Investment Calculator'!$F$4,'SIP Schedule'!C3442,'SIP Schedule'!D3442,,1)),"")</f>
        <v/>
      </c>
    </row>
    <row r="3443" spans="3:6" x14ac:dyDescent="0.3">
      <c r="C3443" s="1" t="str">
        <f>IF(C3442&lt;'Investment Calculator'!$C$8*'Investment Calculator'!$F$4,'SIP Schedule'!C3442+1,"")</f>
        <v/>
      </c>
      <c r="D3443" s="27" t="str">
        <f>IF(C3443&lt;='Investment Calculator'!$C$8*'Investment Calculator'!$F$4,'Investment Calculator'!$C$6,"")</f>
        <v/>
      </c>
      <c r="E3443" s="27" t="str">
        <f>IFERROR((F3442+D3443)*'Investment Calculator'!$C$7/'Investment Calculator'!$F$4,"")</f>
        <v/>
      </c>
      <c r="F3443" s="27" t="str">
        <f>IFERROR(ABS(FV('Investment Calculator'!$C$7/'Investment Calculator'!$F$4,'SIP Schedule'!C3443,'SIP Schedule'!D3443,,1)),"")</f>
        <v/>
      </c>
    </row>
    <row r="3444" spans="3:6" x14ac:dyDescent="0.3">
      <c r="C3444" s="1" t="str">
        <f>IF(C3443&lt;'Investment Calculator'!$C$8*'Investment Calculator'!$F$4,'SIP Schedule'!C3443+1,"")</f>
        <v/>
      </c>
      <c r="D3444" s="27" t="str">
        <f>IF(C3444&lt;='Investment Calculator'!$C$8*'Investment Calculator'!$F$4,'Investment Calculator'!$C$6,"")</f>
        <v/>
      </c>
      <c r="E3444" s="27" t="str">
        <f>IFERROR((F3443+D3444)*'Investment Calculator'!$C$7/'Investment Calculator'!$F$4,"")</f>
        <v/>
      </c>
      <c r="F3444" s="27" t="str">
        <f>IFERROR(ABS(FV('Investment Calculator'!$C$7/'Investment Calculator'!$F$4,'SIP Schedule'!C3444,'SIP Schedule'!D3444,,1)),"")</f>
        <v/>
      </c>
    </row>
    <row r="3445" spans="3:6" x14ac:dyDescent="0.3">
      <c r="C3445" s="1" t="str">
        <f>IF(C3444&lt;'Investment Calculator'!$C$8*'Investment Calculator'!$F$4,'SIP Schedule'!C3444+1,"")</f>
        <v/>
      </c>
      <c r="D3445" s="27" t="str">
        <f>IF(C3445&lt;='Investment Calculator'!$C$8*'Investment Calculator'!$F$4,'Investment Calculator'!$C$6,"")</f>
        <v/>
      </c>
      <c r="E3445" s="27" t="str">
        <f>IFERROR((F3444+D3445)*'Investment Calculator'!$C$7/'Investment Calculator'!$F$4,"")</f>
        <v/>
      </c>
      <c r="F3445" s="27" t="str">
        <f>IFERROR(ABS(FV('Investment Calculator'!$C$7/'Investment Calculator'!$F$4,'SIP Schedule'!C3445,'SIP Schedule'!D3445,,1)),"")</f>
        <v/>
      </c>
    </row>
    <row r="3446" spans="3:6" x14ac:dyDescent="0.3">
      <c r="C3446" s="1" t="str">
        <f>IF(C3445&lt;'Investment Calculator'!$C$8*'Investment Calculator'!$F$4,'SIP Schedule'!C3445+1,"")</f>
        <v/>
      </c>
      <c r="D3446" s="27" t="str">
        <f>IF(C3446&lt;='Investment Calculator'!$C$8*'Investment Calculator'!$F$4,'Investment Calculator'!$C$6,"")</f>
        <v/>
      </c>
      <c r="E3446" s="27" t="str">
        <f>IFERROR((F3445+D3446)*'Investment Calculator'!$C$7/'Investment Calculator'!$F$4,"")</f>
        <v/>
      </c>
      <c r="F3446" s="27" t="str">
        <f>IFERROR(ABS(FV('Investment Calculator'!$C$7/'Investment Calculator'!$F$4,'SIP Schedule'!C3446,'SIP Schedule'!D3446,,1)),"")</f>
        <v/>
      </c>
    </row>
    <row r="3447" spans="3:6" x14ac:dyDescent="0.3">
      <c r="C3447" s="1" t="str">
        <f>IF(C3446&lt;'Investment Calculator'!$C$8*'Investment Calculator'!$F$4,'SIP Schedule'!C3446+1,"")</f>
        <v/>
      </c>
      <c r="D3447" s="27" t="str">
        <f>IF(C3447&lt;='Investment Calculator'!$C$8*'Investment Calculator'!$F$4,'Investment Calculator'!$C$6,"")</f>
        <v/>
      </c>
      <c r="E3447" s="27" t="str">
        <f>IFERROR((F3446+D3447)*'Investment Calculator'!$C$7/'Investment Calculator'!$F$4,"")</f>
        <v/>
      </c>
      <c r="F3447" s="27" t="str">
        <f>IFERROR(ABS(FV('Investment Calculator'!$C$7/'Investment Calculator'!$F$4,'SIP Schedule'!C3447,'SIP Schedule'!D3447,,1)),"")</f>
        <v/>
      </c>
    </row>
    <row r="3448" spans="3:6" x14ac:dyDescent="0.3">
      <c r="C3448" s="1" t="str">
        <f>IF(C3447&lt;'Investment Calculator'!$C$8*'Investment Calculator'!$F$4,'SIP Schedule'!C3447+1,"")</f>
        <v/>
      </c>
      <c r="D3448" s="27" t="str">
        <f>IF(C3448&lt;='Investment Calculator'!$C$8*'Investment Calculator'!$F$4,'Investment Calculator'!$C$6,"")</f>
        <v/>
      </c>
      <c r="E3448" s="27" t="str">
        <f>IFERROR((F3447+D3448)*'Investment Calculator'!$C$7/'Investment Calculator'!$F$4,"")</f>
        <v/>
      </c>
      <c r="F3448" s="27" t="str">
        <f>IFERROR(ABS(FV('Investment Calculator'!$C$7/'Investment Calculator'!$F$4,'SIP Schedule'!C3448,'SIP Schedule'!D3448,,1)),"")</f>
        <v/>
      </c>
    </row>
    <row r="3449" spans="3:6" x14ac:dyDescent="0.3">
      <c r="C3449" s="1" t="str">
        <f>IF(C3448&lt;'Investment Calculator'!$C$8*'Investment Calculator'!$F$4,'SIP Schedule'!C3448+1,"")</f>
        <v/>
      </c>
      <c r="D3449" s="27" t="str">
        <f>IF(C3449&lt;='Investment Calculator'!$C$8*'Investment Calculator'!$F$4,'Investment Calculator'!$C$6,"")</f>
        <v/>
      </c>
      <c r="E3449" s="27" t="str">
        <f>IFERROR((F3448+D3449)*'Investment Calculator'!$C$7/'Investment Calculator'!$F$4,"")</f>
        <v/>
      </c>
      <c r="F3449" s="27" t="str">
        <f>IFERROR(ABS(FV('Investment Calculator'!$C$7/'Investment Calculator'!$F$4,'SIP Schedule'!C3449,'SIP Schedule'!D3449,,1)),"")</f>
        <v/>
      </c>
    </row>
    <row r="3450" spans="3:6" x14ac:dyDescent="0.3">
      <c r="C3450" s="1" t="str">
        <f>IF(C3449&lt;'Investment Calculator'!$C$8*'Investment Calculator'!$F$4,'SIP Schedule'!C3449+1,"")</f>
        <v/>
      </c>
      <c r="D3450" s="27" t="str">
        <f>IF(C3450&lt;='Investment Calculator'!$C$8*'Investment Calculator'!$F$4,'Investment Calculator'!$C$6,"")</f>
        <v/>
      </c>
      <c r="E3450" s="27" t="str">
        <f>IFERROR((F3449+D3450)*'Investment Calculator'!$C$7/'Investment Calculator'!$F$4,"")</f>
        <v/>
      </c>
      <c r="F3450" s="27" t="str">
        <f>IFERROR(ABS(FV('Investment Calculator'!$C$7/'Investment Calculator'!$F$4,'SIP Schedule'!C3450,'SIP Schedule'!D3450,,1)),"")</f>
        <v/>
      </c>
    </row>
    <row r="3451" spans="3:6" x14ac:dyDescent="0.3">
      <c r="C3451" s="1" t="str">
        <f>IF(C3450&lt;'Investment Calculator'!$C$8*'Investment Calculator'!$F$4,'SIP Schedule'!C3450+1,"")</f>
        <v/>
      </c>
      <c r="D3451" s="27" t="str">
        <f>IF(C3451&lt;='Investment Calculator'!$C$8*'Investment Calculator'!$F$4,'Investment Calculator'!$C$6,"")</f>
        <v/>
      </c>
      <c r="E3451" s="27" t="str">
        <f>IFERROR((F3450+D3451)*'Investment Calculator'!$C$7/'Investment Calculator'!$F$4,"")</f>
        <v/>
      </c>
      <c r="F3451" s="27" t="str">
        <f>IFERROR(ABS(FV('Investment Calculator'!$C$7/'Investment Calculator'!$F$4,'SIP Schedule'!C3451,'SIP Schedule'!D3451,,1)),"")</f>
        <v/>
      </c>
    </row>
    <row r="3452" spans="3:6" x14ac:dyDescent="0.3">
      <c r="C3452" s="1" t="str">
        <f>IF(C3451&lt;'Investment Calculator'!$C$8*'Investment Calculator'!$F$4,'SIP Schedule'!C3451+1,"")</f>
        <v/>
      </c>
      <c r="D3452" s="27" t="str">
        <f>IF(C3452&lt;='Investment Calculator'!$C$8*'Investment Calculator'!$F$4,'Investment Calculator'!$C$6,"")</f>
        <v/>
      </c>
      <c r="E3452" s="27" t="str">
        <f>IFERROR((F3451+D3452)*'Investment Calculator'!$C$7/'Investment Calculator'!$F$4,"")</f>
        <v/>
      </c>
      <c r="F3452" s="27" t="str">
        <f>IFERROR(ABS(FV('Investment Calculator'!$C$7/'Investment Calculator'!$F$4,'SIP Schedule'!C3452,'SIP Schedule'!D3452,,1)),"")</f>
        <v/>
      </c>
    </row>
    <row r="3453" spans="3:6" x14ac:dyDescent="0.3">
      <c r="C3453" s="1" t="str">
        <f>IF(C3452&lt;'Investment Calculator'!$C$8*'Investment Calculator'!$F$4,'SIP Schedule'!C3452+1,"")</f>
        <v/>
      </c>
      <c r="D3453" s="27" t="str">
        <f>IF(C3453&lt;='Investment Calculator'!$C$8*'Investment Calculator'!$F$4,'Investment Calculator'!$C$6,"")</f>
        <v/>
      </c>
      <c r="E3453" s="27" t="str">
        <f>IFERROR((F3452+D3453)*'Investment Calculator'!$C$7/'Investment Calculator'!$F$4,"")</f>
        <v/>
      </c>
      <c r="F3453" s="27" t="str">
        <f>IFERROR(ABS(FV('Investment Calculator'!$C$7/'Investment Calculator'!$F$4,'SIP Schedule'!C3453,'SIP Schedule'!D3453,,1)),"")</f>
        <v/>
      </c>
    </row>
    <row r="3454" spans="3:6" x14ac:dyDescent="0.3">
      <c r="C3454" s="1" t="str">
        <f>IF(C3453&lt;'Investment Calculator'!$C$8*'Investment Calculator'!$F$4,'SIP Schedule'!C3453+1,"")</f>
        <v/>
      </c>
      <c r="D3454" s="27" t="str">
        <f>IF(C3454&lt;='Investment Calculator'!$C$8*'Investment Calculator'!$F$4,'Investment Calculator'!$C$6,"")</f>
        <v/>
      </c>
      <c r="E3454" s="27" t="str">
        <f>IFERROR((F3453+D3454)*'Investment Calculator'!$C$7/'Investment Calculator'!$F$4,"")</f>
        <v/>
      </c>
      <c r="F3454" s="27" t="str">
        <f>IFERROR(ABS(FV('Investment Calculator'!$C$7/'Investment Calculator'!$F$4,'SIP Schedule'!C3454,'SIP Schedule'!D3454,,1)),"")</f>
        <v/>
      </c>
    </row>
    <row r="3455" spans="3:6" x14ac:dyDescent="0.3">
      <c r="C3455" s="1" t="str">
        <f>IF(C3454&lt;'Investment Calculator'!$C$8*'Investment Calculator'!$F$4,'SIP Schedule'!C3454+1,"")</f>
        <v/>
      </c>
      <c r="D3455" s="27" t="str">
        <f>IF(C3455&lt;='Investment Calculator'!$C$8*'Investment Calculator'!$F$4,'Investment Calculator'!$C$6,"")</f>
        <v/>
      </c>
      <c r="E3455" s="27" t="str">
        <f>IFERROR((F3454+D3455)*'Investment Calculator'!$C$7/'Investment Calculator'!$F$4,"")</f>
        <v/>
      </c>
      <c r="F3455" s="27" t="str">
        <f>IFERROR(ABS(FV('Investment Calculator'!$C$7/'Investment Calculator'!$F$4,'SIP Schedule'!C3455,'SIP Schedule'!D3455,,1)),"")</f>
        <v/>
      </c>
    </row>
    <row r="3456" spans="3:6" x14ac:dyDescent="0.3">
      <c r="C3456" s="1" t="str">
        <f>IF(C3455&lt;'Investment Calculator'!$C$8*'Investment Calculator'!$F$4,'SIP Schedule'!C3455+1,"")</f>
        <v/>
      </c>
      <c r="D3456" s="27" t="str">
        <f>IF(C3456&lt;='Investment Calculator'!$C$8*'Investment Calculator'!$F$4,'Investment Calculator'!$C$6,"")</f>
        <v/>
      </c>
      <c r="E3456" s="27" t="str">
        <f>IFERROR((F3455+D3456)*'Investment Calculator'!$C$7/'Investment Calculator'!$F$4,"")</f>
        <v/>
      </c>
      <c r="F3456" s="27" t="str">
        <f>IFERROR(ABS(FV('Investment Calculator'!$C$7/'Investment Calculator'!$F$4,'SIP Schedule'!C3456,'SIP Schedule'!D3456,,1)),"")</f>
        <v/>
      </c>
    </row>
    <row r="3457" spans="3:6" x14ac:dyDescent="0.3">
      <c r="C3457" s="1" t="str">
        <f>IF(C3456&lt;'Investment Calculator'!$C$8*'Investment Calculator'!$F$4,'SIP Schedule'!C3456+1,"")</f>
        <v/>
      </c>
      <c r="D3457" s="27" t="str">
        <f>IF(C3457&lt;='Investment Calculator'!$C$8*'Investment Calculator'!$F$4,'Investment Calculator'!$C$6,"")</f>
        <v/>
      </c>
      <c r="E3457" s="27" t="str">
        <f>IFERROR((F3456+D3457)*'Investment Calculator'!$C$7/'Investment Calculator'!$F$4,"")</f>
        <v/>
      </c>
      <c r="F3457" s="27" t="str">
        <f>IFERROR(ABS(FV('Investment Calculator'!$C$7/'Investment Calculator'!$F$4,'SIP Schedule'!C3457,'SIP Schedule'!D3457,,1)),"")</f>
        <v/>
      </c>
    </row>
    <row r="3458" spans="3:6" x14ac:dyDescent="0.3">
      <c r="C3458" s="1" t="str">
        <f>IF(C3457&lt;'Investment Calculator'!$C$8*'Investment Calculator'!$F$4,'SIP Schedule'!C3457+1,"")</f>
        <v/>
      </c>
      <c r="D3458" s="27" t="str">
        <f>IF(C3458&lt;='Investment Calculator'!$C$8*'Investment Calculator'!$F$4,'Investment Calculator'!$C$6,"")</f>
        <v/>
      </c>
      <c r="E3458" s="27" t="str">
        <f>IFERROR((F3457+D3458)*'Investment Calculator'!$C$7/'Investment Calculator'!$F$4,"")</f>
        <v/>
      </c>
      <c r="F3458" s="27" t="str">
        <f>IFERROR(ABS(FV('Investment Calculator'!$C$7/'Investment Calculator'!$F$4,'SIP Schedule'!C3458,'SIP Schedule'!D3458,,1)),"")</f>
        <v/>
      </c>
    </row>
    <row r="3459" spans="3:6" x14ac:dyDescent="0.3">
      <c r="C3459" s="1" t="str">
        <f>IF(C3458&lt;'Investment Calculator'!$C$8*'Investment Calculator'!$F$4,'SIP Schedule'!C3458+1,"")</f>
        <v/>
      </c>
      <c r="D3459" s="27" t="str">
        <f>IF(C3459&lt;='Investment Calculator'!$C$8*'Investment Calculator'!$F$4,'Investment Calculator'!$C$6,"")</f>
        <v/>
      </c>
      <c r="E3459" s="27" t="str">
        <f>IFERROR((F3458+D3459)*'Investment Calculator'!$C$7/'Investment Calculator'!$F$4,"")</f>
        <v/>
      </c>
      <c r="F3459" s="27" t="str">
        <f>IFERROR(ABS(FV('Investment Calculator'!$C$7/'Investment Calculator'!$F$4,'SIP Schedule'!C3459,'SIP Schedule'!D3459,,1)),"")</f>
        <v/>
      </c>
    </row>
    <row r="3460" spans="3:6" x14ac:dyDescent="0.3">
      <c r="C3460" s="1" t="str">
        <f>IF(C3459&lt;'Investment Calculator'!$C$8*'Investment Calculator'!$F$4,'SIP Schedule'!C3459+1,"")</f>
        <v/>
      </c>
      <c r="D3460" s="27" t="str">
        <f>IF(C3460&lt;='Investment Calculator'!$C$8*'Investment Calculator'!$F$4,'Investment Calculator'!$C$6,"")</f>
        <v/>
      </c>
      <c r="E3460" s="27" t="str">
        <f>IFERROR((F3459+D3460)*'Investment Calculator'!$C$7/'Investment Calculator'!$F$4,"")</f>
        <v/>
      </c>
      <c r="F3460" s="27" t="str">
        <f>IFERROR(ABS(FV('Investment Calculator'!$C$7/'Investment Calculator'!$F$4,'SIP Schedule'!C3460,'SIP Schedule'!D3460,,1)),"")</f>
        <v/>
      </c>
    </row>
    <row r="3461" spans="3:6" x14ac:dyDescent="0.3">
      <c r="C3461" s="1" t="str">
        <f>IF(C3460&lt;'Investment Calculator'!$C$8*'Investment Calculator'!$F$4,'SIP Schedule'!C3460+1,"")</f>
        <v/>
      </c>
      <c r="D3461" s="27" t="str">
        <f>IF(C3461&lt;='Investment Calculator'!$C$8*'Investment Calculator'!$F$4,'Investment Calculator'!$C$6,"")</f>
        <v/>
      </c>
      <c r="E3461" s="27" t="str">
        <f>IFERROR((F3460+D3461)*'Investment Calculator'!$C$7/'Investment Calculator'!$F$4,"")</f>
        <v/>
      </c>
      <c r="F3461" s="27" t="str">
        <f>IFERROR(ABS(FV('Investment Calculator'!$C$7/'Investment Calculator'!$F$4,'SIP Schedule'!C3461,'SIP Schedule'!D3461,,1)),"")</f>
        <v/>
      </c>
    </row>
    <row r="3462" spans="3:6" x14ac:dyDescent="0.3">
      <c r="C3462" s="1" t="str">
        <f>IF(C3461&lt;'Investment Calculator'!$C$8*'Investment Calculator'!$F$4,'SIP Schedule'!C3461+1,"")</f>
        <v/>
      </c>
      <c r="D3462" s="27" t="str">
        <f>IF(C3462&lt;='Investment Calculator'!$C$8*'Investment Calculator'!$F$4,'Investment Calculator'!$C$6,"")</f>
        <v/>
      </c>
      <c r="E3462" s="27" t="str">
        <f>IFERROR((F3461+D3462)*'Investment Calculator'!$C$7/'Investment Calculator'!$F$4,"")</f>
        <v/>
      </c>
      <c r="F3462" s="27" t="str">
        <f>IFERROR(ABS(FV('Investment Calculator'!$C$7/'Investment Calculator'!$F$4,'SIP Schedule'!C3462,'SIP Schedule'!D3462,,1)),"")</f>
        <v/>
      </c>
    </row>
    <row r="3463" spans="3:6" x14ac:dyDescent="0.3">
      <c r="C3463" s="1" t="str">
        <f>IF(C3462&lt;'Investment Calculator'!$C$8*'Investment Calculator'!$F$4,'SIP Schedule'!C3462+1,"")</f>
        <v/>
      </c>
      <c r="D3463" s="27" t="str">
        <f>IF(C3463&lt;='Investment Calculator'!$C$8*'Investment Calculator'!$F$4,'Investment Calculator'!$C$6,"")</f>
        <v/>
      </c>
      <c r="E3463" s="27" t="str">
        <f>IFERROR((F3462+D3463)*'Investment Calculator'!$C$7/'Investment Calculator'!$F$4,"")</f>
        <v/>
      </c>
      <c r="F3463" s="27" t="str">
        <f>IFERROR(ABS(FV('Investment Calculator'!$C$7/'Investment Calculator'!$F$4,'SIP Schedule'!C3463,'SIP Schedule'!D3463,,1)),"")</f>
        <v/>
      </c>
    </row>
    <row r="3464" spans="3:6" x14ac:dyDescent="0.3">
      <c r="C3464" s="1" t="str">
        <f>IF(C3463&lt;'Investment Calculator'!$C$8*'Investment Calculator'!$F$4,'SIP Schedule'!C3463+1,"")</f>
        <v/>
      </c>
      <c r="D3464" s="27" t="str">
        <f>IF(C3464&lt;='Investment Calculator'!$C$8*'Investment Calculator'!$F$4,'Investment Calculator'!$C$6,"")</f>
        <v/>
      </c>
      <c r="E3464" s="27" t="str">
        <f>IFERROR((F3463+D3464)*'Investment Calculator'!$C$7/'Investment Calculator'!$F$4,"")</f>
        <v/>
      </c>
      <c r="F3464" s="27" t="str">
        <f>IFERROR(ABS(FV('Investment Calculator'!$C$7/'Investment Calculator'!$F$4,'SIP Schedule'!C3464,'SIP Schedule'!D3464,,1)),"")</f>
        <v/>
      </c>
    </row>
    <row r="3465" spans="3:6" x14ac:dyDescent="0.3">
      <c r="C3465" s="1" t="str">
        <f>IF(C3464&lt;'Investment Calculator'!$C$8*'Investment Calculator'!$F$4,'SIP Schedule'!C3464+1,"")</f>
        <v/>
      </c>
      <c r="D3465" s="27" t="str">
        <f>IF(C3465&lt;='Investment Calculator'!$C$8*'Investment Calculator'!$F$4,'Investment Calculator'!$C$6,"")</f>
        <v/>
      </c>
      <c r="E3465" s="27" t="str">
        <f>IFERROR((F3464+D3465)*'Investment Calculator'!$C$7/'Investment Calculator'!$F$4,"")</f>
        <v/>
      </c>
      <c r="F3465" s="27" t="str">
        <f>IFERROR(ABS(FV('Investment Calculator'!$C$7/'Investment Calculator'!$F$4,'SIP Schedule'!C3465,'SIP Schedule'!D3465,,1)),"")</f>
        <v/>
      </c>
    </row>
    <row r="3466" spans="3:6" x14ac:dyDescent="0.3">
      <c r="C3466" s="1" t="str">
        <f>IF(C3465&lt;'Investment Calculator'!$C$8*'Investment Calculator'!$F$4,'SIP Schedule'!C3465+1,"")</f>
        <v/>
      </c>
      <c r="D3466" s="27" t="str">
        <f>IF(C3466&lt;='Investment Calculator'!$C$8*'Investment Calculator'!$F$4,'Investment Calculator'!$C$6,"")</f>
        <v/>
      </c>
      <c r="E3466" s="27" t="str">
        <f>IFERROR((F3465+D3466)*'Investment Calculator'!$C$7/'Investment Calculator'!$F$4,"")</f>
        <v/>
      </c>
      <c r="F3466" s="27" t="str">
        <f>IFERROR(ABS(FV('Investment Calculator'!$C$7/'Investment Calculator'!$F$4,'SIP Schedule'!C3466,'SIP Schedule'!D3466,,1)),"")</f>
        <v/>
      </c>
    </row>
    <row r="3467" spans="3:6" x14ac:dyDescent="0.3">
      <c r="C3467" s="1" t="str">
        <f>IF(C3466&lt;'Investment Calculator'!$C$8*'Investment Calculator'!$F$4,'SIP Schedule'!C3466+1,"")</f>
        <v/>
      </c>
      <c r="D3467" s="27" t="str">
        <f>IF(C3467&lt;='Investment Calculator'!$C$8*'Investment Calculator'!$F$4,'Investment Calculator'!$C$6,"")</f>
        <v/>
      </c>
      <c r="E3467" s="27" t="str">
        <f>IFERROR((F3466+D3467)*'Investment Calculator'!$C$7/'Investment Calculator'!$F$4,"")</f>
        <v/>
      </c>
      <c r="F3467" s="27" t="str">
        <f>IFERROR(ABS(FV('Investment Calculator'!$C$7/'Investment Calculator'!$F$4,'SIP Schedule'!C3467,'SIP Schedule'!D3467,,1)),"")</f>
        <v/>
      </c>
    </row>
    <row r="3468" spans="3:6" x14ac:dyDescent="0.3">
      <c r="C3468" s="1" t="str">
        <f>IF(C3467&lt;'Investment Calculator'!$C$8*'Investment Calculator'!$F$4,'SIP Schedule'!C3467+1,"")</f>
        <v/>
      </c>
      <c r="D3468" s="27" t="str">
        <f>IF(C3468&lt;='Investment Calculator'!$C$8*'Investment Calculator'!$F$4,'Investment Calculator'!$C$6,"")</f>
        <v/>
      </c>
      <c r="E3468" s="27" t="str">
        <f>IFERROR((F3467+D3468)*'Investment Calculator'!$C$7/'Investment Calculator'!$F$4,"")</f>
        <v/>
      </c>
      <c r="F3468" s="27" t="str">
        <f>IFERROR(ABS(FV('Investment Calculator'!$C$7/'Investment Calculator'!$F$4,'SIP Schedule'!C3468,'SIP Schedule'!D3468,,1)),"")</f>
        <v/>
      </c>
    </row>
    <row r="3469" spans="3:6" x14ac:dyDescent="0.3">
      <c r="C3469" s="1" t="str">
        <f>IF(C3468&lt;'Investment Calculator'!$C$8*'Investment Calculator'!$F$4,'SIP Schedule'!C3468+1,"")</f>
        <v/>
      </c>
      <c r="D3469" s="27" t="str">
        <f>IF(C3469&lt;='Investment Calculator'!$C$8*'Investment Calculator'!$F$4,'Investment Calculator'!$C$6,"")</f>
        <v/>
      </c>
      <c r="E3469" s="27" t="str">
        <f>IFERROR((F3468+D3469)*'Investment Calculator'!$C$7/'Investment Calculator'!$F$4,"")</f>
        <v/>
      </c>
      <c r="F3469" s="27" t="str">
        <f>IFERROR(ABS(FV('Investment Calculator'!$C$7/'Investment Calculator'!$F$4,'SIP Schedule'!C3469,'SIP Schedule'!D3469,,1)),"")</f>
        <v/>
      </c>
    </row>
    <row r="3470" spans="3:6" x14ac:dyDescent="0.3">
      <c r="C3470" s="1" t="str">
        <f>IF(C3469&lt;'Investment Calculator'!$C$8*'Investment Calculator'!$F$4,'SIP Schedule'!C3469+1,"")</f>
        <v/>
      </c>
      <c r="D3470" s="27" t="str">
        <f>IF(C3470&lt;='Investment Calculator'!$C$8*'Investment Calculator'!$F$4,'Investment Calculator'!$C$6,"")</f>
        <v/>
      </c>
      <c r="E3470" s="27" t="str">
        <f>IFERROR((F3469+D3470)*'Investment Calculator'!$C$7/'Investment Calculator'!$F$4,"")</f>
        <v/>
      </c>
      <c r="F3470" s="27" t="str">
        <f>IFERROR(ABS(FV('Investment Calculator'!$C$7/'Investment Calculator'!$F$4,'SIP Schedule'!C3470,'SIP Schedule'!D3470,,1)),"")</f>
        <v/>
      </c>
    </row>
    <row r="3471" spans="3:6" x14ac:dyDescent="0.3">
      <c r="C3471" s="1" t="str">
        <f>IF(C3470&lt;'Investment Calculator'!$C$8*'Investment Calculator'!$F$4,'SIP Schedule'!C3470+1,"")</f>
        <v/>
      </c>
      <c r="D3471" s="27" t="str">
        <f>IF(C3471&lt;='Investment Calculator'!$C$8*'Investment Calculator'!$F$4,'Investment Calculator'!$C$6,"")</f>
        <v/>
      </c>
      <c r="E3471" s="27" t="str">
        <f>IFERROR((F3470+D3471)*'Investment Calculator'!$C$7/'Investment Calculator'!$F$4,"")</f>
        <v/>
      </c>
      <c r="F3471" s="27" t="str">
        <f>IFERROR(ABS(FV('Investment Calculator'!$C$7/'Investment Calculator'!$F$4,'SIP Schedule'!C3471,'SIP Schedule'!D3471,,1)),"")</f>
        <v/>
      </c>
    </row>
    <row r="3472" spans="3:6" x14ac:dyDescent="0.3">
      <c r="C3472" s="1" t="str">
        <f>IF(C3471&lt;'Investment Calculator'!$C$8*'Investment Calculator'!$F$4,'SIP Schedule'!C3471+1,"")</f>
        <v/>
      </c>
      <c r="D3472" s="27" t="str">
        <f>IF(C3472&lt;='Investment Calculator'!$C$8*'Investment Calculator'!$F$4,'Investment Calculator'!$C$6,"")</f>
        <v/>
      </c>
      <c r="E3472" s="27" t="str">
        <f>IFERROR((F3471+D3472)*'Investment Calculator'!$C$7/'Investment Calculator'!$F$4,"")</f>
        <v/>
      </c>
      <c r="F3472" s="27" t="str">
        <f>IFERROR(ABS(FV('Investment Calculator'!$C$7/'Investment Calculator'!$F$4,'SIP Schedule'!C3472,'SIP Schedule'!D3472,,1)),"")</f>
        <v/>
      </c>
    </row>
    <row r="3473" spans="3:6" x14ac:dyDescent="0.3">
      <c r="C3473" s="1" t="str">
        <f>IF(C3472&lt;'Investment Calculator'!$C$8*'Investment Calculator'!$F$4,'SIP Schedule'!C3472+1,"")</f>
        <v/>
      </c>
      <c r="D3473" s="27" t="str">
        <f>IF(C3473&lt;='Investment Calculator'!$C$8*'Investment Calculator'!$F$4,'Investment Calculator'!$C$6,"")</f>
        <v/>
      </c>
      <c r="E3473" s="27" t="str">
        <f>IFERROR((F3472+D3473)*'Investment Calculator'!$C$7/'Investment Calculator'!$F$4,"")</f>
        <v/>
      </c>
      <c r="F3473" s="27" t="str">
        <f>IFERROR(ABS(FV('Investment Calculator'!$C$7/'Investment Calculator'!$F$4,'SIP Schedule'!C3473,'SIP Schedule'!D3473,,1)),"")</f>
        <v/>
      </c>
    </row>
    <row r="3474" spans="3:6" x14ac:dyDescent="0.3">
      <c r="C3474" s="1" t="str">
        <f>IF(C3473&lt;'Investment Calculator'!$C$8*'Investment Calculator'!$F$4,'SIP Schedule'!C3473+1,"")</f>
        <v/>
      </c>
      <c r="D3474" s="27" t="str">
        <f>IF(C3474&lt;='Investment Calculator'!$C$8*'Investment Calculator'!$F$4,'Investment Calculator'!$C$6,"")</f>
        <v/>
      </c>
      <c r="E3474" s="27" t="str">
        <f>IFERROR((F3473+D3474)*'Investment Calculator'!$C$7/'Investment Calculator'!$F$4,"")</f>
        <v/>
      </c>
      <c r="F3474" s="27" t="str">
        <f>IFERROR(ABS(FV('Investment Calculator'!$C$7/'Investment Calculator'!$F$4,'SIP Schedule'!C3474,'SIP Schedule'!D3474,,1)),"")</f>
        <v/>
      </c>
    </row>
    <row r="3475" spans="3:6" x14ac:dyDescent="0.3">
      <c r="C3475" s="1" t="str">
        <f>IF(C3474&lt;'Investment Calculator'!$C$8*'Investment Calculator'!$F$4,'SIP Schedule'!C3474+1,"")</f>
        <v/>
      </c>
      <c r="D3475" s="27" t="str">
        <f>IF(C3475&lt;='Investment Calculator'!$C$8*'Investment Calculator'!$F$4,'Investment Calculator'!$C$6,"")</f>
        <v/>
      </c>
      <c r="E3475" s="27" t="str">
        <f>IFERROR((F3474+D3475)*'Investment Calculator'!$C$7/'Investment Calculator'!$F$4,"")</f>
        <v/>
      </c>
      <c r="F3475" s="27" t="str">
        <f>IFERROR(ABS(FV('Investment Calculator'!$C$7/'Investment Calculator'!$F$4,'SIP Schedule'!C3475,'SIP Schedule'!D3475,,1)),"")</f>
        <v/>
      </c>
    </row>
    <row r="3476" spans="3:6" x14ac:dyDescent="0.3">
      <c r="C3476" s="1" t="str">
        <f>IF(C3475&lt;'Investment Calculator'!$C$8*'Investment Calculator'!$F$4,'SIP Schedule'!C3475+1,"")</f>
        <v/>
      </c>
      <c r="D3476" s="27" t="str">
        <f>IF(C3476&lt;='Investment Calculator'!$C$8*'Investment Calculator'!$F$4,'Investment Calculator'!$C$6,"")</f>
        <v/>
      </c>
      <c r="E3476" s="27" t="str">
        <f>IFERROR((F3475+D3476)*'Investment Calculator'!$C$7/'Investment Calculator'!$F$4,"")</f>
        <v/>
      </c>
      <c r="F3476" s="27" t="str">
        <f>IFERROR(ABS(FV('Investment Calculator'!$C$7/'Investment Calculator'!$F$4,'SIP Schedule'!C3476,'SIP Schedule'!D3476,,1)),"")</f>
        <v/>
      </c>
    </row>
    <row r="3477" spans="3:6" x14ac:dyDescent="0.3">
      <c r="C3477" s="1" t="str">
        <f>IF(C3476&lt;'Investment Calculator'!$C$8*'Investment Calculator'!$F$4,'SIP Schedule'!C3476+1,"")</f>
        <v/>
      </c>
      <c r="D3477" s="27" t="str">
        <f>IF(C3477&lt;='Investment Calculator'!$C$8*'Investment Calculator'!$F$4,'Investment Calculator'!$C$6,"")</f>
        <v/>
      </c>
      <c r="E3477" s="27" t="str">
        <f>IFERROR((F3476+D3477)*'Investment Calculator'!$C$7/'Investment Calculator'!$F$4,"")</f>
        <v/>
      </c>
      <c r="F3477" s="27" t="str">
        <f>IFERROR(ABS(FV('Investment Calculator'!$C$7/'Investment Calculator'!$F$4,'SIP Schedule'!C3477,'SIP Schedule'!D3477,,1)),"")</f>
        <v/>
      </c>
    </row>
    <row r="3478" spans="3:6" x14ac:dyDescent="0.3">
      <c r="C3478" s="1" t="str">
        <f>IF(C3477&lt;'Investment Calculator'!$C$8*'Investment Calculator'!$F$4,'SIP Schedule'!C3477+1,"")</f>
        <v/>
      </c>
      <c r="D3478" s="27" t="str">
        <f>IF(C3478&lt;='Investment Calculator'!$C$8*'Investment Calculator'!$F$4,'Investment Calculator'!$C$6,"")</f>
        <v/>
      </c>
      <c r="E3478" s="27" t="str">
        <f>IFERROR((F3477+D3478)*'Investment Calculator'!$C$7/'Investment Calculator'!$F$4,"")</f>
        <v/>
      </c>
      <c r="F3478" s="27" t="str">
        <f>IFERROR(ABS(FV('Investment Calculator'!$C$7/'Investment Calculator'!$F$4,'SIP Schedule'!C3478,'SIP Schedule'!D3478,,1)),"")</f>
        <v/>
      </c>
    </row>
    <row r="3479" spans="3:6" x14ac:dyDescent="0.3">
      <c r="C3479" s="1" t="str">
        <f>IF(C3478&lt;'Investment Calculator'!$C$8*'Investment Calculator'!$F$4,'SIP Schedule'!C3478+1,"")</f>
        <v/>
      </c>
      <c r="D3479" s="27" t="str">
        <f>IF(C3479&lt;='Investment Calculator'!$C$8*'Investment Calculator'!$F$4,'Investment Calculator'!$C$6,"")</f>
        <v/>
      </c>
      <c r="E3479" s="27" t="str">
        <f>IFERROR((F3478+D3479)*'Investment Calculator'!$C$7/'Investment Calculator'!$F$4,"")</f>
        <v/>
      </c>
      <c r="F3479" s="27" t="str">
        <f>IFERROR(ABS(FV('Investment Calculator'!$C$7/'Investment Calculator'!$F$4,'SIP Schedule'!C3479,'SIP Schedule'!D3479,,1)),"")</f>
        <v/>
      </c>
    </row>
    <row r="3480" spans="3:6" x14ac:dyDescent="0.3">
      <c r="C3480" s="1" t="str">
        <f>IF(C3479&lt;'Investment Calculator'!$C$8*'Investment Calculator'!$F$4,'SIP Schedule'!C3479+1,"")</f>
        <v/>
      </c>
      <c r="D3480" s="27" t="str">
        <f>IF(C3480&lt;='Investment Calculator'!$C$8*'Investment Calculator'!$F$4,'Investment Calculator'!$C$6,"")</f>
        <v/>
      </c>
      <c r="E3480" s="27" t="str">
        <f>IFERROR((F3479+D3480)*'Investment Calculator'!$C$7/'Investment Calculator'!$F$4,"")</f>
        <v/>
      </c>
      <c r="F3480" s="27" t="str">
        <f>IFERROR(ABS(FV('Investment Calculator'!$C$7/'Investment Calculator'!$F$4,'SIP Schedule'!C3480,'SIP Schedule'!D3480,,1)),"")</f>
        <v/>
      </c>
    </row>
    <row r="3481" spans="3:6" x14ac:dyDescent="0.3">
      <c r="C3481" s="1" t="str">
        <f>IF(C3480&lt;'Investment Calculator'!$C$8*'Investment Calculator'!$F$4,'SIP Schedule'!C3480+1,"")</f>
        <v/>
      </c>
      <c r="D3481" s="27" t="str">
        <f>IF(C3481&lt;='Investment Calculator'!$C$8*'Investment Calculator'!$F$4,'Investment Calculator'!$C$6,"")</f>
        <v/>
      </c>
      <c r="E3481" s="27" t="str">
        <f>IFERROR((F3480+D3481)*'Investment Calculator'!$C$7/'Investment Calculator'!$F$4,"")</f>
        <v/>
      </c>
      <c r="F3481" s="27" t="str">
        <f>IFERROR(ABS(FV('Investment Calculator'!$C$7/'Investment Calculator'!$F$4,'SIP Schedule'!C3481,'SIP Schedule'!D3481,,1)),"")</f>
        <v/>
      </c>
    </row>
    <row r="3482" spans="3:6" x14ac:dyDescent="0.3">
      <c r="C3482" s="1" t="str">
        <f>IF(C3481&lt;'Investment Calculator'!$C$8*'Investment Calculator'!$F$4,'SIP Schedule'!C3481+1,"")</f>
        <v/>
      </c>
      <c r="D3482" s="27" t="str">
        <f>IF(C3482&lt;='Investment Calculator'!$C$8*'Investment Calculator'!$F$4,'Investment Calculator'!$C$6,"")</f>
        <v/>
      </c>
      <c r="E3482" s="27" t="str">
        <f>IFERROR((F3481+D3482)*'Investment Calculator'!$C$7/'Investment Calculator'!$F$4,"")</f>
        <v/>
      </c>
      <c r="F3482" s="27" t="str">
        <f>IFERROR(ABS(FV('Investment Calculator'!$C$7/'Investment Calculator'!$F$4,'SIP Schedule'!C3482,'SIP Schedule'!D3482,,1)),"")</f>
        <v/>
      </c>
    </row>
    <row r="3483" spans="3:6" x14ac:dyDescent="0.3">
      <c r="C3483" s="1" t="str">
        <f>IF(C3482&lt;'Investment Calculator'!$C$8*'Investment Calculator'!$F$4,'SIP Schedule'!C3482+1,"")</f>
        <v/>
      </c>
      <c r="D3483" s="27" t="str">
        <f>IF(C3483&lt;='Investment Calculator'!$C$8*'Investment Calculator'!$F$4,'Investment Calculator'!$C$6,"")</f>
        <v/>
      </c>
      <c r="E3483" s="27" t="str">
        <f>IFERROR((F3482+D3483)*'Investment Calculator'!$C$7/'Investment Calculator'!$F$4,"")</f>
        <v/>
      </c>
      <c r="F3483" s="27" t="str">
        <f>IFERROR(ABS(FV('Investment Calculator'!$C$7/'Investment Calculator'!$F$4,'SIP Schedule'!C3483,'SIP Schedule'!D3483,,1)),"")</f>
        <v/>
      </c>
    </row>
    <row r="3484" spans="3:6" x14ac:dyDescent="0.3">
      <c r="C3484" s="1" t="str">
        <f>IF(C3483&lt;'Investment Calculator'!$C$8*'Investment Calculator'!$F$4,'SIP Schedule'!C3483+1,"")</f>
        <v/>
      </c>
      <c r="D3484" s="27" t="str">
        <f>IF(C3484&lt;='Investment Calculator'!$C$8*'Investment Calculator'!$F$4,'Investment Calculator'!$C$6,"")</f>
        <v/>
      </c>
      <c r="E3484" s="27" t="str">
        <f>IFERROR((F3483+D3484)*'Investment Calculator'!$C$7/'Investment Calculator'!$F$4,"")</f>
        <v/>
      </c>
      <c r="F3484" s="27" t="str">
        <f>IFERROR(ABS(FV('Investment Calculator'!$C$7/'Investment Calculator'!$F$4,'SIP Schedule'!C3484,'SIP Schedule'!D3484,,1)),"")</f>
        <v/>
      </c>
    </row>
    <row r="3485" spans="3:6" x14ac:dyDescent="0.3">
      <c r="C3485" s="1" t="str">
        <f>IF(C3484&lt;'Investment Calculator'!$C$8*'Investment Calculator'!$F$4,'SIP Schedule'!C3484+1,"")</f>
        <v/>
      </c>
      <c r="D3485" s="27" t="str">
        <f>IF(C3485&lt;='Investment Calculator'!$C$8*'Investment Calculator'!$F$4,'Investment Calculator'!$C$6,"")</f>
        <v/>
      </c>
      <c r="E3485" s="27" t="str">
        <f>IFERROR((F3484+D3485)*'Investment Calculator'!$C$7/'Investment Calculator'!$F$4,"")</f>
        <v/>
      </c>
      <c r="F3485" s="27" t="str">
        <f>IFERROR(ABS(FV('Investment Calculator'!$C$7/'Investment Calculator'!$F$4,'SIP Schedule'!C3485,'SIP Schedule'!D3485,,1)),"")</f>
        <v/>
      </c>
    </row>
    <row r="3486" spans="3:6" x14ac:dyDescent="0.3">
      <c r="C3486" s="1" t="str">
        <f>IF(C3485&lt;'Investment Calculator'!$C$8*'Investment Calculator'!$F$4,'SIP Schedule'!C3485+1,"")</f>
        <v/>
      </c>
      <c r="D3486" s="27" t="str">
        <f>IF(C3486&lt;='Investment Calculator'!$C$8*'Investment Calculator'!$F$4,'Investment Calculator'!$C$6,"")</f>
        <v/>
      </c>
      <c r="E3486" s="27" t="str">
        <f>IFERROR((F3485+D3486)*'Investment Calculator'!$C$7/'Investment Calculator'!$F$4,"")</f>
        <v/>
      </c>
      <c r="F3486" s="27" t="str">
        <f>IFERROR(ABS(FV('Investment Calculator'!$C$7/'Investment Calculator'!$F$4,'SIP Schedule'!C3486,'SIP Schedule'!D3486,,1)),"")</f>
        <v/>
      </c>
    </row>
    <row r="3487" spans="3:6" x14ac:dyDescent="0.3">
      <c r="C3487" s="1" t="str">
        <f>IF(C3486&lt;'Investment Calculator'!$C$8*'Investment Calculator'!$F$4,'SIP Schedule'!C3486+1,"")</f>
        <v/>
      </c>
      <c r="D3487" s="27" t="str">
        <f>IF(C3487&lt;='Investment Calculator'!$C$8*'Investment Calculator'!$F$4,'Investment Calculator'!$C$6,"")</f>
        <v/>
      </c>
      <c r="E3487" s="27" t="str">
        <f>IFERROR((F3486+D3487)*'Investment Calculator'!$C$7/'Investment Calculator'!$F$4,"")</f>
        <v/>
      </c>
      <c r="F3487" s="27" t="str">
        <f>IFERROR(ABS(FV('Investment Calculator'!$C$7/'Investment Calculator'!$F$4,'SIP Schedule'!C3487,'SIP Schedule'!D3487,,1)),"")</f>
        <v/>
      </c>
    </row>
    <row r="3488" spans="3:6" x14ac:dyDescent="0.3">
      <c r="C3488" s="1" t="str">
        <f>IF(C3487&lt;'Investment Calculator'!$C$8*'Investment Calculator'!$F$4,'SIP Schedule'!C3487+1,"")</f>
        <v/>
      </c>
      <c r="D3488" s="27" t="str">
        <f>IF(C3488&lt;='Investment Calculator'!$C$8*'Investment Calculator'!$F$4,'Investment Calculator'!$C$6,"")</f>
        <v/>
      </c>
      <c r="E3488" s="27" t="str">
        <f>IFERROR((F3487+D3488)*'Investment Calculator'!$C$7/'Investment Calculator'!$F$4,"")</f>
        <v/>
      </c>
      <c r="F3488" s="27" t="str">
        <f>IFERROR(ABS(FV('Investment Calculator'!$C$7/'Investment Calculator'!$F$4,'SIP Schedule'!C3488,'SIP Schedule'!D3488,,1)),"")</f>
        <v/>
      </c>
    </row>
    <row r="3489" spans="3:6" x14ac:dyDescent="0.3">
      <c r="C3489" s="1" t="str">
        <f>IF(C3488&lt;'Investment Calculator'!$C$8*'Investment Calculator'!$F$4,'SIP Schedule'!C3488+1,"")</f>
        <v/>
      </c>
      <c r="D3489" s="27" t="str">
        <f>IF(C3489&lt;='Investment Calculator'!$C$8*'Investment Calculator'!$F$4,'Investment Calculator'!$C$6,"")</f>
        <v/>
      </c>
      <c r="E3489" s="27" t="str">
        <f>IFERROR((F3488+D3489)*'Investment Calculator'!$C$7/'Investment Calculator'!$F$4,"")</f>
        <v/>
      </c>
      <c r="F3489" s="27" t="str">
        <f>IFERROR(ABS(FV('Investment Calculator'!$C$7/'Investment Calculator'!$F$4,'SIP Schedule'!C3489,'SIP Schedule'!D3489,,1)),"")</f>
        <v/>
      </c>
    </row>
    <row r="3490" spans="3:6" x14ac:dyDescent="0.3">
      <c r="C3490" s="1" t="str">
        <f>IF(C3489&lt;'Investment Calculator'!$C$8*'Investment Calculator'!$F$4,'SIP Schedule'!C3489+1,"")</f>
        <v/>
      </c>
      <c r="D3490" s="27" t="str">
        <f>IF(C3490&lt;='Investment Calculator'!$C$8*'Investment Calculator'!$F$4,'Investment Calculator'!$C$6,"")</f>
        <v/>
      </c>
      <c r="E3490" s="27" t="str">
        <f>IFERROR((F3489+D3490)*'Investment Calculator'!$C$7/'Investment Calculator'!$F$4,"")</f>
        <v/>
      </c>
      <c r="F3490" s="27" t="str">
        <f>IFERROR(ABS(FV('Investment Calculator'!$C$7/'Investment Calculator'!$F$4,'SIP Schedule'!C3490,'SIP Schedule'!D3490,,1)),"")</f>
        <v/>
      </c>
    </row>
    <row r="3491" spans="3:6" x14ac:dyDescent="0.3">
      <c r="C3491" s="1" t="str">
        <f>IF(C3490&lt;'Investment Calculator'!$C$8*'Investment Calculator'!$F$4,'SIP Schedule'!C3490+1,"")</f>
        <v/>
      </c>
      <c r="D3491" s="27" t="str">
        <f>IF(C3491&lt;='Investment Calculator'!$C$8*'Investment Calculator'!$F$4,'Investment Calculator'!$C$6,"")</f>
        <v/>
      </c>
      <c r="E3491" s="27" t="str">
        <f>IFERROR((F3490+D3491)*'Investment Calculator'!$C$7/'Investment Calculator'!$F$4,"")</f>
        <v/>
      </c>
      <c r="F3491" s="27" t="str">
        <f>IFERROR(ABS(FV('Investment Calculator'!$C$7/'Investment Calculator'!$F$4,'SIP Schedule'!C3491,'SIP Schedule'!D3491,,1)),"")</f>
        <v/>
      </c>
    </row>
    <row r="3492" spans="3:6" x14ac:dyDescent="0.3">
      <c r="C3492" s="1" t="str">
        <f>IF(C3491&lt;'Investment Calculator'!$C$8*'Investment Calculator'!$F$4,'SIP Schedule'!C3491+1,"")</f>
        <v/>
      </c>
      <c r="D3492" s="27" t="str">
        <f>IF(C3492&lt;='Investment Calculator'!$C$8*'Investment Calculator'!$F$4,'Investment Calculator'!$C$6,"")</f>
        <v/>
      </c>
      <c r="E3492" s="27" t="str">
        <f>IFERROR((F3491+D3492)*'Investment Calculator'!$C$7/'Investment Calculator'!$F$4,"")</f>
        <v/>
      </c>
      <c r="F3492" s="27" t="str">
        <f>IFERROR(ABS(FV('Investment Calculator'!$C$7/'Investment Calculator'!$F$4,'SIP Schedule'!C3492,'SIP Schedule'!D3492,,1)),"")</f>
        <v/>
      </c>
    </row>
    <row r="3493" spans="3:6" x14ac:dyDescent="0.3">
      <c r="C3493" s="1" t="str">
        <f>IF(C3492&lt;'Investment Calculator'!$C$8*'Investment Calculator'!$F$4,'SIP Schedule'!C3492+1,"")</f>
        <v/>
      </c>
      <c r="D3493" s="27" t="str">
        <f>IF(C3493&lt;='Investment Calculator'!$C$8*'Investment Calculator'!$F$4,'Investment Calculator'!$C$6,"")</f>
        <v/>
      </c>
      <c r="E3493" s="27" t="str">
        <f>IFERROR((F3492+D3493)*'Investment Calculator'!$C$7/'Investment Calculator'!$F$4,"")</f>
        <v/>
      </c>
      <c r="F3493" s="27" t="str">
        <f>IFERROR(ABS(FV('Investment Calculator'!$C$7/'Investment Calculator'!$F$4,'SIP Schedule'!C3493,'SIP Schedule'!D3493,,1)),"")</f>
        <v/>
      </c>
    </row>
    <row r="3494" spans="3:6" x14ac:dyDescent="0.3">
      <c r="C3494" s="1" t="str">
        <f>IF(C3493&lt;'Investment Calculator'!$C$8*'Investment Calculator'!$F$4,'SIP Schedule'!C3493+1,"")</f>
        <v/>
      </c>
      <c r="D3494" s="27" t="str">
        <f>IF(C3494&lt;='Investment Calculator'!$C$8*'Investment Calculator'!$F$4,'Investment Calculator'!$C$6,"")</f>
        <v/>
      </c>
      <c r="E3494" s="27" t="str">
        <f>IFERROR((F3493+D3494)*'Investment Calculator'!$C$7/'Investment Calculator'!$F$4,"")</f>
        <v/>
      </c>
      <c r="F3494" s="27" t="str">
        <f>IFERROR(ABS(FV('Investment Calculator'!$C$7/'Investment Calculator'!$F$4,'SIP Schedule'!C3494,'SIP Schedule'!D3494,,1)),"")</f>
        <v/>
      </c>
    </row>
    <row r="3495" spans="3:6" x14ac:dyDescent="0.3">
      <c r="C3495" s="1" t="str">
        <f>IF(C3494&lt;'Investment Calculator'!$C$8*'Investment Calculator'!$F$4,'SIP Schedule'!C3494+1,"")</f>
        <v/>
      </c>
      <c r="D3495" s="27" t="str">
        <f>IF(C3495&lt;='Investment Calculator'!$C$8*'Investment Calculator'!$F$4,'Investment Calculator'!$C$6,"")</f>
        <v/>
      </c>
      <c r="E3495" s="27" t="str">
        <f>IFERROR((F3494+D3495)*'Investment Calculator'!$C$7/'Investment Calculator'!$F$4,"")</f>
        <v/>
      </c>
      <c r="F3495" s="27" t="str">
        <f>IFERROR(ABS(FV('Investment Calculator'!$C$7/'Investment Calculator'!$F$4,'SIP Schedule'!C3495,'SIP Schedule'!D3495,,1)),"")</f>
        <v/>
      </c>
    </row>
    <row r="3496" spans="3:6" x14ac:dyDescent="0.3">
      <c r="C3496" s="1" t="str">
        <f>IF(C3495&lt;'Investment Calculator'!$C$8*'Investment Calculator'!$F$4,'SIP Schedule'!C3495+1,"")</f>
        <v/>
      </c>
      <c r="D3496" s="27" t="str">
        <f>IF(C3496&lt;='Investment Calculator'!$C$8*'Investment Calculator'!$F$4,'Investment Calculator'!$C$6,"")</f>
        <v/>
      </c>
      <c r="E3496" s="27" t="str">
        <f>IFERROR((F3495+D3496)*'Investment Calculator'!$C$7/'Investment Calculator'!$F$4,"")</f>
        <v/>
      </c>
      <c r="F3496" s="27" t="str">
        <f>IFERROR(ABS(FV('Investment Calculator'!$C$7/'Investment Calculator'!$F$4,'SIP Schedule'!C3496,'SIP Schedule'!D3496,,1)),"")</f>
        <v/>
      </c>
    </row>
    <row r="3497" spans="3:6" x14ac:dyDescent="0.3">
      <c r="C3497" s="1" t="str">
        <f>IF(C3496&lt;'Investment Calculator'!$C$8*'Investment Calculator'!$F$4,'SIP Schedule'!C3496+1,"")</f>
        <v/>
      </c>
      <c r="D3497" s="27" t="str">
        <f>IF(C3497&lt;='Investment Calculator'!$C$8*'Investment Calculator'!$F$4,'Investment Calculator'!$C$6,"")</f>
        <v/>
      </c>
      <c r="E3497" s="27" t="str">
        <f>IFERROR((F3496+D3497)*'Investment Calculator'!$C$7/'Investment Calculator'!$F$4,"")</f>
        <v/>
      </c>
      <c r="F3497" s="27" t="str">
        <f>IFERROR(ABS(FV('Investment Calculator'!$C$7/'Investment Calculator'!$F$4,'SIP Schedule'!C3497,'SIP Schedule'!D3497,,1)),"")</f>
        <v/>
      </c>
    </row>
    <row r="3498" spans="3:6" x14ac:dyDescent="0.3">
      <c r="C3498" s="1" t="str">
        <f>IF(C3497&lt;'Investment Calculator'!$C$8*'Investment Calculator'!$F$4,'SIP Schedule'!C3497+1,"")</f>
        <v/>
      </c>
      <c r="D3498" s="27" t="str">
        <f>IF(C3498&lt;='Investment Calculator'!$C$8*'Investment Calculator'!$F$4,'Investment Calculator'!$C$6,"")</f>
        <v/>
      </c>
      <c r="E3498" s="27" t="str">
        <f>IFERROR((F3497+D3498)*'Investment Calculator'!$C$7/'Investment Calculator'!$F$4,"")</f>
        <v/>
      </c>
      <c r="F3498" s="27" t="str">
        <f>IFERROR(ABS(FV('Investment Calculator'!$C$7/'Investment Calculator'!$F$4,'SIP Schedule'!C3498,'SIP Schedule'!D3498,,1)),"")</f>
        <v/>
      </c>
    </row>
    <row r="3499" spans="3:6" x14ac:dyDescent="0.3">
      <c r="C3499" s="1" t="str">
        <f>IF(C3498&lt;'Investment Calculator'!$C$8*'Investment Calculator'!$F$4,'SIP Schedule'!C3498+1,"")</f>
        <v/>
      </c>
      <c r="D3499" s="27" t="str">
        <f>IF(C3499&lt;='Investment Calculator'!$C$8*'Investment Calculator'!$F$4,'Investment Calculator'!$C$6,"")</f>
        <v/>
      </c>
      <c r="E3499" s="27" t="str">
        <f>IFERROR((F3498+D3499)*'Investment Calculator'!$C$7/'Investment Calculator'!$F$4,"")</f>
        <v/>
      </c>
      <c r="F3499" s="27" t="str">
        <f>IFERROR(ABS(FV('Investment Calculator'!$C$7/'Investment Calculator'!$F$4,'SIP Schedule'!C3499,'SIP Schedule'!D3499,,1)),"")</f>
        <v/>
      </c>
    </row>
    <row r="3500" spans="3:6" x14ac:dyDescent="0.3">
      <c r="C3500" s="1" t="str">
        <f>IF(C3499&lt;'Investment Calculator'!$C$8*'Investment Calculator'!$F$4,'SIP Schedule'!C3499+1,"")</f>
        <v/>
      </c>
      <c r="D3500" s="27" t="str">
        <f>IF(C3500&lt;='Investment Calculator'!$C$8*'Investment Calculator'!$F$4,'Investment Calculator'!$C$6,"")</f>
        <v/>
      </c>
      <c r="E3500" s="27" t="str">
        <f>IFERROR((F3499+D3500)*'Investment Calculator'!$C$7/'Investment Calculator'!$F$4,"")</f>
        <v/>
      </c>
      <c r="F3500" s="27" t="str">
        <f>IFERROR(ABS(FV('Investment Calculator'!$C$7/'Investment Calculator'!$F$4,'SIP Schedule'!C3500,'SIP Schedule'!D3500,,1)),"")</f>
        <v/>
      </c>
    </row>
    <row r="3501" spans="3:6" x14ac:dyDescent="0.3">
      <c r="C3501" s="1" t="str">
        <f>IF(C3500&lt;'Investment Calculator'!$C$8*'Investment Calculator'!$F$4,'SIP Schedule'!C3500+1,"")</f>
        <v/>
      </c>
      <c r="D3501" s="27" t="str">
        <f>IF(C3501&lt;='Investment Calculator'!$C$8*'Investment Calculator'!$F$4,'Investment Calculator'!$C$6,"")</f>
        <v/>
      </c>
      <c r="E3501" s="27" t="str">
        <f>IFERROR((F3500+D3501)*'Investment Calculator'!$C$7/'Investment Calculator'!$F$4,"")</f>
        <v/>
      </c>
      <c r="F3501" s="27" t="str">
        <f>IFERROR(ABS(FV('Investment Calculator'!$C$7/'Investment Calculator'!$F$4,'SIP Schedule'!C3501,'SIP Schedule'!D3501,,1)),"")</f>
        <v/>
      </c>
    </row>
    <row r="3502" spans="3:6" x14ac:dyDescent="0.3">
      <c r="C3502" s="1" t="str">
        <f>IF(C3501&lt;'Investment Calculator'!$C$8*'Investment Calculator'!$F$4,'SIP Schedule'!C3501+1,"")</f>
        <v/>
      </c>
      <c r="D3502" s="27" t="str">
        <f>IF(C3502&lt;='Investment Calculator'!$C$8*'Investment Calculator'!$F$4,'Investment Calculator'!$C$6,"")</f>
        <v/>
      </c>
      <c r="E3502" s="27" t="str">
        <f>IFERROR((F3501+D3502)*'Investment Calculator'!$C$7/'Investment Calculator'!$F$4,"")</f>
        <v/>
      </c>
      <c r="F3502" s="27" t="str">
        <f>IFERROR(ABS(FV('Investment Calculator'!$C$7/'Investment Calculator'!$F$4,'SIP Schedule'!C3502,'SIP Schedule'!D3502,,1)),"")</f>
        <v/>
      </c>
    </row>
    <row r="3503" spans="3:6" x14ac:dyDescent="0.3">
      <c r="C3503" s="1" t="str">
        <f>IF(C3502&lt;'Investment Calculator'!$C$8*'Investment Calculator'!$F$4,'SIP Schedule'!C3502+1,"")</f>
        <v/>
      </c>
      <c r="D3503" s="27" t="str">
        <f>IF(C3503&lt;='Investment Calculator'!$C$8*'Investment Calculator'!$F$4,'Investment Calculator'!$C$6,"")</f>
        <v/>
      </c>
      <c r="E3503" s="27" t="str">
        <f>IFERROR((F3502+D3503)*'Investment Calculator'!$C$7/'Investment Calculator'!$F$4,"")</f>
        <v/>
      </c>
      <c r="F3503" s="27" t="str">
        <f>IFERROR(ABS(FV('Investment Calculator'!$C$7/'Investment Calculator'!$F$4,'SIP Schedule'!C3503,'SIP Schedule'!D3503,,1)),"")</f>
        <v/>
      </c>
    </row>
    <row r="3504" spans="3:6" x14ac:dyDescent="0.3">
      <c r="C3504" s="1" t="str">
        <f>IF(C3503&lt;'Investment Calculator'!$C$8*'Investment Calculator'!$F$4,'SIP Schedule'!C3503+1,"")</f>
        <v/>
      </c>
      <c r="D3504" s="27" t="str">
        <f>IF(C3504&lt;='Investment Calculator'!$C$8*'Investment Calculator'!$F$4,'Investment Calculator'!$C$6,"")</f>
        <v/>
      </c>
      <c r="E3504" s="27" t="str">
        <f>IFERROR((F3503+D3504)*'Investment Calculator'!$C$7/'Investment Calculator'!$F$4,"")</f>
        <v/>
      </c>
      <c r="F3504" s="27" t="str">
        <f>IFERROR(ABS(FV('Investment Calculator'!$C$7/'Investment Calculator'!$F$4,'SIP Schedule'!C3504,'SIP Schedule'!D3504,,1)),"")</f>
        <v/>
      </c>
    </row>
    <row r="3505" spans="3:6" x14ac:dyDescent="0.3">
      <c r="C3505" s="1" t="str">
        <f>IF(C3504&lt;'Investment Calculator'!$C$8*'Investment Calculator'!$F$4,'SIP Schedule'!C3504+1,"")</f>
        <v/>
      </c>
      <c r="D3505" s="27" t="str">
        <f>IF(C3505&lt;='Investment Calculator'!$C$8*'Investment Calculator'!$F$4,'Investment Calculator'!$C$6,"")</f>
        <v/>
      </c>
      <c r="E3505" s="27" t="str">
        <f>IFERROR((F3504+D3505)*'Investment Calculator'!$C$7/'Investment Calculator'!$F$4,"")</f>
        <v/>
      </c>
      <c r="F3505" s="27" t="str">
        <f>IFERROR(ABS(FV('Investment Calculator'!$C$7/'Investment Calculator'!$F$4,'SIP Schedule'!C3505,'SIP Schedule'!D3505,,1)),"")</f>
        <v/>
      </c>
    </row>
    <row r="3506" spans="3:6" x14ac:dyDescent="0.3">
      <c r="C3506" s="1" t="str">
        <f>IF(C3505&lt;'Investment Calculator'!$C$8*'Investment Calculator'!$F$4,'SIP Schedule'!C3505+1,"")</f>
        <v/>
      </c>
      <c r="D3506" s="27" t="str">
        <f>IF(C3506&lt;='Investment Calculator'!$C$8*'Investment Calculator'!$F$4,'Investment Calculator'!$C$6,"")</f>
        <v/>
      </c>
      <c r="E3506" s="27" t="str">
        <f>IFERROR((F3505+D3506)*'Investment Calculator'!$C$7/'Investment Calculator'!$F$4,"")</f>
        <v/>
      </c>
      <c r="F3506" s="27" t="str">
        <f>IFERROR(ABS(FV('Investment Calculator'!$C$7/'Investment Calculator'!$F$4,'SIP Schedule'!C3506,'SIP Schedule'!D3506,,1)),"")</f>
        <v/>
      </c>
    </row>
    <row r="3507" spans="3:6" x14ac:dyDescent="0.3">
      <c r="C3507" s="1" t="str">
        <f>IF(C3506&lt;'Investment Calculator'!$C$8*'Investment Calculator'!$F$4,'SIP Schedule'!C3506+1,"")</f>
        <v/>
      </c>
      <c r="D3507" s="27" t="str">
        <f>IF(C3507&lt;='Investment Calculator'!$C$8*'Investment Calculator'!$F$4,'Investment Calculator'!$C$6,"")</f>
        <v/>
      </c>
      <c r="E3507" s="27" t="str">
        <f>IFERROR((F3506+D3507)*'Investment Calculator'!$C$7/'Investment Calculator'!$F$4,"")</f>
        <v/>
      </c>
      <c r="F3507" s="27" t="str">
        <f>IFERROR(ABS(FV('Investment Calculator'!$C$7/'Investment Calculator'!$F$4,'SIP Schedule'!C3507,'SIP Schedule'!D3507,,1)),"")</f>
        <v/>
      </c>
    </row>
    <row r="3508" spans="3:6" x14ac:dyDescent="0.3">
      <c r="C3508" s="1" t="str">
        <f>IF(C3507&lt;'Investment Calculator'!$C$8*'Investment Calculator'!$F$4,'SIP Schedule'!C3507+1,"")</f>
        <v/>
      </c>
      <c r="D3508" s="27" t="str">
        <f>IF(C3508&lt;='Investment Calculator'!$C$8*'Investment Calculator'!$F$4,'Investment Calculator'!$C$6,"")</f>
        <v/>
      </c>
      <c r="E3508" s="27" t="str">
        <f>IFERROR((F3507+D3508)*'Investment Calculator'!$C$7/'Investment Calculator'!$F$4,"")</f>
        <v/>
      </c>
      <c r="F3508" s="27" t="str">
        <f>IFERROR(ABS(FV('Investment Calculator'!$C$7/'Investment Calculator'!$F$4,'SIP Schedule'!C3508,'SIP Schedule'!D3508,,1)),"")</f>
        <v/>
      </c>
    </row>
    <row r="3509" spans="3:6" x14ac:dyDescent="0.3">
      <c r="C3509" s="1" t="str">
        <f>IF(C3508&lt;'Investment Calculator'!$C$8*'Investment Calculator'!$F$4,'SIP Schedule'!C3508+1,"")</f>
        <v/>
      </c>
      <c r="D3509" s="27" t="str">
        <f>IF(C3509&lt;='Investment Calculator'!$C$8*'Investment Calculator'!$F$4,'Investment Calculator'!$C$6,"")</f>
        <v/>
      </c>
      <c r="E3509" s="27" t="str">
        <f>IFERROR((F3508+D3509)*'Investment Calculator'!$C$7/'Investment Calculator'!$F$4,"")</f>
        <v/>
      </c>
      <c r="F3509" s="27" t="str">
        <f>IFERROR(ABS(FV('Investment Calculator'!$C$7/'Investment Calculator'!$F$4,'SIP Schedule'!C3509,'SIP Schedule'!D3509,,1)),"")</f>
        <v/>
      </c>
    </row>
    <row r="3510" spans="3:6" x14ac:dyDescent="0.3">
      <c r="C3510" s="1" t="str">
        <f>IF(C3509&lt;'Investment Calculator'!$C$8*'Investment Calculator'!$F$4,'SIP Schedule'!C3509+1,"")</f>
        <v/>
      </c>
      <c r="D3510" s="27" t="str">
        <f>IF(C3510&lt;='Investment Calculator'!$C$8*'Investment Calculator'!$F$4,'Investment Calculator'!$C$6,"")</f>
        <v/>
      </c>
      <c r="E3510" s="27" t="str">
        <f>IFERROR((F3509+D3510)*'Investment Calculator'!$C$7/'Investment Calculator'!$F$4,"")</f>
        <v/>
      </c>
      <c r="F3510" s="27" t="str">
        <f>IFERROR(ABS(FV('Investment Calculator'!$C$7/'Investment Calculator'!$F$4,'SIP Schedule'!C3510,'SIP Schedule'!D3510,,1)),"")</f>
        <v/>
      </c>
    </row>
    <row r="3511" spans="3:6" x14ac:dyDescent="0.3">
      <c r="C3511" s="1" t="str">
        <f>IF(C3510&lt;'Investment Calculator'!$C$8*'Investment Calculator'!$F$4,'SIP Schedule'!C3510+1,"")</f>
        <v/>
      </c>
      <c r="D3511" s="27" t="str">
        <f>IF(C3511&lt;='Investment Calculator'!$C$8*'Investment Calculator'!$F$4,'Investment Calculator'!$C$6,"")</f>
        <v/>
      </c>
      <c r="E3511" s="27" t="str">
        <f>IFERROR((F3510+D3511)*'Investment Calculator'!$C$7/'Investment Calculator'!$F$4,"")</f>
        <v/>
      </c>
      <c r="F3511" s="27" t="str">
        <f>IFERROR(ABS(FV('Investment Calculator'!$C$7/'Investment Calculator'!$F$4,'SIP Schedule'!C3511,'SIP Schedule'!D3511,,1)),"")</f>
        <v/>
      </c>
    </row>
    <row r="3512" spans="3:6" x14ac:dyDescent="0.3">
      <c r="C3512" s="1" t="str">
        <f>IF(C3511&lt;'Investment Calculator'!$C$8*'Investment Calculator'!$F$4,'SIP Schedule'!C3511+1,"")</f>
        <v/>
      </c>
      <c r="D3512" s="27" t="str">
        <f>IF(C3512&lt;='Investment Calculator'!$C$8*'Investment Calculator'!$F$4,'Investment Calculator'!$C$6,"")</f>
        <v/>
      </c>
      <c r="E3512" s="27" t="str">
        <f>IFERROR((F3511+D3512)*'Investment Calculator'!$C$7/'Investment Calculator'!$F$4,"")</f>
        <v/>
      </c>
      <c r="F3512" s="27" t="str">
        <f>IFERROR(ABS(FV('Investment Calculator'!$C$7/'Investment Calculator'!$F$4,'SIP Schedule'!C3512,'SIP Schedule'!D3512,,1)),"")</f>
        <v/>
      </c>
    </row>
    <row r="3513" spans="3:6" x14ac:dyDescent="0.3">
      <c r="C3513" s="1" t="str">
        <f>IF(C3512&lt;'Investment Calculator'!$C$8*'Investment Calculator'!$F$4,'SIP Schedule'!C3512+1,"")</f>
        <v/>
      </c>
      <c r="D3513" s="27" t="str">
        <f>IF(C3513&lt;='Investment Calculator'!$C$8*'Investment Calculator'!$F$4,'Investment Calculator'!$C$6,"")</f>
        <v/>
      </c>
      <c r="E3513" s="27" t="str">
        <f>IFERROR((F3512+D3513)*'Investment Calculator'!$C$7/'Investment Calculator'!$F$4,"")</f>
        <v/>
      </c>
      <c r="F3513" s="27" t="str">
        <f>IFERROR(ABS(FV('Investment Calculator'!$C$7/'Investment Calculator'!$F$4,'SIP Schedule'!C3513,'SIP Schedule'!D3513,,1)),"")</f>
        <v/>
      </c>
    </row>
    <row r="3514" spans="3:6" x14ac:dyDescent="0.3">
      <c r="C3514" s="1" t="str">
        <f>IF(C3513&lt;'Investment Calculator'!$C$8*'Investment Calculator'!$F$4,'SIP Schedule'!C3513+1,"")</f>
        <v/>
      </c>
      <c r="D3514" s="27" t="str">
        <f>IF(C3514&lt;='Investment Calculator'!$C$8*'Investment Calculator'!$F$4,'Investment Calculator'!$C$6,"")</f>
        <v/>
      </c>
      <c r="E3514" s="27" t="str">
        <f>IFERROR((F3513+D3514)*'Investment Calculator'!$C$7/'Investment Calculator'!$F$4,"")</f>
        <v/>
      </c>
      <c r="F3514" s="27" t="str">
        <f>IFERROR(ABS(FV('Investment Calculator'!$C$7/'Investment Calculator'!$F$4,'SIP Schedule'!C3514,'SIP Schedule'!D3514,,1)),"")</f>
        <v/>
      </c>
    </row>
    <row r="3515" spans="3:6" x14ac:dyDescent="0.3">
      <c r="C3515" s="1" t="str">
        <f>IF(C3514&lt;'Investment Calculator'!$C$8*'Investment Calculator'!$F$4,'SIP Schedule'!C3514+1,"")</f>
        <v/>
      </c>
      <c r="D3515" s="27" t="str">
        <f>IF(C3515&lt;='Investment Calculator'!$C$8*'Investment Calculator'!$F$4,'Investment Calculator'!$C$6,"")</f>
        <v/>
      </c>
      <c r="E3515" s="27" t="str">
        <f>IFERROR((F3514+D3515)*'Investment Calculator'!$C$7/'Investment Calculator'!$F$4,"")</f>
        <v/>
      </c>
      <c r="F3515" s="27" t="str">
        <f>IFERROR(ABS(FV('Investment Calculator'!$C$7/'Investment Calculator'!$F$4,'SIP Schedule'!C3515,'SIP Schedule'!D3515,,1)),"")</f>
        <v/>
      </c>
    </row>
    <row r="3516" spans="3:6" x14ac:dyDescent="0.3">
      <c r="C3516" s="1" t="str">
        <f>IF(C3515&lt;'Investment Calculator'!$C$8*'Investment Calculator'!$F$4,'SIP Schedule'!C3515+1,"")</f>
        <v/>
      </c>
      <c r="D3516" s="27" t="str">
        <f>IF(C3516&lt;='Investment Calculator'!$C$8*'Investment Calculator'!$F$4,'Investment Calculator'!$C$6,"")</f>
        <v/>
      </c>
      <c r="E3516" s="27" t="str">
        <f>IFERROR((F3515+D3516)*'Investment Calculator'!$C$7/'Investment Calculator'!$F$4,"")</f>
        <v/>
      </c>
      <c r="F3516" s="27" t="str">
        <f>IFERROR(ABS(FV('Investment Calculator'!$C$7/'Investment Calculator'!$F$4,'SIP Schedule'!C3516,'SIP Schedule'!D3516,,1)),"")</f>
        <v/>
      </c>
    </row>
    <row r="3517" spans="3:6" x14ac:dyDescent="0.3">
      <c r="C3517" s="1" t="str">
        <f>IF(C3516&lt;'Investment Calculator'!$C$8*'Investment Calculator'!$F$4,'SIP Schedule'!C3516+1,"")</f>
        <v/>
      </c>
      <c r="D3517" s="27" t="str">
        <f>IF(C3517&lt;='Investment Calculator'!$C$8*'Investment Calculator'!$F$4,'Investment Calculator'!$C$6,"")</f>
        <v/>
      </c>
      <c r="E3517" s="27" t="str">
        <f>IFERROR((F3516+D3517)*'Investment Calculator'!$C$7/'Investment Calculator'!$F$4,"")</f>
        <v/>
      </c>
      <c r="F3517" s="27" t="str">
        <f>IFERROR(ABS(FV('Investment Calculator'!$C$7/'Investment Calculator'!$F$4,'SIP Schedule'!C3517,'SIP Schedule'!D3517,,1)),"")</f>
        <v/>
      </c>
    </row>
    <row r="3518" spans="3:6" x14ac:dyDescent="0.3">
      <c r="C3518" s="1" t="str">
        <f>IF(C3517&lt;'Investment Calculator'!$C$8*'Investment Calculator'!$F$4,'SIP Schedule'!C3517+1,"")</f>
        <v/>
      </c>
      <c r="D3518" s="27" t="str">
        <f>IF(C3518&lt;='Investment Calculator'!$C$8*'Investment Calculator'!$F$4,'Investment Calculator'!$C$6,"")</f>
        <v/>
      </c>
      <c r="E3518" s="27" t="str">
        <f>IFERROR((F3517+D3518)*'Investment Calculator'!$C$7/'Investment Calculator'!$F$4,"")</f>
        <v/>
      </c>
      <c r="F3518" s="27" t="str">
        <f>IFERROR(ABS(FV('Investment Calculator'!$C$7/'Investment Calculator'!$F$4,'SIP Schedule'!C3518,'SIP Schedule'!D3518,,1)),"")</f>
        <v/>
      </c>
    </row>
    <row r="3519" spans="3:6" x14ac:dyDescent="0.3">
      <c r="C3519" s="1" t="str">
        <f>IF(C3518&lt;'Investment Calculator'!$C$8*'Investment Calculator'!$F$4,'SIP Schedule'!C3518+1,"")</f>
        <v/>
      </c>
      <c r="D3519" s="27" t="str">
        <f>IF(C3519&lt;='Investment Calculator'!$C$8*'Investment Calculator'!$F$4,'Investment Calculator'!$C$6,"")</f>
        <v/>
      </c>
      <c r="E3519" s="27" t="str">
        <f>IFERROR((F3518+D3519)*'Investment Calculator'!$C$7/'Investment Calculator'!$F$4,"")</f>
        <v/>
      </c>
      <c r="F3519" s="27" t="str">
        <f>IFERROR(ABS(FV('Investment Calculator'!$C$7/'Investment Calculator'!$F$4,'SIP Schedule'!C3519,'SIP Schedule'!D3519,,1)),"")</f>
        <v/>
      </c>
    </row>
    <row r="3520" spans="3:6" x14ac:dyDescent="0.3">
      <c r="C3520" s="1" t="str">
        <f>IF(C3519&lt;'Investment Calculator'!$C$8*'Investment Calculator'!$F$4,'SIP Schedule'!C3519+1,"")</f>
        <v/>
      </c>
      <c r="D3520" s="27" t="str">
        <f>IF(C3520&lt;='Investment Calculator'!$C$8*'Investment Calculator'!$F$4,'Investment Calculator'!$C$6,"")</f>
        <v/>
      </c>
      <c r="E3520" s="27" t="str">
        <f>IFERROR((F3519+D3520)*'Investment Calculator'!$C$7/'Investment Calculator'!$F$4,"")</f>
        <v/>
      </c>
      <c r="F3520" s="27" t="str">
        <f>IFERROR(ABS(FV('Investment Calculator'!$C$7/'Investment Calculator'!$F$4,'SIP Schedule'!C3520,'SIP Schedule'!D3520,,1)),"")</f>
        <v/>
      </c>
    </row>
    <row r="3521" spans="3:6" x14ac:dyDescent="0.3">
      <c r="C3521" s="1" t="str">
        <f>IF(C3520&lt;'Investment Calculator'!$C$8*'Investment Calculator'!$F$4,'SIP Schedule'!C3520+1,"")</f>
        <v/>
      </c>
      <c r="D3521" s="27" t="str">
        <f>IF(C3521&lt;='Investment Calculator'!$C$8*'Investment Calculator'!$F$4,'Investment Calculator'!$C$6,"")</f>
        <v/>
      </c>
      <c r="E3521" s="27" t="str">
        <f>IFERROR((F3520+D3521)*'Investment Calculator'!$C$7/'Investment Calculator'!$F$4,"")</f>
        <v/>
      </c>
      <c r="F3521" s="27" t="str">
        <f>IFERROR(ABS(FV('Investment Calculator'!$C$7/'Investment Calculator'!$F$4,'SIP Schedule'!C3521,'SIP Schedule'!D3521,,1)),"")</f>
        <v/>
      </c>
    </row>
    <row r="3522" spans="3:6" x14ac:dyDescent="0.3">
      <c r="C3522" s="1" t="str">
        <f>IF(C3521&lt;'Investment Calculator'!$C$8*'Investment Calculator'!$F$4,'SIP Schedule'!C3521+1,"")</f>
        <v/>
      </c>
      <c r="D3522" s="27" t="str">
        <f>IF(C3522&lt;='Investment Calculator'!$C$8*'Investment Calculator'!$F$4,'Investment Calculator'!$C$6,"")</f>
        <v/>
      </c>
      <c r="E3522" s="27" t="str">
        <f>IFERROR((F3521+D3522)*'Investment Calculator'!$C$7/'Investment Calculator'!$F$4,"")</f>
        <v/>
      </c>
      <c r="F3522" s="27" t="str">
        <f>IFERROR(ABS(FV('Investment Calculator'!$C$7/'Investment Calculator'!$F$4,'SIP Schedule'!C3522,'SIP Schedule'!D3522,,1)),"")</f>
        <v/>
      </c>
    </row>
    <row r="3523" spans="3:6" x14ac:dyDescent="0.3">
      <c r="C3523" s="1" t="str">
        <f>IF(C3522&lt;'Investment Calculator'!$C$8*'Investment Calculator'!$F$4,'SIP Schedule'!C3522+1,"")</f>
        <v/>
      </c>
      <c r="D3523" s="27" t="str">
        <f>IF(C3523&lt;='Investment Calculator'!$C$8*'Investment Calculator'!$F$4,'Investment Calculator'!$C$6,"")</f>
        <v/>
      </c>
      <c r="E3523" s="27" t="str">
        <f>IFERROR((F3522+D3523)*'Investment Calculator'!$C$7/'Investment Calculator'!$F$4,"")</f>
        <v/>
      </c>
      <c r="F3523" s="27" t="str">
        <f>IFERROR(ABS(FV('Investment Calculator'!$C$7/'Investment Calculator'!$F$4,'SIP Schedule'!C3523,'SIP Schedule'!D3523,,1)),"")</f>
        <v/>
      </c>
    </row>
    <row r="3524" spans="3:6" x14ac:dyDescent="0.3">
      <c r="C3524" s="1" t="str">
        <f>IF(C3523&lt;'Investment Calculator'!$C$8*'Investment Calculator'!$F$4,'SIP Schedule'!C3523+1,"")</f>
        <v/>
      </c>
      <c r="D3524" s="27" t="str">
        <f>IF(C3524&lt;='Investment Calculator'!$C$8*'Investment Calculator'!$F$4,'Investment Calculator'!$C$6,"")</f>
        <v/>
      </c>
      <c r="E3524" s="27" t="str">
        <f>IFERROR((F3523+D3524)*'Investment Calculator'!$C$7/'Investment Calculator'!$F$4,"")</f>
        <v/>
      </c>
      <c r="F3524" s="27" t="str">
        <f>IFERROR(ABS(FV('Investment Calculator'!$C$7/'Investment Calculator'!$F$4,'SIP Schedule'!C3524,'SIP Schedule'!D3524,,1)),"")</f>
        <v/>
      </c>
    </row>
    <row r="3525" spans="3:6" x14ac:dyDescent="0.3">
      <c r="C3525" s="1" t="str">
        <f>IF(C3524&lt;'Investment Calculator'!$C$8*'Investment Calculator'!$F$4,'SIP Schedule'!C3524+1,"")</f>
        <v/>
      </c>
      <c r="D3525" s="27" t="str">
        <f>IF(C3525&lt;='Investment Calculator'!$C$8*'Investment Calculator'!$F$4,'Investment Calculator'!$C$6,"")</f>
        <v/>
      </c>
      <c r="E3525" s="27" t="str">
        <f>IFERROR((F3524+D3525)*'Investment Calculator'!$C$7/'Investment Calculator'!$F$4,"")</f>
        <v/>
      </c>
      <c r="F3525" s="27" t="str">
        <f>IFERROR(ABS(FV('Investment Calculator'!$C$7/'Investment Calculator'!$F$4,'SIP Schedule'!C3525,'SIP Schedule'!D3525,,1)),"")</f>
        <v/>
      </c>
    </row>
    <row r="3526" spans="3:6" x14ac:dyDescent="0.3">
      <c r="C3526" s="1" t="str">
        <f>IF(C3525&lt;'Investment Calculator'!$C$8*'Investment Calculator'!$F$4,'SIP Schedule'!C3525+1,"")</f>
        <v/>
      </c>
      <c r="D3526" s="27" t="str">
        <f>IF(C3526&lt;='Investment Calculator'!$C$8*'Investment Calculator'!$F$4,'Investment Calculator'!$C$6,"")</f>
        <v/>
      </c>
      <c r="E3526" s="27" t="str">
        <f>IFERROR((F3525+D3526)*'Investment Calculator'!$C$7/'Investment Calculator'!$F$4,"")</f>
        <v/>
      </c>
      <c r="F3526" s="27" t="str">
        <f>IFERROR(ABS(FV('Investment Calculator'!$C$7/'Investment Calculator'!$F$4,'SIP Schedule'!C3526,'SIP Schedule'!D3526,,1)),"")</f>
        <v/>
      </c>
    </row>
    <row r="3527" spans="3:6" x14ac:dyDescent="0.3">
      <c r="C3527" s="1" t="str">
        <f>IF(C3526&lt;'Investment Calculator'!$C$8*'Investment Calculator'!$F$4,'SIP Schedule'!C3526+1,"")</f>
        <v/>
      </c>
      <c r="D3527" s="27" t="str">
        <f>IF(C3527&lt;='Investment Calculator'!$C$8*'Investment Calculator'!$F$4,'Investment Calculator'!$C$6,"")</f>
        <v/>
      </c>
      <c r="E3527" s="27" t="str">
        <f>IFERROR((F3526+D3527)*'Investment Calculator'!$C$7/'Investment Calculator'!$F$4,"")</f>
        <v/>
      </c>
      <c r="F3527" s="27" t="str">
        <f>IFERROR(ABS(FV('Investment Calculator'!$C$7/'Investment Calculator'!$F$4,'SIP Schedule'!C3527,'SIP Schedule'!D3527,,1)),"")</f>
        <v/>
      </c>
    </row>
    <row r="3528" spans="3:6" x14ac:dyDescent="0.3">
      <c r="C3528" s="1" t="str">
        <f>IF(C3527&lt;'Investment Calculator'!$C$8*'Investment Calculator'!$F$4,'SIP Schedule'!C3527+1,"")</f>
        <v/>
      </c>
      <c r="D3528" s="27" t="str">
        <f>IF(C3528&lt;='Investment Calculator'!$C$8*'Investment Calculator'!$F$4,'Investment Calculator'!$C$6,"")</f>
        <v/>
      </c>
      <c r="E3528" s="27" t="str">
        <f>IFERROR((F3527+D3528)*'Investment Calculator'!$C$7/'Investment Calculator'!$F$4,"")</f>
        <v/>
      </c>
      <c r="F3528" s="27" t="str">
        <f>IFERROR(ABS(FV('Investment Calculator'!$C$7/'Investment Calculator'!$F$4,'SIP Schedule'!C3528,'SIP Schedule'!D3528,,1)),"")</f>
        <v/>
      </c>
    </row>
    <row r="3529" spans="3:6" x14ac:dyDescent="0.3">
      <c r="C3529" s="1" t="str">
        <f>IF(C3528&lt;'Investment Calculator'!$C$8*'Investment Calculator'!$F$4,'SIP Schedule'!C3528+1,"")</f>
        <v/>
      </c>
      <c r="D3529" s="27" t="str">
        <f>IF(C3529&lt;='Investment Calculator'!$C$8*'Investment Calculator'!$F$4,'Investment Calculator'!$C$6,"")</f>
        <v/>
      </c>
      <c r="E3529" s="27" t="str">
        <f>IFERROR((F3528+D3529)*'Investment Calculator'!$C$7/'Investment Calculator'!$F$4,"")</f>
        <v/>
      </c>
      <c r="F3529" s="27" t="str">
        <f>IFERROR(ABS(FV('Investment Calculator'!$C$7/'Investment Calculator'!$F$4,'SIP Schedule'!C3529,'SIP Schedule'!D3529,,1)),"")</f>
        <v/>
      </c>
    </row>
    <row r="3530" spans="3:6" x14ac:dyDescent="0.3">
      <c r="C3530" s="1" t="str">
        <f>IF(C3529&lt;'Investment Calculator'!$C$8*'Investment Calculator'!$F$4,'SIP Schedule'!C3529+1,"")</f>
        <v/>
      </c>
      <c r="D3530" s="27" t="str">
        <f>IF(C3530&lt;='Investment Calculator'!$C$8*'Investment Calculator'!$F$4,'Investment Calculator'!$C$6,"")</f>
        <v/>
      </c>
      <c r="E3530" s="27" t="str">
        <f>IFERROR((F3529+D3530)*'Investment Calculator'!$C$7/'Investment Calculator'!$F$4,"")</f>
        <v/>
      </c>
      <c r="F3530" s="27" t="str">
        <f>IFERROR(ABS(FV('Investment Calculator'!$C$7/'Investment Calculator'!$F$4,'SIP Schedule'!C3530,'SIP Schedule'!D3530,,1)),"")</f>
        <v/>
      </c>
    </row>
    <row r="3531" spans="3:6" x14ac:dyDescent="0.3">
      <c r="C3531" s="1" t="str">
        <f>IF(C3530&lt;'Investment Calculator'!$C$8*'Investment Calculator'!$F$4,'SIP Schedule'!C3530+1,"")</f>
        <v/>
      </c>
      <c r="D3531" s="27" t="str">
        <f>IF(C3531&lt;='Investment Calculator'!$C$8*'Investment Calculator'!$F$4,'Investment Calculator'!$C$6,"")</f>
        <v/>
      </c>
      <c r="E3531" s="27" t="str">
        <f>IFERROR((F3530+D3531)*'Investment Calculator'!$C$7/'Investment Calculator'!$F$4,"")</f>
        <v/>
      </c>
      <c r="F3531" s="27" t="str">
        <f>IFERROR(ABS(FV('Investment Calculator'!$C$7/'Investment Calculator'!$F$4,'SIP Schedule'!C3531,'SIP Schedule'!D3531,,1)),"")</f>
        <v/>
      </c>
    </row>
    <row r="3532" spans="3:6" x14ac:dyDescent="0.3">
      <c r="C3532" s="1" t="str">
        <f>IF(C3531&lt;'Investment Calculator'!$C$8*'Investment Calculator'!$F$4,'SIP Schedule'!C3531+1,"")</f>
        <v/>
      </c>
      <c r="D3532" s="27" t="str">
        <f>IF(C3532&lt;='Investment Calculator'!$C$8*'Investment Calculator'!$F$4,'Investment Calculator'!$C$6,"")</f>
        <v/>
      </c>
      <c r="E3532" s="27" t="str">
        <f>IFERROR((F3531+D3532)*'Investment Calculator'!$C$7/'Investment Calculator'!$F$4,"")</f>
        <v/>
      </c>
      <c r="F3532" s="27" t="str">
        <f>IFERROR(ABS(FV('Investment Calculator'!$C$7/'Investment Calculator'!$F$4,'SIP Schedule'!C3532,'SIP Schedule'!D3532,,1)),"")</f>
        <v/>
      </c>
    </row>
    <row r="3533" spans="3:6" x14ac:dyDescent="0.3">
      <c r="C3533" s="1" t="str">
        <f>IF(C3532&lt;'Investment Calculator'!$C$8*'Investment Calculator'!$F$4,'SIP Schedule'!C3532+1,"")</f>
        <v/>
      </c>
      <c r="D3533" s="27" t="str">
        <f>IF(C3533&lt;='Investment Calculator'!$C$8*'Investment Calculator'!$F$4,'Investment Calculator'!$C$6,"")</f>
        <v/>
      </c>
      <c r="E3533" s="27" t="str">
        <f>IFERROR((F3532+D3533)*'Investment Calculator'!$C$7/'Investment Calculator'!$F$4,"")</f>
        <v/>
      </c>
      <c r="F3533" s="27" t="str">
        <f>IFERROR(ABS(FV('Investment Calculator'!$C$7/'Investment Calculator'!$F$4,'SIP Schedule'!C3533,'SIP Schedule'!D3533,,1)),"")</f>
        <v/>
      </c>
    </row>
    <row r="3534" spans="3:6" x14ac:dyDescent="0.3">
      <c r="C3534" s="1" t="str">
        <f>IF(C3533&lt;'Investment Calculator'!$C$8*'Investment Calculator'!$F$4,'SIP Schedule'!C3533+1,"")</f>
        <v/>
      </c>
      <c r="D3534" s="27" t="str">
        <f>IF(C3534&lt;='Investment Calculator'!$C$8*'Investment Calculator'!$F$4,'Investment Calculator'!$C$6,"")</f>
        <v/>
      </c>
      <c r="E3534" s="27" t="str">
        <f>IFERROR((F3533+D3534)*'Investment Calculator'!$C$7/'Investment Calculator'!$F$4,"")</f>
        <v/>
      </c>
      <c r="F3534" s="27" t="str">
        <f>IFERROR(ABS(FV('Investment Calculator'!$C$7/'Investment Calculator'!$F$4,'SIP Schedule'!C3534,'SIP Schedule'!D3534,,1)),"")</f>
        <v/>
      </c>
    </row>
    <row r="3535" spans="3:6" x14ac:dyDescent="0.3">
      <c r="C3535" s="1" t="str">
        <f>IF(C3534&lt;'Investment Calculator'!$C$8*'Investment Calculator'!$F$4,'SIP Schedule'!C3534+1,"")</f>
        <v/>
      </c>
      <c r="D3535" s="27" t="str">
        <f>IF(C3535&lt;='Investment Calculator'!$C$8*'Investment Calculator'!$F$4,'Investment Calculator'!$C$6,"")</f>
        <v/>
      </c>
      <c r="E3535" s="27" t="str">
        <f>IFERROR((F3534+D3535)*'Investment Calculator'!$C$7/'Investment Calculator'!$F$4,"")</f>
        <v/>
      </c>
      <c r="F3535" s="27" t="str">
        <f>IFERROR(ABS(FV('Investment Calculator'!$C$7/'Investment Calculator'!$F$4,'SIP Schedule'!C3535,'SIP Schedule'!D3535,,1)),"")</f>
        <v/>
      </c>
    </row>
    <row r="3536" spans="3:6" x14ac:dyDescent="0.3">
      <c r="C3536" s="1" t="str">
        <f>IF(C3535&lt;'Investment Calculator'!$C$8*'Investment Calculator'!$F$4,'SIP Schedule'!C3535+1,"")</f>
        <v/>
      </c>
      <c r="D3536" s="27" t="str">
        <f>IF(C3536&lt;='Investment Calculator'!$C$8*'Investment Calculator'!$F$4,'Investment Calculator'!$C$6,"")</f>
        <v/>
      </c>
      <c r="E3536" s="27" t="str">
        <f>IFERROR((F3535+D3536)*'Investment Calculator'!$C$7/'Investment Calculator'!$F$4,"")</f>
        <v/>
      </c>
      <c r="F3536" s="27" t="str">
        <f>IFERROR(ABS(FV('Investment Calculator'!$C$7/'Investment Calculator'!$F$4,'SIP Schedule'!C3536,'SIP Schedule'!D3536,,1)),"")</f>
        <v/>
      </c>
    </row>
    <row r="3537" spans="3:6" x14ac:dyDescent="0.3">
      <c r="C3537" s="1" t="str">
        <f>IF(C3536&lt;'Investment Calculator'!$C$8*'Investment Calculator'!$F$4,'SIP Schedule'!C3536+1,"")</f>
        <v/>
      </c>
      <c r="D3537" s="27" t="str">
        <f>IF(C3537&lt;='Investment Calculator'!$C$8*'Investment Calculator'!$F$4,'Investment Calculator'!$C$6,"")</f>
        <v/>
      </c>
      <c r="E3537" s="27" t="str">
        <f>IFERROR((F3536+D3537)*'Investment Calculator'!$C$7/'Investment Calculator'!$F$4,"")</f>
        <v/>
      </c>
      <c r="F3537" s="27" t="str">
        <f>IFERROR(ABS(FV('Investment Calculator'!$C$7/'Investment Calculator'!$F$4,'SIP Schedule'!C3537,'SIP Schedule'!D3537,,1)),"")</f>
        <v/>
      </c>
    </row>
    <row r="3538" spans="3:6" x14ac:dyDescent="0.3">
      <c r="C3538" s="1" t="str">
        <f>IF(C3537&lt;'Investment Calculator'!$C$8*'Investment Calculator'!$F$4,'SIP Schedule'!C3537+1,"")</f>
        <v/>
      </c>
      <c r="D3538" s="27" t="str">
        <f>IF(C3538&lt;='Investment Calculator'!$C$8*'Investment Calculator'!$F$4,'Investment Calculator'!$C$6,"")</f>
        <v/>
      </c>
      <c r="E3538" s="27" t="str">
        <f>IFERROR((F3537+D3538)*'Investment Calculator'!$C$7/'Investment Calculator'!$F$4,"")</f>
        <v/>
      </c>
      <c r="F3538" s="27" t="str">
        <f>IFERROR(ABS(FV('Investment Calculator'!$C$7/'Investment Calculator'!$F$4,'SIP Schedule'!C3538,'SIP Schedule'!D3538,,1)),"")</f>
        <v/>
      </c>
    </row>
    <row r="3539" spans="3:6" x14ac:dyDescent="0.3">
      <c r="C3539" s="1" t="str">
        <f>IF(C3538&lt;'Investment Calculator'!$C$8*'Investment Calculator'!$F$4,'SIP Schedule'!C3538+1,"")</f>
        <v/>
      </c>
      <c r="D3539" s="27" t="str">
        <f>IF(C3539&lt;='Investment Calculator'!$C$8*'Investment Calculator'!$F$4,'Investment Calculator'!$C$6,"")</f>
        <v/>
      </c>
      <c r="E3539" s="27" t="str">
        <f>IFERROR((F3538+D3539)*'Investment Calculator'!$C$7/'Investment Calculator'!$F$4,"")</f>
        <v/>
      </c>
      <c r="F3539" s="27" t="str">
        <f>IFERROR(ABS(FV('Investment Calculator'!$C$7/'Investment Calculator'!$F$4,'SIP Schedule'!C3539,'SIP Schedule'!D3539,,1)),"")</f>
        <v/>
      </c>
    </row>
    <row r="3540" spans="3:6" x14ac:dyDescent="0.3">
      <c r="C3540" s="1" t="str">
        <f>IF(C3539&lt;'Investment Calculator'!$C$8*'Investment Calculator'!$F$4,'SIP Schedule'!C3539+1,"")</f>
        <v/>
      </c>
      <c r="D3540" s="27" t="str">
        <f>IF(C3540&lt;='Investment Calculator'!$C$8*'Investment Calculator'!$F$4,'Investment Calculator'!$C$6,"")</f>
        <v/>
      </c>
      <c r="E3540" s="27" t="str">
        <f>IFERROR((F3539+D3540)*'Investment Calculator'!$C$7/'Investment Calculator'!$F$4,"")</f>
        <v/>
      </c>
      <c r="F3540" s="27" t="str">
        <f>IFERROR(ABS(FV('Investment Calculator'!$C$7/'Investment Calculator'!$F$4,'SIP Schedule'!C3540,'SIP Schedule'!D3540,,1)),"")</f>
        <v/>
      </c>
    </row>
    <row r="3541" spans="3:6" x14ac:dyDescent="0.3">
      <c r="C3541" s="1" t="str">
        <f>IF(C3540&lt;'Investment Calculator'!$C$8*'Investment Calculator'!$F$4,'SIP Schedule'!C3540+1,"")</f>
        <v/>
      </c>
      <c r="D3541" s="27" t="str">
        <f>IF(C3541&lt;='Investment Calculator'!$C$8*'Investment Calculator'!$F$4,'Investment Calculator'!$C$6,"")</f>
        <v/>
      </c>
      <c r="E3541" s="27" t="str">
        <f>IFERROR((F3540+D3541)*'Investment Calculator'!$C$7/'Investment Calculator'!$F$4,"")</f>
        <v/>
      </c>
      <c r="F3541" s="27" t="str">
        <f>IFERROR(ABS(FV('Investment Calculator'!$C$7/'Investment Calculator'!$F$4,'SIP Schedule'!C3541,'SIP Schedule'!D3541,,1)),"")</f>
        <v/>
      </c>
    </row>
    <row r="3542" spans="3:6" x14ac:dyDescent="0.3">
      <c r="C3542" s="1" t="str">
        <f>IF(C3541&lt;'Investment Calculator'!$C$8*'Investment Calculator'!$F$4,'SIP Schedule'!C3541+1,"")</f>
        <v/>
      </c>
      <c r="D3542" s="27" t="str">
        <f>IF(C3542&lt;='Investment Calculator'!$C$8*'Investment Calculator'!$F$4,'Investment Calculator'!$C$6,"")</f>
        <v/>
      </c>
      <c r="E3542" s="27" t="str">
        <f>IFERROR((F3541+D3542)*'Investment Calculator'!$C$7/'Investment Calculator'!$F$4,"")</f>
        <v/>
      </c>
      <c r="F3542" s="27" t="str">
        <f>IFERROR(ABS(FV('Investment Calculator'!$C$7/'Investment Calculator'!$F$4,'SIP Schedule'!C3542,'SIP Schedule'!D3542,,1)),"")</f>
        <v/>
      </c>
    </row>
    <row r="3543" spans="3:6" x14ac:dyDescent="0.3">
      <c r="C3543" s="1" t="str">
        <f>IF(C3542&lt;'Investment Calculator'!$C$8*'Investment Calculator'!$F$4,'SIP Schedule'!C3542+1,"")</f>
        <v/>
      </c>
      <c r="D3543" s="27" t="str">
        <f>IF(C3543&lt;='Investment Calculator'!$C$8*'Investment Calculator'!$F$4,'Investment Calculator'!$C$6,"")</f>
        <v/>
      </c>
      <c r="E3543" s="27" t="str">
        <f>IFERROR((F3542+D3543)*'Investment Calculator'!$C$7/'Investment Calculator'!$F$4,"")</f>
        <v/>
      </c>
      <c r="F3543" s="27" t="str">
        <f>IFERROR(ABS(FV('Investment Calculator'!$C$7/'Investment Calculator'!$F$4,'SIP Schedule'!C3543,'SIP Schedule'!D3543,,1)),"")</f>
        <v/>
      </c>
    </row>
    <row r="3544" spans="3:6" x14ac:dyDescent="0.3">
      <c r="C3544" s="1" t="str">
        <f>IF(C3543&lt;'Investment Calculator'!$C$8*'Investment Calculator'!$F$4,'SIP Schedule'!C3543+1,"")</f>
        <v/>
      </c>
      <c r="D3544" s="27" t="str">
        <f>IF(C3544&lt;='Investment Calculator'!$C$8*'Investment Calculator'!$F$4,'Investment Calculator'!$C$6,"")</f>
        <v/>
      </c>
      <c r="E3544" s="27" t="str">
        <f>IFERROR((F3543+D3544)*'Investment Calculator'!$C$7/'Investment Calculator'!$F$4,"")</f>
        <v/>
      </c>
      <c r="F3544" s="27" t="str">
        <f>IFERROR(ABS(FV('Investment Calculator'!$C$7/'Investment Calculator'!$F$4,'SIP Schedule'!C3544,'SIP Schedule'!D3544,,1)),"")</f>
        <v/>
      </c>
    </row>
    <row r="3545" spans="3:6" x14ac:dyDescent="0.3">
      <c r="C3545" s="1" t="str">
        <f>IF(C3544&lt;'Investment Calculator'!$C$8*'Investment Calculator'!$F$4,'SIP Schedule'!C3544+1,"")</f>
        <v/>
      </c>
      <c r="D3545" s="27" t="str">
        <f>IF(C3545&lt;='Investment Calculator'!$C$8*'Investment Calculator'!$F$4,'Investment Calculator'!$C$6,"")</f>
        <v/>
      </c>
      <c r="E3545" s="27" t="str">
        <f>IFERROR((F3544+D3545)*'Investment Calculator'!$C$7/'Investment Calculator'!$F$4,"")</f>
        <v/>
      </c>
      <c r="F3545" s="27" t="str">
        <f>IFERROR(ABS(FV('Investment Calculator'!$C$7/'Investment Calculator'!$F$4,'SIP Schedule'!C3545,'SIP Schedule'!D3545,,1)),"")</f>
        <v/>
      </c>
    </row>
    <row r="3546" spans="3:6" x14ac:dyDescent="0.3">
      <c r="C3546" s="1" t="str">
        <f>IF(C3545&lt;'Investment Calculator'!$C$8*'Investment Calculator'!$F$4,'SIP Schedule'!C3545+1,"")</f>
        <v/>
      </c>
      <c r="D3546" s="27" t="str">
        <f>IF(C3546&lt;='Investment Calculator'!$C$8*'Investment Calculator'!$F$4,'Investment Calculator'!$C$6,"")</f>
        <v/>
      </c>
      <c r="E3546" s="27" t="str">
        <f>IFERROR((F3545+D3546)*'Investment Calculator'!$C$7/'Investment Calculator'!$F$4,"")</f>
        <v/>
      </c>
      <c r="F3546" s="27" t="str">
        <f>IFERROR(ABS(FV('Investment Calculator'!$C$7/'Investment Calculator'!$F$4,'SIP Schedule'!C3546,'SIP Schedule'!D3546,,1)),"")</f>
        <v/>
      </c>
    </row>
    <row r="3547" spans="3:6" x14ac:dyDescent="0.3">
      <c r="C3547" s="1" t="str">
        <f>IF(C3546&lt;'Investment Calculator'!$C$8*'Investment Calculator'!$F$4,'SIP Schedule'!C3546+1,"")</f>
        <v/>
      </c>
      <c r="D3547" s="27" t="str">
        <f>IF(C3547&lt;='Investment Calculator'!$C$8*'Investment Calculator'!$F$4,'Investment Calculator'!$C$6,"")</f>
        <v/>
      </c>
      <c r="E3547" s="27" t="str">
        <f>IFERROR((F3546+D3547)*'Investment Calculator'!$C$7/'Investment Calculator'!$F$4,"")</f>
        <v/>
      </c>
      <c r="F3547" s="27" t="str">
        <f>IFERROR(ABS(FV('Investment Calculator'!$C$7/'Investment Calculator'!$F$4,'SIP Schedule'!C3547,'SIP Schedule'!D3547,,1)),"")</f>
        <v/>
      </c>
    </row>
    <row r="3548" spans="3:6" x14ac:dyDescent="0.3">
      <c r="C3548" s="1" t="str">
        <f>IF(C3547&lt;'Investment Calculator'!$C$8*'Investment Calculator'!$F$4,'SIP Schedule'!C3547+1,"")</f>
        <v/>
      </c>
      <c r="D3548" s="27" t="str">
        <f>IF(C3548&lt;='Investment Calculator'!$C$8*'Investment Calculator'!$F$4,'Investment Calculator'!$C$6,"")</f>
        <v/>
      </c>
      <c r="E3548" s="27" t="str">
        <f>IFERROR((F3547+D3548)*'Investment Calculator'!$C$7/'Investment Calculator'!$F$4,"")</f>
        <v/>
      </c>
      <c r="F3548" s="27" t="str">
        <f>IFERROR(ABS(FV('Investment Calculator'!$C$7/'Investment Calculator'!$F$4,'SIP Schedule'!C3548,'SIP Schedule'!D3548,,1)),"")</f>
        <v/>
      </c>
    </row>
    <row r="3549" spans="3:6" x14ac:dyDescent="0.3">
      <c r="C3549" s="1" t="str">
        <f>IF(C3548&lt;'Investment Calculator'!$C$8*'Investment Calculator'!$F$4,'SIP Schedule'!C3548+1,"")</f>
        <v/>
      </c>
      <c r="D3549" s="27" t="str">
        <f>IF(C3549&lt;='Investment Calculator'!$C$8*'Investment Calculator'!$F$4,'Investment Calculator'!$C$6,"")</f>
        <v/>
      </c>
      <c r="E3549" s="27" t="str">
        <f>IFERROR((F3548+D3549)*'Investment Calculator'!$C$7/'Investment Calculator'!$F$4,"")</f>
        <v/>
      </c>
      <c r="F3549" s="27" t="str">
        <f>IFERROR(ABS(FV('Investment Calculator'!$C$7/'Investment Calculator'!$F$4,'SIP Schedule'!C3549,'SIP Schedule'!D3549,,1)),"")</f>
        <v/>
      </c>
    </row>
    <row r="3550" spans="3:6" x14ac:dyDescent="0.3">
      <c r="C3550" s="1" t="str">
        <f>IF(C3549&lt;'Investment Calculator'!$C$8*'Investment Calculator'!$F$4,'SIP Schedule'!C3549+1,"")</f>
        <v/>
      </c>
      <c r="D3550" s="27" t="str">
        <f>IF(C3550&lt;='Investment Calculator'!$C$8*'Investment Calculator'!$F$4,'Investment Calculator'!$C$6,"")</f>
        <v/>
      </c>
      <c r="E3550" s="27" t="str">
        <f>IFERROR((F3549+D3550)*'Investment Calculator'!$C$7/'Investment Calculator'!$F$4,"")</f>
        <v/>
      </c>
      <c r="F3550" s="27" t="str">
        <f>IFERROR(ABS(FV('Investment Calculator'!$C$7/'Investment Calculator'!$F$4,'SIP Schedule'!C3550,'SIP Schedule'!D3550,,1)),"")</f>
        <v/>
      </c>
    </row>
    <row r="3551" spans="3:6" x14ac:dyDescent="0.3">
      <c r="C3551" s="1" t="str">
        <f>IF(C3550&lt;'Investment Calculator'!$C$8*'Investment Calculator'!$F$4,'SIP Schedule'!C3550+1,"")</f>
        <v/>
      </c>
      <c r="D3551" s="27" t="str">
        <f>IF(C3551&lt;='Investment Calculator'!$C$8*'Investment Calculator'!$F$4,'Investment Calculator'!$C$6,"")</f>
        <v/>
      </c>
      <c r="E3551" s="27" t="str">
        <f>IFERROR((F3550+D3551)*'Investment Calculator'!$C$7/'Investment Calculator'!$F$4,"")</f>
        <v/>
      </c>
      <c r="F3551" s="27" t="str">
        <f>IFERROR(ABS(FV('Investment Calculator'!$C$7/'Investment Calculator'!$F$4,'SIP Schedule'!C3551,'SIP Schedule'!D3551,,1)),"")</f>
        <v/>
      </c>
    </row>
    <row r="3552" spans="3:6" x14ac:dyDescent="0.3">
      <c r="C3552" s="1" t="str">
        <f>IF(C3551&lt;'Investment Calculator'!$C$8*'Investment Calculator'!$F$4,'SIP Schedule'!C3551+1,"")</f>
        <v/>
      </c>
      <c r="D3552" s="27" t="str">
        <f>IF(C3552&lt;='Investment Calculator'!$C$8*'Investment Calculator'!$F$4,'Investment Calculator'!$C$6,"")</f>
        <v/>
      </c>
      <c r="E3552" s="27" t="str">
        <f>IFERROR((F3551+D3552)*'Investment Calculator'!$C$7/'Investment Calculator'!$F$4,"")</f>
        <v/>
      </c>
      <c r="F3552" s="27" t="str">
        <f>IFERROR(ABS(FV('Investment Calculator'!$C$7/'Investment Calculator'!$F$4,'SIP Schedule'!C3552,'SIP Schedule'!D3552,,1)),"")</f>
        <v/>
      </c>
    </row>
    <row r="3553" spans="3:6" x14ac:dyDescent="0.3">
      <c r="C3553" s="1" t="str">
        <f>IF(C3552&lt;'Investment Calculator'!$C$8*'Investment Calculator'!$F$4,'SIP Schedule'!C3552+1,"")</f>
        <v/>
      </c>
      <c r="D3553" s="27" t="str">
        <f>IF(C3553&lt;='Investment Calculator'!$C$8*'Investment Calculator'!$F$4,'Investment Calculator'!$C$6,"")</f>
        <v/>
      </c>
      <c r="E3553" s="27" t="str">
        <f>IFERROR((F3552+D3553)*'Investment Calculator'!$C$7/'Investment Calculator'!$F$4,"")</f>
        <v/>
      </c>
      <c r="F3553" s="27" t="str">
        <f>IFERROR(ABS(FV('Investment Calculator'!$C$7/'Investment Calculator'!$F$4,'SIP Schedule'!C3553,'SIP Schedule'!D3553,,1)),"")</f>
        <v/>
      </c>
    </row>
    <row r="3554" spans="3:6" x14ac:dyDescent="0.3">
      <c r="C3554" s="1" t="str">
        <f>IF(C3553&lt;'Investment Calculator'!$C$8*'Investment Calculator'!$F$4,'SIP Schedule'!C3553+1,"")</f>
        <v/>
      </c>
      <c r="D3554" s="27" t="str">
        <f>IF(C3554&lt;='Investment Calculator'!$C$8*'Investment Calculator'!$F$4,'Investment Calculator'!$C$6,"")</f>
        <v/>
      </c>
      <c r="E3554" s="27" t="str">
        <f>IFERROR((F3553+D3554)*'Investment Calculator'!$C$7/'Investment Calculator'!$F$4,"")</f>
        <v/>
      </c>
      <c r="F3554" s="27" t="str">
        <f>IFERROR(ABS(FV('Investment Calculator'!$C$7/'Investment Calculator'!$F$4,'SIP Schedule'!C3554,'SIP Schedule'!D3554,,1)),"")</f>
        <v/>
      </c>
    </row>
    <row r="3555" spans="3:6" x14ac:dyDescent="0.3">
      <c r="C3555" s="1" t="str">
        <f>IF(C3554&lt;'Investment Calculator'!$C$8*'Investment Calculator'!$F$4,'SIP Schedule'!C3554+1,"")</f>
        <v/>
      </c>
      <c r="D3555" s="27" t="str">
        <f>IF(C3555&lt;='Investment Calculator'!$C$8*'Investment Calculator'!$F$4,'Investment Calculator'!$C$6,"")</f>
        <v/>
      </c>
      <c r="E3555" s="27" t="str">
        <f>IFERROR((F3554+D3555)*'Investment Calculator'!$C$7/'Investment Calculator'!$F$4,"")</f>
        <v/>
      </c>
      <c r="F3555" s="27" t="str">
        <f>IFERROR(ABS(FV('Investment Calculator'!$C$7/'Investment Calculator'!$F$4,'SIP Schedule'!C3555,'SIP Schedule'!D3555,,1)),"")</f>
        <v/>
      </c>
    </row>
    <row r="3556" spans="3:6" x14ac:dyDescent="0.3">
      <c r="C3556" s="1" t="str">
        <f>IF(C3555&lt;'Investment Calculator'!$C$8*'Investment Calculator'!$F$4,'SIP Schedule'!C3555+1,"")</f>
        <v/>
      </c>
      <c r="D3556" s="27" t="str">
        <f>IF(C3556&lt;='Investment Calculator'!$C$8*'Investment Calculator'!$F$4,'Investment Calculator'!$C$6,"")</f>
        <v/>
      </c>
      <c r="E3556" s="27" t="str">
        <f>IFERROR((F3555+D3556)*'Investment Calculator'!$C$7/'Investment Calculator'!$F$4,"")</f>
        <v/>
      </c>
      <c r="F3556" s="27" t="str">
        <f>IFERROR(ABS(FV('Investment Calculator'!$C$7/'Investment Calculator'!$F$4,'SIP Schedule'!C3556,'SIP Schedule'!D3556,,1)),"")</f>
        <v/>
      </c>
    </row>
    <row r="3557" spans="3:6" x14ac:dyDescent="0.3">
      <c r="C3557" s="1" t="str">
        <f>IF(C3556&lt;'Investment Calculator'!$C$8*'Investment Calculator'!$F$4,'SIP Schedule'!C3556+1,"")</f>
        <v/>
      </c>
      <c r="D3557" s="27" t="str">
        <f>IF(C3557&lt;='Investment Calculator'!$C$8*'Investment Calculator'!$F$4,'Investment Calculator'!$C$6,"")</f>
        <v/>
      </c>
      <c r="E3557" s="27" t="str">
        <f>IFERROR((F3556+D3557)*'Investment Calculator'!$C$7/'Investment Calculator'!$F$4,"")</f>
        <v/>
      </c>
      <c r="F3557" s="27" t="str">
        <f>IFERROR(ABS(FV('Investment Calculator'!$C$7/'Investment Calculator'!$F$4,'SIP Schedule'!C3557,'SIP Schedule'!D3557,,1)),"")</f>
        <v/>
      </c>
    </row>
    <row r="3558" spans="3:6" x14ac:dyDescent="0.3">
      <c r="C3558" s="1" t="str">
        <f>IF(C3557&lt;'Investment Calculator'!$C$8*'Investment Calculator'!$F$4,'SIP Schedule'!C3557+1,"")</f>
        <v/>
      </c>
      <c r="D3558" s="27" t="str">
        <f>IF(C3558&lt;='Investment Calculator'!$C$8*'Investment Calculator'!$F$4,'Investment Calculator'!$C$6,"")</f>
        <v/>
      </c>
      <c r="E3558" s="27" t="str">
        <f>IFERROR((F3557+D3558)*'Investment Calculator'!$C$7/'Investment Calculator'!$F$4,"")</f>
        <v/>
      </c>
      <c r="F3558" s="27" t="str">
        <f>IFERROR(ABS(FV('Investment Calculator'!$C$7/'Investment Calculator'!$F$4,'SIP Schedule'!C3558,'SIP Schedule'!D3558,,1)),"")</f>
        <v/>
      </c>
    </row>
    <row r="3559" spans="3:6" x14ac:dyDescent="0.3">
      <c r="C3559" s="1" t="str">
        <f>IF(C3558&lt;'Investment Calculator'!$C$8*'Investment Calculator'!$F$4,'SIP Schedule'!C3558+1,"")</f>
        <v/>
      </c>
      <c r="D3559" s="27" t="str">
        <f>IF(C3559&lt;='Investment Calculator'!$C$8*'Investment Calculator'!$F$4,'Investment Calculator'!$C$6,"")</f>
        <v/>
      </c>
      <c r="E3559" s="27" t="str">
        <f>IFERROR((F3558+D3559)*'Investment Calculator'!$C$7/'Investment Calculator'!$F$4,"")</f>
        <v/>
      </c>
      <c r="F3559" s="27" t="str">
        <f>IFERROR(ABS(FV('Investment Calculator'!$C$7/'Investment Calculator'!$F$4,'SIP Schedule'!C3559,'SIP Schedule'!D3559,,1)),"")</f>
        <v/>
      </c>
    </row>
    <row r="3560" spans="3:6" x14ac:dyDescent="0.3">
      <c r="C3560" s="1" t="str">
        <f>IF(C3559&lt;'Investment Calculator'!$C$8*'Investment Calculator'!$F$4,'SIP Schedule'!C3559+1,"")</f>
        <v/>
      </c>
      <c r="D3560" s="27" t="str">
        <f>IF(C3560&lt;='Investment Calculator'!$C$8*'Investment Calculator'!$F$4,'Investment Calculator'!$C$6,"")</f>
        <v/>
      </c>
      <c r="E3560" s="27" t="str">
        <f>IFERROR((F3559+D3560)*'Investment Calculator'!$C$7/'Investment Calculator'!$F$4,"")</f>
        <v/>
      </c>
      <c r="F3560" s="27" t="str">
        <f>IFERROR(ABS(FV('Investment Calculator'!$C$7/'Investment Calculator'!$F$4,'SIP Schedule'!C3560,'SIP Schedule'!D3560,,1)),"")</f>
        <v/>
      </c>
    </row>
    <row r="3561" spans="3:6" x14ac:dyDescent="0.3">
      <c r="C3561" s="1" t="str">
        <f>IF(C3560&lt;'Investment Calculator'!$C$8*'Investment Calculator'!$F$4,'SIP Schedule'!C3560+1,"")</f>
        <v/>
      </c>
      <c r="D3561" s="27" t="str">
        <f>IF(C3561&lt;='Investment Calculator'!$C$8*'Investment Calculator'!$F$4,'Investment Calculator'!$C$6,"")</f>
        <v/>
      </c>
      <c r="E3561" s="27" t="str">
        <f>IFERROR((F3560+D3561)*'Investment Calculator'!$C$7/'Investment Calculator'!$F$4,"")</f>
        <v/>
      </c>
      <c r="F3561" s="27" t="str">
        <f>IFERROR(ABS(FV('Investment Calculator'!$C$7/'Investment Calculator'!$F$4,'SIP Schedule'!C3561,'SIP Schedule'!D3561,,1)),"")</f>
        <v/>
      </c>
    </row>
    <row r="3562" spans="3:6" x14ac:dyDescent="0.3">
      <c r="C3562" s="1" t="str">
        <f>IF(C3561&lt;'Investment Calculator'!$C$8*'Investment Calculator'!$F$4,'SIP Schedule'!C3561+1,"")</f>
        <v/>
      </c>
      <c r="D3562" s="27" t="str">
        <f>IF(C3562&lt;='Investment Calculator'!$C$8*'Investment Calculator'!$F$4,'Investment Calculator'!$C$6,"")</f>
        <v/>
      </c>
      <c r="E3562" s="27" t="str">
        <f>IFERROR((F3561+D3562)*'Investment Calculator'!$C$7/'Investment Calculator'!$F$4,"")</f>
        <v/>
      </c>
      <c r="F3562" s="27" t="str">
        <f>IFERROR(ABS(FV('Investment Calculator'!$C$7/'Investment Calculator'!$F$4,'SIP Schedule'!C3562,'SIP Schedule'!D3562,,1)),"")</f>
        <v/>
      </c>
    </row>
    <row r="3563" spans="3:6" x14ac:dyDescent="0.3">
      <c r="C3563" s="1" t="str">
        <f>IF(C3562&lt;'Investment Calculator'!$C$8*'Investment Calculator'!$F$4,'SIP Schedule'!C3562+1,"")</f>
        <v/>
      </c>
      <c r="D3563" s="27" t="str">
        <f>IF(C3563&lt;='Investment Calculator'!$C$8*'Investment Calculator'!$F$4,'Investment Calculator'!$C$6,"")</f>
        <v/>
      </c>
      <c r="E3563" s="27" t="str">
        <f>IFERROR((F3562+D3563)*'Investment Calculator'!$C$7/'Investment Calculator'!$F$4,"")</f>
        <v/>
      </c>
      <c r="F3563" s="27" t="str">
        <f>IFERROR(ABS(FV('Investment Calculator'!$C$7/'Investment Calculator'!$F$4,'SIP Schedule'!C3563,'SIP Schedule'!D3563,,1)),"")</f>
        <v/>
      </c>
    </row>
    <row r="3564" spans="3:6" x14ac:dyDescent="0.3">
      <c r="C3564" s="1" t="str">
        <f>IF(C3563&lt;'Investment Calculator'!$C$8*'Investment Calculator'!$F$4,'SIP Schedule'!C3563+1,"")</f>
        <v/>
      </c>
      <c r="D3564" s="27" t="str">
        <f>IF(C3564&lt;='Investment Calculator'!$C$8*'Investment Calculator'!$F$4,'Investment Calculator'!$C$6,"")</f>
        <v/>
      </c>
      <c r="E3564" s="27" t="str">
        <f>IFERROR((F3563+D3564)*'Investment Calculator'!$C$7/'Investment Calculator'!$F$4,"")</f>
        <v/>
      </c>
      <c r="F3564" s="27" t="str">
        <f>IFERROR(ABS(FV('Investment Calculator'!$C$7/'Investment Calculator'!$F$4,'SIP Schedule'!C3564,'SIP Schedule'!D3564,,1)),"")</f>
        <v/>
      </c>
    </row>
    <row r="3565" spans="3:6" x14ac:dyDescent="0.3">
      <c r="C3565" s="1" t="str">
        <f>IF(C3564&lt;'Investment Calculator'!$C$8*'Investment Calculator'!$F$4,'SIP Schedule'!C3564+1,"")</f>
        <v/>
      </c>
      <c r="D3565" s="27" t="str">
        <f>IF(C3565&lt;='Investment Calculator'!$C$8*'Investment Calculator'!$F$4,'Investment Calculator'!$C$6,"")</f>
        <v/>
      </c>
      <c r="E3565" s="27" t="str">
        <f>IFERROR((F3564+D3565)*'Investment Calculator'!$C$7/'Investment Calculator'!$F$4,"")</f>
        <v/>
      </c>
      <c r="F3565" s="27" t="str">
        <f>IFERROR(ABS(FV('Investment Calculator'!$C$7/'Investment Calculator'!$F$4,'SIP Schedule'!C3565,'SIP Schedule'!D3565,,1)),"")</f>
        <v/>
      </c>
    </row>
    <row r="3566" spans="3:6" x14ac:dyDescent="0.3">
      <c r="C3566" s="1" t="str">
        <f>IF(C3565&lt;'Investment Calculator'!$C$8*'Investment Calculator'!$F$4,'SIP Schedule'!C3565+1,"")</f>
        <v/>
      </c>
      <c r="D3566" s="27" t="str">
        <f>IF(C3566&lt;='Investment Calculator'!$C$8*'Investment Calculator'!$F$4,'Investment Calculator'!$C$6,"")</f>
        <v/>
      </c>
      <c r="E3566" s="27" t="str">
        <f>IFERROR((F3565+D3566)*'Investment Calculator'!$C$7/'Investment Calculator'!$F$4,"")</f>
        <v/>
      </c>
      <c r="F3566" s="27" t="str">
        <f>IFERROR(ABS(FV('Investment Calculator'!$C$7/'Investment Calculator'!$F$4,'SIP Schedule'!C3566,'SIP Schedule'!D3566,,1)),"")</f>
        <v/>
      </c>
    </row>
    <row r="3567" spans="3:6" x14ac:dyDescent="0.3">
      <c r="C3567" s="1" t="str">
        <f>IF(C3566&lt;'Investment Calculator'!$C$8*'Investment Calculator'!$F$4,'SIP Schedule'!C3566+1,"")</f>
        <v/>
      </c>
      <c r="D3567" s="27" t="str">
        <f>IF(C3567&lt;='Investment Calculator'!$C$8*'Investment Calculator'!$F$4,'Investment Calculator'!$C$6,"")</f>
        <v/>
      </c>
      <c r="E3567" s="27" t="str">
        <f>IFERROR((F3566+D3567)*'Investment Calculator'!$C$7/'Investment Calculator'!$F$4,"")</f>
        <v/>
      </c>
      <c r="F3567" s="27" t="str">
        <f>IFERROR(ABS(FV('Investment Calculator'!$C$7/'Investment Calculator'!$F$4,'SIP Schedule'!C3567,'SIP Schedule'!D3567,,1)),"")</f>
        <v/>
      </c>
    </row>
    <row r="3568" spans="3:6" x14ac:dyDescent="0.3">
      <c r="C3568" s="1" t="str">
        <f>IF(C3567&lt;'Investment Calculator'!$C$8*'Investment Calculator'!$F$4,'SIP Schedule'!C3567+1,"")</f>
        <v/>
      </c>
      <c r="D3568" s="27" t="str">
        <f>IF(C3568&lt;='Investment Calculator'!$C$8*'Investment Calculator'!$F$4,'Investment Calculator'!$C$6,"")</f>
        <v/>
      </c>
      <c r="E3568" s="27" t="str">
        <f>IFERROR((F3567+D3568)*'Investment Calculator'!$C$7/'Investment Calculator'!$F$4,"")</f>
        <v/>
      </c>
      <c r="F3568" s="27" t="str">
        <f>IFERROR(ABS(FV('Investment Calculator'!$C$7/'Investment Calculator'!$F$4,'SIP Schedule'!C3568,'SIP Schedule'!D3568,,1)),"")</f>
        <v/>
      </c>
    </row>
    <row r="3569" spans="3:6" x14ac:dyDescent="0.3">
      <c r="C3569" s="1" t="str">
        <f>IF(C3568&lt;'Investment Calculator'!$C$8*'Investment Calculator'!$F$4,'SIP Schedule'!C3568+1,"")</f>
        <v/>
      </c>
      <c r="D3569" s="27" t="str">
        <f>IF(C3569&lt;='Investment Calculator'!$C$8*'Investment Calculator'!$F$4,'Investment Calculator'!$C$6,"")</f>
        <v/>
      </c>
      <c r="E3569" s="27" t="str">
        <f>IFERROR((F3568+D3569)*'Investment Calculator'!$C$7/'Investment Calculator'!$F$4,"")</f>
        <v/>
      </c>
      <c r="F3569" s="27" t="str">
        <f>IFERROR(ABS(FV('Investment Calculator'!$C$7/'Investment Calculator'!$F$4,'SIP Schedule'!C3569,'SIP Schedule'!D3569,,1)),"")</f>
        <v/>
      </c>
    </row>
    <row r="3570" spans="3:6" x14ac:dyDescent="0.3">
      <c r="C3570" s="1" t="str">
        <f>IF(C3569&lt;'Investment Calculator'!$C$8*'Investment Calculator'!$F$4,'SIP Schedule'!C3569+1,"")</f>
        <v/>
      </c>
      <c r="D3570" s="27" t="str">
        <f>IF(C3570&lt;='Investment Calculator'!$C$8*'Investment Calculator'!$F$4,'Investment Calculator'!$C$6,"")</f>
        <v/>
      </c>
      <c r="E3570" s="27" t="str">
        <f>IFERROR((F3569+D3570)*'Investment Calculator'!$C$7/'Investment Calculator'!$F$4,"")</f>
        <v/>
      </c>
      <c r="F3570" s="27" t="str">
        <f>IFERROR(ABS(FV('Investment Calculator'!$C$7/'Investment Calculator'!$F$4,'SIP Schedule'!C3570,'SIP Schedule'!D3570,,1)),"")</f>
        <v/>
      </c>
    </row>
    <row r="3571" spans="3:6" x14ac:dyDescent="0.3">
      <c r="C3571" s="1" t="str">
        <f>IF(C3570&lt;'Investment Calculator'!$C$8*'Investment Calculator'!$F$4,'SIP Schedule'!C3570+1,"")</f>
        <v/>
      </c>
      <c r="D3571" s="27" t="str">
        <f>IF(C3571&lt;='Investment Calculator'!$C$8*'Investment Calculator'!$F$4,'Investment Calculator'!$C$6,"")</f>
        <v/>
      </c>
      <c r="E3571" s="27" t="str">
        <f>IFERROR((F3570+D3571)*'Investment Calculator'!$C$7/'Investment Calculator'!$F$4,"")</f>
        <v/>
      </c>
      <c r="F3571" s="27" t="str">
        <f>IFERROR(ABS(FV('Investment Calculator'!$C$7/'Investment Calculator'!$F$4,'SIP Schedule'!C3571,'SIP Schedule'!D3571,,1)),"")</f>
        <v/>
      </c>
    </row>
    <row r="3572" spans="3:6" x14ac:dyDescent="0.3">
      <c r="C3572" s="1" t="str">
        <f>IF(C3571&lt;'Investment Calculator'!$C$8*'Investment Calculator'!$F$4,'SIP Schedule'!C3571+1,"")</f>
        <v/>
      </c>
      <c r="D3572" s="27" t="str">
        <f>IF(C3572&lt;='Investment Calculator'!$C$8*'Investment Calculator'!$F$4,'Investment Calculator'!$C$6,"")</f>
        <v/>
      </c>
      <c r="E3572" s="27" t="str">
        <f>IFERROR((F3571+D3572)*'Investment Calculator'!$C$7/'Investment Calculator'!$F$4,"")</f>
        <v/>
      </c>
      <c r="F3572" s="27" t="str">
        <f>IFERROR(ABS(FV('Investment Calculator'!$C$7/'Investment Calculator'!$F$4,'SIP Schedule'!C3572,'SIP Schedule'!D3572,,1)),"")</f>
        <v/>
      </c>
    </row>
    <row r="3573" spans="3:6" x14ac:dyDescent="0.3">
      <c r="C3573" s="1" t="str">
        <f>IF(C3572&lt;'Investment Calculator'!$C$8*'Investment Calculator'!$F$4,'SIP Schedule'!C3572+1,"")</f>
        <v/>
      </c>
      <c r="D3573" s="27" t="str">
        <f>IF(C3573&lt;='Investment Calculator'!$C$8*'Investment Calculator'!$F$4,'Investment Calculator'!$C$6,"")</f>
        <v/>
      </c>
      <c r="E3573" s="27" t="str">
        <f>IFERROR((F3572+D3573)*'Investment Calculator'!$C$7/'Investment Calculator'!$F$4,"")</f>
        <v/>
      </c>
      <c r="F3573" s="27" t="str">
        <f>IFERROR(ABS(FV('Investment Calculator'!$C$7/'Investment Calculator'!$F$4,'SIP Schedule'!C3573,'SIP Schedule'!D3573,,1)),"")</f>
        <v/>
      </c>
    </row>
    <row r="3574" spans="3:6" x14ac:dyDescent="0.3">
      <c r="C3574" s="1" t="str">
        <f>IF(C3573&lt;'Investment Calculator'!$C$8*'Investment Calculator'!$F$4,'SIP Schedule'!C3573+1,"")</f>
        <v/>
      </c>
      <c r="D3574" s="27" t="str">
        <f>IF(C3574&lt;='Investment Calculator'!$C$8*'Investment Calculator'!$F$4,'Investment Calculator'!$C$6,"")</f>
        <v/>
      </c>
      <c r="E3574" s="27" t="str">
        <f>IFERROR((F3573+D3574)*'Investment Calculator'!$C$7/'Investment Calculator'!$F$4,"")</f>
        <v/>
      </c>
      <c r="F3574" s="27" t="str">
        <f>IFERROR(ABS(FV('Investment Calculator'!$C$7/'Investment Calculator'!$F$4,'SIP Schedule'!C3574,'SIP Schedule'!D3574,,1)),"")</f>
        <v/>
      </c>
    </row>
    <row r="3575" spans="3:6" x14ac:dyDescent="0.3">
      <c r="C3575" s="1" t="str">
        <f>IF(C3574&lt;'Investment Calculator'!$C$8*'Investment Calculator'!$F$4,'SIP Schedule'!C3574+1,"")</f>
        <v/>
      </c>
      <c r="D3575" s="27" t="str">
        <f>IF(C3575&lt;='Investment Calculator'!$C$8*'Investment Calculator'!$F$4,'Investment Calculator'!$C$6,"")</f>
        <v/>
      </c>
      <c r="E3575" s="27" t="str">
        <f>IFERROR((F3574+D3575)*'Investment Calculator'!$C$7/'Investment Calculator'!$F$4,"")</f>
        <v/>
      </c>
      <c r="F3575" s="27" t="str">
        <f>IFERROR(ABS(FV('Investment Calculator'!$C$7/'Investment Calculator'!$F$4,'SIP Schedule'!C3575,'SIP Schedule'!D3575,,1)),"")</f>
        <v/>
      </c>
    </row>
    <row r="3576" spans="3:6" x14ac:dyDescent="0.3">
      <c r="C3576" s="1" t="str">
        <f>IF(C3575&lt;'Investment Calculator'!$C$8*'Investment Calculator'!$F$4,'SIP Schedule'!C3575+1,"")</f>
        <v/>
      </c>
      <c r="D3576" s="27" t="str">
        <f>IF(C3576&lt;='Investment Calculator'!$C$8*'Investment Calculator'!$F$4,'Investment Calculator'!$C$6,"")</f>
        <v/>
      </c>
      <c r="E3576" s="27" t="str">
        <f>IFERROR((F3575+D3576)*'Investment Calculator'!$C$7/'Investment Calculator'!$F$4,"")</f>
        <v/>
      </c>
      <c r="F3576" s="27" t="str">
        <f>IFERROR(ABS(FV('Investment Calculator'!$C$7/'Investment Calculator'!$F$4,'SIP Schedule'!C3576,'SIP Schedule'!D3576,,1)),"")</f>
        <v/>
      </c>
    </row>
    <row r="3577" spans="3:6" x14ac:dyDescent="0.3">
      <c r="C3577" s="1" t="str">
        <f>IF(C3576&lt;'Investment Calculator'!$C$8*'Investment Calculator'!$F$4,'SIP Schedule'!C3576+1,"")</f>
        <v/>
      </c>
      <c r="D3577" s="27" t="str">
        <f>IF(C3577&lt;='Investment Calculator'!$C$8*'Investment Calculator'!$F$4,'Investment Calculator'!$C$6,"")</f>
        <v/>
      </c>
      <c r="E3577" s="27" t="str">
        <f>IFERROR((F3576+D3577)*'Investment Calculator'!$C$7/'Investment Calculator'!$F$4,"")</f>
        <v/>
      </c>
      <c r="F3577" s="27" t="str">
        <f>IFERROR(ABS(FV('Investment Calculator'!$C$7/'Investment Calculator'!$F$4,'SIP Schedule'!C3577,'SIP Schedule'!D3577,,1)),"")</f>
        <v/>
      </c>
    </row>
    <row r="3578" spans="3:6" x14ac:dyDescent="0.3">
      <c r="C3578" s="1" t="str">
        <f>IF(C3577&lt;'Investment Calculator'!$C$8*'Investment Calculator'!$F$4,'SIP Schedule'!C3577+1,"")</f>
        <v/>
      </c>
      <c r="D3578" s="27" t="str">
        <f>IF(C3578&lt;='Investment Calculator'!$C$8*'Investment Calculator'!$F$4,'Investment Calculator'!$C$6,"")</f>
        <v/>
      </c>
      <c r="E3578" s="27" t="str">
        <f>IFERROR((F3577+D3578)*'Investment Calculator'!$C$7/'Investment Calculator'!$F$4,"")</f>
        <v/>
      </c>
      <c r="F3578" s="27" t="str">
        <f>IFERROR(ABS(FV('Investment Calculator'!$C$7/'Investment Calculator'!$F$4,'SIP Schedule'!C3578,'SIP Schedule'!D3578,,1)),"")</f>
        <v/>
      </c>
    </row>
    <row r="3579" spans="3:6" x14ac:dyDescent="0.3">
      <c r="C3579" s="1" t="str">
        <f>IF(C3578&lt;'Investment Calculator'!$C$8*'Investment Calculator'!$F$4,'SIP Schedule'!C3578+1,"")</f>
        <v/>
      </c>
      <c r="D3579" s="27" t="str">
        <f>IF(C3579&lt;='Investment Calculator'!$C$8*'Investment Calculator'!$F$4,'Investment Calculator'!$C$6,"")</f>
        <v/>
      </c>
      <c r="E3579" s="27" t="str">
        <f>IFERROR((F3578+D3579)*'Investment Calculator'!$C$7/'Investment Calculator'!$F$4,"")</f>
        <v/>
      </c>
      <c r="F3579" s="27" t="str">
        <f>IFERROR(ABS(FV('Investment Calculator'!$C$7/'Investment Calculator'!$F$4,'SIP Schedule'!C3579,'SIP Schedule'!D3579,,1)),"")</f>
        <v/>
      </c>
    </row>
    <row r="3580" spans="3:6" x14ac:dyDescent="0.3">
      <c r="C3580" s="1" t="str">
        <f>IF(C3579&lt;'Investment Calculator'!$C$8*'Investment Calculator'!$F$4,'SIP Schedule'!C3579+1,"")</f>
        <v/>
      </c>
      <c r="D3580" s="27" t="str">
        <f>IF(C3580&lt;='Investment Calculator'!$C$8*'Investment Calculator'!$F$4,'Investment Calculator'!$C$6,"")</f>
        <v/>
      </c>
      <c r="E3580" s="27" t="str">
        <f>IFERROR((F3579+D3580)*'Investment Calculator'!$C$7/'Investment Calculator'!$F$4,"")</f>
        <v/>
      </c>
      <c r="F3580" s="27" t="str">
        <f>IFERROR(ABS(FV('Investment Calculator'!$C$7/'Investment Calculator'!$F$4,'SIP Schedule'!C3580,'SIP Schedule'!D3580,,1)),"")</f>
        <v/>
      </c>
    </row>
    <row r="3581" spans="3:6" x14ac:dyDescent="0.3">
      <c r="C3581" s="1" t="str">
        <f>IF(C3580&lt;'Investment Calculator'!$C$8*'Investment Calculator'!$F$4,'SIP Schedule'!C3580+1,"")</f>
        <v/>
      </c>
      <c r="D3581" s="27" t="str">
        <f>IF(C3581&lt;='Investment Calculator'!$C$8*'Investment Calculator'!$F$4,'Investment Calculator'!$C$6,"")</f>
        <v/>
      </c>
      <c r="E3581" s="27" t="str">
        <f>IFERROR((F3580+D3581)*'Investment Calculator'!$C$7/'Investment Calculator'!$F$4,"")</f>
        <v/>
      </c>
      <c r="F3581" s="27" t="str">
        <f>IFERROR(ABS(FV('Investment Calculator'!$C$7/'Investment Calculator'!$F$4,'SIP Schedule'!C3581,'SIP Schedule'!D3581,,1)),"")</f>
        <v/>
      </c>
    </row>
    <row r="3582" spans="3:6" x14ac:dyDescent="0.3">
      <c r="C3582" s="1" t="str">
        <f>IF(C3581&lt;'Investment Calculator'!$C$8*'Investment Calculator'!$F$4,'SIP Schedule'!C3581+1,"")</f>
        <v/>
      </c>
      <c r="D3582" s="27" t="str">
        <f>IF(C3582&lt;='Investment Calculator'!$C$8*'Investment Calculator'!$F$4,'Investment Calculator'!$C$6,"")</f>
        <v/>
      </c>
      <c r="E3582" s="27" t="str">
        <f>IFERROR((F3581+D3582)*'Investment Calculator'!$C$7/'Investment Calculator'!$F$4,"")</f>
        <v/>
      </c>
      <c r="F3582" s="27" t="str">
        <f>IFERROR(ABS(FV('Investment Calculator'!$C$7/'Investment Calculator'!$F$4,'SIP Schedule'!C3582,'SIP Schedule'!D3582,,1)),"")</f>
        <v/>
      </c>
    </row>
    <row r="3583" spans="3:6" x14ac:dyDescent="0.3">
      <c r="C3583" s="1" t="str">
        <f>IF(C3582&lt;'Investment Calculator'!$C$8*'Investment Calculator'!$F$4,'SIP Schedule'!C3582+1,"")</f>
        <v/>
      </c>
      <c r="D3583" s="27" t="str">
        <f>IF(C3583&lt;='Investment Calculator'!$C$8*'Investment Calculator'!$F$4,'Investment Calculator'!$C$6,"")</f>
        <v/>
      </c>
      <c r="E3583" s="27" t="str">
        <f>IFERROR((F3582+D3583)*'Investment Calculator'!$C$7/'Investment Calculator'!$F$4,"")</f>
        <v/>
      </c>
      <c r="F3583" s="27" t="str">
        <f>IFERROR(ABS(FV('Investment Calculator'!$C$7/'Investment Calculator'!$F$4,'SIP Schedule'!C3583,'SIP Schedule'!D3583,,1)),"")</f>
        <v/>
      </c>
    </row>
    <row r="3584" spans="3:6" x14ac:dyDescent="0.3">
      <c r="C3584" s="1" t="str">
        <f>IF(C3583&lt;'Investment Calculator'!$C$8*'Investment Calculator'!$F$4,'SIP Schedule'!C3583+1,"")</f>
        <v/>
      </c>
      <c r="D3584" s="27" t="str">
        <f>IF(C3584&lt;='Investment Calculator'!$C$8*'Investment Calculator'!$F$4,'Investment Calculator'!$C$6,"")</f>
        <v/>
      </c>
      <c r="E3584" s="27" t="str">
        <f>IFERROR((F3583+D3584)*'Investment Calculator'!$C$7/'Investment Calculator'!$F$4,"")</f>
        <v/>
      </c>
      <c r="F3584" s="27" t="str">
        <f>IFERROR(ABS(FV('Investment Calculator'!$C$7/'Investment Calculator'!$F$4,'SIP Schedule'!C3584,'SIP Schedule'!D3584,,1)),"")</f>
        <v/>
      </c>
    </row>
    <row r="3585" spans="3:6" x14ac:dyDescent="0.3">
      <c r="C3585" s="1" t="str">
        <f>IF(C3584&lt;'Investment Calculator'!$C$8*'Investment Calculator'!$F$4,'SIP Schedule'!C3584+1,"")</f>
        <v/>
      </c>
      <c r="D3585" s="27" t="str">
        <f>IF(C3585&lt;='Investment Calculator'!$C$8*'Investment Calculator'!$F$4,'Investment Calculator'!$C$6,"")</f>
        <v/>
      </c>
      <c r="E3585" s="27" t="str">
        <f>IFERROR((F3584+D3585)*'Investment Calculator'!$C$7/'Investment Calculator'!$F$4,"")</f>
        <v/>
      </c>
      <c r="F3585" s="27" t="str">
        <f>IFERROR(ABS(FV('Investment Calculator'!$C$7/'Investment Calculator'!$F$4,'SIP Schedule'!C3585,'SIP Schedule'!D3585,,1)),"")</f>
        <v/>
      </c>
    </row>
    <row r="3586" spans="3:6" x14ac:dyDescent="0.3">
      <c r="C3586" s="1" t="str">
        <f>IF(C3585&lt;'Investment Calculator'!$C$8*'Investment Calculator'!$F$4,'SIP Schedule'!C3585+1,"")</f>
        <v/>
      </c>
      <c r="D3586" s="27" t="str">
        <f>IF(C3586&lt;='Investment Calculator'!$C$8*'Investment Calculator'!$F$4,'Investment Calculator'!$C$6,"")</f>
        <v/>
      </c>
      <c r="E3586" s="27" t="str">
        <f>IFERROR((F3585+D3586)*'Investment Calculator'!$C$7/'Investment Calculator'!$F$4,"")</f>
        <v/>
      </c>
      <c r="F3586" s="27" t="str">
        <f>IFERROR(ABS(FV('Investment Calculator'!$C$7/'Investment Calculator'!$F$4,'SIP Schedule'!C3586,'SIP Schedule'!D3586,,1)),"")</f>
        <v/>
      </c>
    </row>
    <row r="3587" spans="3:6" x14ac:dyDescent="0.3">
      <c r="C3587" s="1" t="str">
        <f>IF(C3586&lt;'Investment Calculator'!$C$8*'Investment Calculator'!$F$4,'SIP Schedule'!C3586+1,"")</f>
        <v/>
      </c>
      <c r="D3587" s="27" t="str">
        <f>IF(C3587&lt;='Investment Calculator'!$C$8*'Investment Calculator'!$F$4,'Investment Calculator'!$C$6,"")</f>
        <v/>
      </c>
      <c r="E3587" s="27" t="str">
        <f>IFERROR((F3586+D3587)*'Investment Calculator'!$C$7/'Investment Calculator'!$F$4,"")</f>
        <v/>
      </c>
      <c r="F3587" s="27" t="str">
        <f>IFERROR(ABS(FV('Investment Calculator'!$C$7/'Investment Calculator'!$F$4,'SIP Schedule'!C3587,'SIP Schedule'!D3587,,1)),"")</f>
        <v/>
      </c>
    </row>
    <row r="3588" spans="3:6" x14ac:dyDescent="0.3">
      <c r="C3588" s="1" t="str">
        <f>IF(C3587&lt;'Investment Calculator'!$C$8*'Investment Calculator'!$F$4,'SIP Schedule'!C3587+1,"")</f>
        <v/>
      </c>
      <c r="D3588" s="27" t="str">
        <f>IF(C3588&lt;='Investment Calculator'!$C$8*'Investment Calculator'!$F$4,'Investment Calculator'!$C$6,"")</f>
        <v/>
      </c>
      <c r="E3588" s="27" t="str">
        <f>IFERROR((F3587+D3588)*'Investment Calculator'!$C$7/'Investment Calculator'!$F$4,"")</f>
        <v/>
      </c>
      <c r="F3588" s="27" t="str">
        <f>IFERROR(ABS(FV('Investment Calculator'!$C$7/'Investment Calculator'!$F$4,'SIP Schedule'!C3588,'SIP Schedule'!D3588,,1)),"")</f>
        <v/>
      </c>
    </row>
    <row r="3589" spans="3:6" x14ac:dyDescent="0.3">
      <c r="C3589" s="1" t="str">
        <f>IF(C3588&lt;'Investment Calculator'!$C$8*'Investment Calculator'!$F$4,'SIP Schedule'!C3588+1,"")</f>
        <v/>
      </c>
      <c r="D3589" s="27" t="str">
        <f>IF(C3589&lt;='Investment Calculator'!$C$8*'Investment Calculator'!$F$4,'Investment Calculator'!$C$6,"")</f>
        <v/>
      </c>
      <c r="E3589" s="27" t="str">
        <f>IFERROR((F3588+D3589)*'Investment Calculator'!$C$7/'Investment Calculator'!$F$4,"")</f>
        <v/>
      </c>
      <c r="F3589" s="27" t="str">
        <f>IFERROR(ABS(FV('Investment Calculator'!$C$7/'Investment Calculator'!$F$4,'SIP Schedule'!C3589,'SIP Schedule'!D3589,,1)),"")</f>
        <v/>
      </c>
    </row>
    <row r="3590" spans="3:6" x14ac:dyDescent="0.3">
      <c r="C3590" s="1" t="str">
        <f>IF(C3589&lt;'Investment Calculator'!$C$8*'Investment Calculator'!$F$4,'SIP Schedule'!C3589+1,"")</f>
        <v/>
      </c>
      <c r="D3590" s="27" t="str">
        <f>IF(C3590&lt;='Investment Calculator'!$C$8*'Investment Calculator'!$F$4,'Investment Calculator'!$C$6,"")</f>
        <v/>
      </c>
      <c r="E3590" s="27" t="str">
        <f>IFERROR((F3589+D3590)*'Investment Calculator'!$C$7/'Investment Calculator'!$F$4,"")</f>
        <v/>
      </c>
      <c r="F3590" s="27" t="str">
        <f>IFERROR(ABS(FV('Investment Calculator'!$C$7/'Investment Calculator'!$F$4,'SIP Schedule'!C3590,'SIP Schedule'!D3590,,1)),"")</f>
        <v/>
      </c>
    </row>
    <row r="3591" spans="3:6" x14ac:dyDescent="0.3">
      <c r="C3591" s="1" t="str">
        <f>IF(C3590&lt;'Investment Calculator'!$C$8*'Investment Calculator'!$F$4,'SIP Schedule'!C3590+1,"")</f>
        <v/>
      </c>
      <c r="D3591" s="27" t="str">
        <f>IF(C3591&lt;='Investment Calculator'!$C$8*'Investment Calculator'!$F$4,'Investment Calculator'!$C$6,"")</f>
        <v/>
      </c>
      <c r="E3591" s="27" t="str">
        <f>IFERROR((F3590+D3591)*'Investment Calculator'!$C$7/'Investment Calculator'!$F$4,"")</f>
        <v/>
      </c>
      <c r="F3591" s="27" t="str">
        <f>IFERROR(ABS(FV('Investment Calculator'!$C$7/'Investment Calculator'!$F$4,'SIP Schedule'!C3591,'SIP Schedule'!D3591,,1)),"")</f>
        <v/>
      </c>
    </row>
    <row r="3592" spans="3:6" x14ac:dyDescent="0.3">
      <c r="C3592" s="1" t="str">
        <f>IF(C3591&lt;'Investment Calculator'!$C$8*'Investment Calculator'!$F$4,'SIP Schedule'!C3591+1,"")</f>
        <v/>
      </c>
      <c r="D3592" s="27" t="str">
        <f>IF(C3592&lt;='Investment Calculator'!$C$8*'Investment Calculator'!$F$4,'Investment Calculator'!$C$6,"")</f>
        <v/>
      </c>
      <c r="E3592" s="27" t="str">
        <f>IFERROR((F3591+D3592)*'Investment Calculator'!$C$7/'Investment Calculator'!$F$4,"")</f>
        <v/>
      </c>
      <c r="F3592" s="27" t="str">
        <f>IFERROR(ABS(FV('Investment Calculator'!$C$7/'Investment Calculator'!$F$4,'SIP Schedule'!C3592,'SIP Schedule'!D3592,,1)),"")</f>
        <v/>
      </c>
    </row>
    <row r="3593" spans="3:6" x14ac:dyDescent="0.3">
      <c r="C3593" s="1" t="str">
        <f>IF(C3592&lt;'Investment Calculator'!$C$8*'Investment Calculator'!$F$4,'SIP Schedule'!C3592+1,"")</f>
        <v/>
      </c>
      <c r="D3593" s="27" t="str">
        <f>IF(C3593&lt;='Investment Calculator'!$C$8*'Investment Calculator'!$F$4,'Investment Calculator'!$C$6,"")</f>
        <v/>
      </c>
      <c r="E3593" s="27" t="str">
        <f>IFERROR((F3592+D3593)*'Investment Calculator'!$C$7/'Investment Calculator'!$F$4,"")</f>
        <v/>
      </c>
      <c r="F3593" s="27" t="str">
        <f>IFERROR(ABS(FV('Investment Calculator'!$C$7/'Investment Calculator'!$F$4,'SIP Schedule'!C3593,'SIP Schedule'!D3593,,1)),"")</f>
        <v/>
      </c>
    </row>
    <row r="3594" spans="3:6" x14ac:dyDescent="0.3">
      <c r="C3594" s="1" t="str">
        <f>IF(C3593&lt;'Investment Calculator'!$C$8*'Investment Calculator'!$F$4,'SIP Schedule'!C3593+1,"")</f>
        <v/>
      </c>
      <c r="D3594" s="27" t="str">
        <f>IF(C3594&lt;='Investment Calculator'!$C$8*'Investment Calculator'!$F$4,'Investment Calculator'!$C$6,"")</f>
        <v/>
      </c>
      <c r="E3594" s="27" t="str">
        <f>IFERROR((F3593+D3594)*'Investment Calculator'!$C$7/'Investment Calculator'!$F$4,"")</f>
        <v/>
      </c>
      <c r="F3594" s="27" t="str">
        <f>IFERROR(ABS(FV('Investment Calculator'!$C$7/'Investment Calculator'!$F$4,'SIP Schedule'!C3594,'SIP Schedule'!D3594,,1)),"")</f>
        <v/>
      </c>
    </row>
    <row r="3595" spans="3:6" x14ac:dyDescent="0.3">
      <c r="C3595" s="1" t="str">
        <f>IF(C3594&lt;'Investment Calculator'!$C$8*'Investment Calculator'!$F$4,'SIP Schedule'!C3594+1,"")</f>
        <v/>
      </c>
      <c r="D3595" s="27" t="str">
        <f>IF(C3595&lt;='Investment Calculator'!$C$8*'Investment Calculator'!$F$4,'Investment Calculator'!$C$6,"")</f>
        <v/>
      </c>
      <c r="E3595" s="27" t="str">
        <f>IFERROR((F3594+D3595)*'Investment Calculator'!$C$7/'Investment Calculator'!$F$4,"")</f>
        <v/>
      </c>
      <c r="F3595" s="27" t="str">
        <f>IFERROR(ABS(FV('Investment Calculator'!$C$7/'Investment Calculator'!$F$4,'SIP Schedule'!C3595,'SIP Schedule'!D3595,,1)),"")</f>
        <v/>
      </c>
    </row>
    <row r="3596" spans="3:6" x14ac:dyDescent="0.3">
      <c r="C3596" s="1" t="str">
        <f>IF(C3595&lt;'Investment Calculator'!$C$8*'Investment Calculator'!$F$4,'SIP Schedule'!C3595+1,"")</f>
        <v/>
      </c>
      <c r="D3596" s="27" t="str">
        <f>IF(C3596&lt;='Investment Calculator'!$C$8*'Investment Calculator'!$F$4,'Investment Calculator'!$C$6,"")</f>
        <v/>
      </c>
      <c r="E3596" s="27" t="str">
        <f>IFERROR((F3595+D3596)*'Investment Calculator'!$C$7/'Investment Calculator'!$F$4,"")</f>
        <v/>
      </c>
      <c r="F3596" s="27" t="str">
        <f>IFERROR(ABS(FV('Investment Calculator'!$C$7/'Investment Calculator'!$F$4,'SIP Schedule'!C3596,'SIP Schedule'!D3596,,1)),"")</f>
        <v/>
      </c>
    </row>
    <row r="3597" spans="3:6" x14ac:dyDescent="0.3">
      <c r="C3597" s="1" t="str">
        <f>IF(C3596&lt;'Investment Calculator'!$C$8*'Investment Calculator'!$F$4,'SIP Schedule'!C3596+1,"")</f>
        <v/>
      </c>
      <c r="D3597" s="27" t="str">
        <f>IF(C3597&lt;='Investment Calculator'!$C$8*'Investment Calculator'!$F$4,'Investment Calculator'!$C$6,"")</f>
        <v/>
      </c>
      <c r="E3597" s="27" t="str">
        <f>IFERROR((F3596+D3597)*'Investment Calculator'!$C$7/'Investment Calculator'!$F$4,"")</f>
        <v/>
      </c>
      <c r="F3597" s="27" t="str">
        <f>IFERROR(ABS(FV('Investment Calculator'!$C$7/'Investment Calculator'!$F$4,'SIP Schedule'!C3597,'SIP Schedule'!D3597,,1)),"")</f>
        <v/>
      </c>
    </row>
    <row r="3598" spans="3:6" x14ac:dyDescent="0.3">
      <c r="C3598" s="1" t="str">
        <f>IF(C3597&lt;'Investment Calculator'!$C$8*'Investment Calculator'!$F$4,'SIP Schedule'!C3597+1,"")</f>
        <v/>
      </c>
      <c r="D3598" s="27" t="str">
        <f>IF(C3598&lt;='Investment Calculator'!$C$8*'Investment Calculator'!$F$4,'Investment Calculator'!$C$6,"")</f>
        <v/>
      </c>
      <c r="E3598" s="27" t="str">
        <f>IFERROR((F3597+D3598)*'Investment Calculator'!$C$7/'Investment Calculator'!$F$4,"")</f>
        <v/>
      </c>
      <c r="F3598" s="27" t="str">
        <f>IFERROR(ABS(FV('Investment Calculator'!$C$7/'Investment Calculator'!$F$4,'SIP Schedule'!C3598,'SIP Schedule'!D3598,,1)),"")</f>
        <v/>
      </c>
    </row>
    <row r="3599" spans="3:6" x14ac:dyDescent="0.3">
      <c r="C3599" s="1" t="str">
        <f>IF(C3598&lt;'Investment Calculator'!$C$8*'Investment Calculator'!$F$4,'SIP Schedule'!C3598+1,"")</f>
        <v/>
      </c>
      <c r="D3599" s="27" t="str">
        <f>IF(C3599&lt;='Investment Calculator'!$C$8*'Investment Calculator'!$F$4,'Investment Calculator'!$C$6,"")</f>
        <v/>
      </c>
      <c r="E3599" s="27" t="str">
        <f>IFERROR((F3598+D3599)*'Investment Calculator'!$C$7/'Investment Calculator'!$F$4,"")</f>
        <v/>
      </c>
      <c r="F3599" s="27" t="str">
        <f>IFERROR(ABS(FV('Investment Calculator'!$C$7/'Investment Calculator'!$F$4,'SIP Schedule'!C3599,'SIP Schedule'!D3599,,1)),"")</f>
        <v/>
      </c>
    </row>
    <row r="3600" spans="3:6" x14ac:dyDescent="0.3">
      <c r="C3600" s="1" t="str">
        <f>IF(C3599&lt;'Investment Calculator'!$C$8*'Investment Calculator'!$F$4,'SIP Schedule'!C3599+1,"")</f>
        <v/>
      </c>
      <c r="D3600" s="27" t="str">
        <f>IF(C3600&lt;='Investment Calculator'!$C$8*'Investment Calculator'!$F$4,'Investment Calculator'!$C$6,"")</f>
        <v/>
      </c>
      <c r="E3600" s="27" t="str">
        <f>IFERROR((F3599+D3600)*'Investment Calculator'!$C$7/'Investment Calculator'!$F$4,"")</f>
        <v/>
      </c>
      <c r="F3600" s="27" t="str">
        <f>IFERROR(ABS(FV('Investment Calculator'!$C$7/'Investment Calculator'!$F$4,'SIP Schedule'!C3600,'SIP Schedule'!D3600,,1)),"")</f>
        <v/>
      </c>
    </row>
    <row r="3601" spans="3:6" x14ac:dyDescent="0.3">
      <c r="C3601" s="1" t="str">
        <f>IF(C3600&lt;'Investment Calculator'!$C$8*'Investment Calculator'!$F$4,'SIP Schedule'!C3600+1,"")</f>
        <v/>
      </c>
      <c r="D3601" s="27" t="str">
        <f>IF(C3601&lt;='Investment Calculator'!$C$8*'Investment Calculator'!$F$4,'Investment Calculator'!$C$6,"")</f>
        <v/>
      </c>
      <c r="E3601" s="27" t="str">
        <f>IFERROR((F3600+D3601)*'Investment Calculator'!$C$7/'Investment Calculator'!$F$4,"")</f>
        <v/>
      </c>
      <c r="F3601" s="27" t="str">
        <f>IFERROR(ABS(FV('Investment Calculator'!$C$7/'Investment Calculator'!$F$4,'SIP Schedule'!C3601,'SIP Schedule'!D3601,,1)),"")</f>
        <v/>
      </c>
    </row>
    <row r="3602" spans="3:6" x14ac:dyDescent="0.3">
      <c r="C3602" s="1" t="str">
        <f>IF(C3601&lt;'Investment Calculator'!$C$8*'Investment Calculator'!$F$4,'SIP Schedule'!C3601+1,"")</f>
        <v/>
      </c>
      <c r="D3602" s="27" t="str">
        <f>IF(C3602&lt;='Investment Calculator'!$C$8*'Investment Calculator'!$F$4,'Investment Calculator'!$C$6,"")</f>
        <v/>
      </c>
      <c r="E3602" s="27" t="str">
        <f>IFERROR((F3601+D3602)*'Investment Calculator'!$C$7/'Investment Calculator'!$F$4,"")</f>
        <v/>
      </c>
      <c r="F3602" s="27" t="str">
        <f>IFERROR(ABS(FV('Investment Calculator'!$C$7/'Investment Calculator'!$F$4,'SIP Schedule'!C3602,'SIP Schedule'!D3602,,1)),"")</f>
        <v/>
      </c>
    </row>
    <row r="3603" spans="3:6" x14ac:dyDescent="0.3">
      <c r="C3603" s="1" t="str">
        <f>IF(C3602&lt;'Investment Calculator'!$C$8*'Investment Calculator'!$F$4,'SIP Schedule'!C3602+1,"")</f>
        <v/>
      </c>
      <c r="D3603" s="27" t="str">
        <f>IF(C3603&lt;='Investment Calculator'!$C$8*'Investment Calculator'!$F$4,'Investment Calculator'!$C$6,"")</f>
        <v/>
      </c>
      <c r="E3603" s="27" t="str">
        <f>IFERROR((F3602+D3603)*'Investment Calculator'!$C$7/'Investment Calculator'!$F$4,"")</f>
        <v/>
      </c>
      <c r="F3603" s="27" t="str">
        <f>IFERROR(ABS(FV('Investment Calculator'!$C$7/'Investment Calculator'!$F$4,'SIP Schedule'!C3603,'SIP Schedule'!D3603,,1)),"")</f>
        <v/>
      </c>
    </row>
    <row r="3604" spans="3:6" x14ac:dyDescent="0.3">
      <c r="C3604" s="1" t="str">
        <f>IF(C3603&lt;'Investment Calculator'!$C$8*'Investment Calculator'!$F$4,'SIP Schedule'!C3603+1,"")</f>
        <v/>
      </c>
      <c r="D3604" s="27" t="str">
        <f>IF(C3604&lt;='Investment Calculator'!$C$8*'Investment Calculator'!$F$4,'Investment Calculator'!$C$6,"")</f>
        <v/>
      </c>
      <c r="E3604" s="27" t="str">
        <f>IFERROR((F3603+D3604)*'Investment Calculator'!$C$7/'Investment Calculator'!$F$4,"")</f>
        <v/>
      </c>
      <c r="F3604" s="27" t="str">
        <f>IFERROR(ABS(FV('Investment Calculator'!$C$7/'Investment Calculator'!$F$4,'SIP Schedule'!C3604,'SIP Schedule'!D3604,,1)),"")</f>
        <v/>
      </c>
    </row>
    <row r="3605" spans="3:6" x14ac:dyDescent="0.3">
      <c r="C3605" s="1" t="str">
        <f>IF(C3604&lt;'Investment Calculator'!$C$8*'Investment Calculator'!$F$4,'SIP Schedule'!C3604+1,"")</f>
        <v/>
      </c>
      <c r="D3605" s="27" t="str">
        <f>IF(C3605&lt;='Investment Calculator'!$C$8*'Investment Calculator'!$F$4,'Investment Calculator'!$C$6,"")</f>
        <v/>
      </c>
      <c r="E3605" s="27" t="str">
        <f>IFERROR((F3604+D3605)*'Investment Calculator'!$C$7/'Investment Calculator'!$F$4,"")</f>
        <v/>
      </c>
      <c r="F3605" s="27" t="str">
        <f>IFERROR(ABS(FV('Investment Calculator'!$C$7/'Investment Calculator'!$F$4,'SIP Schedule'!C3605,'SIP Schedule'!D3605,,1)),"")</f>
        <v/>
      </c>
    </row>
    <row r="3606" spans="3:6" x14ac:dyDescent="0.3">
      <c r="C3606" s="1" t="str">
        <f>IF(C3605&lt;'Investment Calculator'!$C$8*'Investment Calculator'!$F$4,'SIP Schedule'!C3605+1,"")</f>
        <v/>
      </c>
      <c r="D3606" s="27" t="str">
        <f>IF(C3606&lt;='Investment Calculator'!$C$8*'Investment Calculator'!$F$4,'Investment Calculator'!$C$6,"")</f>
        <v/>
      </c>
      <c r="E3606" s="27" t="str">
        <f>IFERROR((F3605+D3606)*'Investment Calculator'!$C$7/'Investment Calculator'!$F$4,"")</f>
        <v/>
      </c>
      <c r="F3606" s="27" t="str">
        <f>IFERROR(ABS(FV('Investment Calculator'!$C$7/'Investment Calculator'!$F$4,'SIP Schedule'!C3606,'SIP Schedule'!D3606,,1)),"")</f>
        <v/>
      </c>
    </row>
    <row r="3607" spans="3:6" x14ac:dyDescent="0.3">
      <c r="C3607" s="1" t="str">
        <f>IF(C3606&lt;'Investment Calculator'!$C$8*'Investment Calculator'!$F$4,'SIP Schedule'!C3606+1,"")</f>
        <v/>
      </c>
      <c r="D3607" s="27" t="str">
        <f>IF(C3607&lt;='Investment Calculator'!$C$8*'Investment Calculator'!$F$4,'Investment Calculator'!$C$6,"")</f>
        <v/>
      </c>
      <c r="E3607" s="27" t="str">
        <f>IFERROR((F3606+D3607)*'Investment Calculator'!$C$7/'Investment Calculator'!$F$4,"")</f>
        <v/>
      </c>
      <c r="F3607" s="27" t="str">
        <f>IFERROR(ABS(FV('Investment Calculator'!$C$7/'Investment Calculator'!$F$4,'SIP Schedule'!C3607,'SIP Schedule'!D3607,,1)),"")</f>
        <v/>
      </c>
    </row>
    <row r="3608" spans="3:6" x14ac:dyDescent="0.3">
      <c r="C3608" s="1" t="str">
        <f>IF(C3607&lt;'Investment Calculator'!$C$8*'Investment Calculator'!$F$4,'SIP Schedule'!C3607+1,"")</f>
        <v/>
      </c>
      <c r="D3608" s="27" t="str">
        <f>IF(C3608&lt;='Investment Calculator'!$C$8*'Investment Calculator'!$F$4,'Investment Calculator'!$C$6,"")</f>
        <v/>
      </c>
      <c r="E3608" s="27" t="str">
        <f>IFERROR((F3607+D3608)*'Investment Calculator'!$C$7/'Investment Calculator'!$F$4,"")</f>
        <v/>
      </c>
      <c r="F3608" s="27" t="str">
        <f>IFERROR(ABS(FV('Investment Calculator'!$C$7/'Investment Calculator'!$F$4,'SIP Schedule'!C3608,'SIP Schedule'!D3608,,1)),"")</f>
        <v/>
      </c>
    </row>
    <row r="3609" spans="3:6" x14ac:dyDescent="0.3">
      <c r="C3609" s="1" t="str">
        <f>IF(C3608&lt;'Investment Calculator'!$C$8*'Investment Calculator'!$F$4,'SIP Schedule'!C3608+1,"")</f>
        <v/>
      </c>
      <c r="D3609" s="27" t="str">
        <f>IF(C3609&lt;='Investment Calculator'!$C$8*'Investment Calculator'!$F$4,'Investment Calculator'!$C$6,"")</f>
        <v/>
      </c>
      <c r="E3609" s="27" t="str">
        <f>IFERROR((F3608+D3609)*'Investment Calculator'!$C$7/'Investment Calculator'!$F$4,"")</f>
        <v/>
      </c>
      <c r="F3609" s="27" t="str">
        <f>IFERROR(ABS(FV('Investment Calculator'!$C$7/'Investment Calculator'!$F$4,'SIP Schedule'!C3609,'SIP Schedule'!D3609,,1)),"")</f>
        <v/>
      </c>
    </row>
    <row r="3610" spans="3:6" x14ac:dyDescent="0.3">
      <c r="C3610" s="1" t="str">
        <f>IF(C3609&lt;'Investment Calculator'!$C$8*'Investment Calculator'!$F$4,'SIP Schedule'!C3609+1,"")</f>
        <v/>
      </c>
      <c r="D3610" s="27" t="str">
        <f>IF(C3610&lt;='Investment Calculator'!$C$8*'Investment Calculator'!$F$4,'Investment Calculator'!$C$6,"")</f>
        <v/>
      </c>
      <c r="E3610" s="27" t="str">
        <f>IFERROR((F3609+D3610)*'Investment Calculator'!$C$7/'Investment Calculator'!$F$4,"")</f>
        <v/>
      </c>
      <c r="F3610" s="27" t="str">
        <f>IFERROR(ABS(FV('Investment Calculator'!$C$7/'Investment Calculator'!$F$4,'SIP Schedule'!C3610,'SIP Schedule'!D3610,,1)),"")</f>
        <v/>
      </c>
    </row>
    <row r="3611" spans="3:6" x14ac:dyDescent="0.3">
      <c r="C3611" s="1" t="str">
        <f>IF(C3610&lt;'Investment Calculator'!$C$8*'Investment Calculator'!$F$4,'SIP Schedule'!C3610+1,"")</f>
        <v/>
      </c>
      <c r="D3611" s="27" t="str">
        <f>IF(C3611&lt;='Investment Calculator'!$C$8*'Investment Calculator'!$F$4,'Investment Calculator'!$C$6,"")</f>
        <v/>
      </c>
      <c r="E3611" s="27" t="str">
        <f>IFERROR((F3610+D3611)*'Investment Calculator'!$C$7/'Investment Calculator'!$F$4,"")</f>
        <v/>
      </c>
      <c r="F3611" s="27" t="str">
        <f>IFERROR(ABS(FV('Investment Calculator'!$C$7/'Investment Calculator'!$F$4,'SIP Schedule'!C3611,'SIP Schedule'!D3611,,1)),"")</f>
        <v/>
      </c>
    </row>
    <row r="3612" spans="3:6" x14ac:dyDescent="0.3">
      <c r="C3612" s="1" t="str">
        <f>IF(C3611&lt;'Investment Calculator'!$C$8*'Investment Calculator'!$F$4,'SIP Schedule'!C3611+1,"")</f>
        <v/>
      </c>
      <c r="D3612" s="27" t="str">
        <f>IF(C3612&lt;='Investment Calculator'!$C$8*'Investment Calculator'!$F$4,'Investment Calculator'!$C$6,"")</f>
        <v/>
      </c>
      <c r="E3612" s="27" t="str">
        <f>IFERROR((F3611+D3612)*'Investment Calculator'!$C$7/'Investment Calculator'!$F$4,"")</f>
        <v/>
      </c>
      <c r="F3612" s="27" t="str">
        <f>IFERROR(ABS(FV('Investment Calculator'!$C$7/'Investment Calculator'!$F$4,'SIP Schedule'!C3612,'SIP Schedule'!D3612,,1)),"")</f>
        <v/>
      </c>
    </row>
    <row r="3613" spans="3:6" x14ac:dyDescent="0.3">
      <c r="C3613" s="1" t="str">
        <f>IF(C3612&lt;'Investment Calculator'!$C$8*'Investment Calculator'!$F$4,'SIP Schedule'!C3612+1,"")</f>
        <v/>
      </c>
      <c r="D3613" s="27" t="str">
        <f>IF(C3613&lt;='Investment Calculator'!$C$8*'Investment Calculator'!$F$4,'Investment Calculator'!$C$6,"")</f>
        <v/>
      </c>
      <c r="E3613" s="27" t="str">
        <f>IFERROR((F3612+D3613)*'Investment Calculator'!$C$7/'Investment Calculator'!$F$4,"")</f>
        <v/>
      </c>
      <c r="F3613" s="27" t="str">
        <f>IFERROR(ABS(FV('Investment Calculator'!$C$7/'Investment Calculator'!$F$4,'SIP Schedule'!C3613,'SIP Schedule'!D3613,,1)),"")</f>
        <v/>
      </c>
    </row>
    <row r="3614" spans="3:6" x14ac:dyDescent="0.3">
      <c r="C3614" s="1" t="str">
        <f>IF(C3613&lt;'Investment Calculator'!$C$8*'Investment Calculator'!$F$4,'SIP Schedule'!C3613+1,"")</f>
        <v/>
      </c>
      <c r="D3614" s="27" t="str">
        <f>IF(C3614&lt;='Investment Calculator'!$C$8*'Investment Calculator'!$F$4,'Investment Calculator'!$C$6,"")</f>
        <v/>
      </c>
      <c r="E3614" s="27" t="str">
        <f>IFERROR((F3613+D3614)*'Investment Calculator'!$C$7/'Investment Calculator'!$F$4,"")</f>
        <v/>
      </c>
      <c r="F3614" s="27" t="str">
        <f>IFERROR(ABS(FV('Investment Calculator'!$C$7/'Investment Calculator'!$F$4,'SIP Schedule'!C3614,'SIP Schedule'!D3614,,1)),"")</f>
        <v/>
      </c>
    </row>
    <row r="3615" spans="3:6" x14ac:dyDescent="0.3">
      <c r="C3615" s="1" t="str">
        <f>IF(C3614&lt;'Investment Calculator'!$C$8*'Investment Calculator'!$F$4,'SIP Schedule'!C3614+1,"")</f>
        <v/>
      </c>
      <c r="D3615" s="27" t="str">
        <f>IF(C3615&lt;='Investment Calculator'!$C$8*'Investment Calculator'!$F$4,'Investment Calculator'!$C$6,"")</f>
        <v/>
      </c>
      <c r="E3615" s="27" t="str">
        <f>IFERROR((F3614+D3615)*'Investment Calculator'!$C$7/'Investment Calculator'!$F$4,"")</f>
        <v/>
      </c>
      <c r="F3615" s="27" t="str">
        <f>IFERROR(ABS(FV('Investment Calculator'!$C$7/'Investment Calculator'!$F$4,'SIP Schedule'!C3615,'SIP Schedule'!D3615,,1)),"")</f>
        <v/>
      </c>
    </row>
    <row r="3616" spans="3:6" x14ac:dyDescent="0.3">
      <c r="C3616" s="1" t="str">
        <f>IF(C3615&lt;'Investment Calculator'!$C$8*'Investment Calculator'!$F$4,'SIP Schedule'!C3615+1,"")</f>
        <v/>
      </c>
      <c r="D3616" s="27" t="str">
        <f>IF(C3616&lt;='Investment Calculator'!$C$8*'Investment Calculator'!$F$4,'Investment Calculator'!$C$6,"")</f>
        <v/>
      </c>
      <c r="E3616" s="27" t="str">
        <f>IFERROR((F3615+D3616)*'Investment Calculator'!$C$7/'Investment Calculator'!$F$4,"")</f>
        <v/>
      </c>
      <c r="F3616" s="27" t="str">
        <f>IFERROR(ABS(FV('Investment Calculator'!$C$7/'Investment Calculator'!$F$4,'SIP Schedule'!C3616,'SIP Schedule'!D3616,,1)),"")</f>
        <v/>
      </c>
    </row>
    <row r="3617" spans="3:6" x14ac:dyDescent="0.3">
      <c r="C3617" s="1" t="str">
        <f>IF(C3616&lt;'Investment Calculator'!$C$8*'Investment Calculator'!$F$4,'SIP Schedule'!C3616+1,"")</f>
        <v/>
      </c>
      <c r="D3617" s="27" t="str">
        <f>IF(C3617&lt;='Investment Calculator'!$C$8*'Investment Calculator'!$F$4,'Investment Calculator'!$C$6,"")</f>
        <v/>
      </c>
      <c r="E3617" s="27" t="str">
        <f>IFERROR((F3616+D3617)*'Investment Calculator'!$C$7/'Investment Calculator'!$F$4,"")</f>
        <v/>
      </c>
      <c r="F3617" s="27" t="str">
        <f>IFERROR(ABS(FV('Investment Calculator'!$C$7/'Investment Calculator'!$F$4,'SIP Schedule'!C3617,'SIP Schedule'!D3617,,1)),"")</f>
        <v/>
      </c>
    </row>
    <row r="3618" spans="3:6" x14ac:dyDescent="0.3">
      <c r="C3618" s="1" t="str">
        <f>IF(C3617&lt;'Investment Calculator'!$C$8*'Investment Calculator'!$F$4,'SIP Schedule'!C3617+1,"")</f>
        <v/>
      </c>
      <c r="D3618" s="27" t="str">
        <f>IF(C3618&lt;='Investment Calculator'!$C$8*'Investment Calculator'!$F$4,'Investment Calculator'!$C$6,"")</f>
        <v/>
      </c>
      <c r="E3618" s="27" t="str">
        <f>IFERROR((F3617+D3618)*'Investment Calculator'!$C$7/'Investment Calculator'!$F$4,"")</f>
        <v/>
      </c>
      <c r="F3618" s="27" t="str">
        <f>IFERROR(ABS(FV('Investment Calculator'!$C$7/'Investment Calculator'!$F$4,'SIP Schedule'!C3618,'SIP Schedule'!D3618,,1)),"")</f>
        <v/>
      </c>
    </row>
    <row r="3619" spans="3:6" x14ac:dyDescent="0.3">
      <c r="C3619" s="1" t="str">
        <f>IF(C3618&lt;'Investment Calculator'!$C$8*'Investment Calculator'!$F$4,'SIP Schedule'!C3618+1,"")</f>
        <v/>
      </c>
      <c r="D3619" s="27" t="str">
        <f>IF(C3619&lt;='Investment Calculator'!$C$8*'Investment Calculator'!$F$4,'Investment Calculator'!$C$6,"")</f>
        <v/>
      </c>
      <c r="E3619" s="27" t="str">
        <f>IFERROR((F3618+D3619)*'Investment Calculator'!$C$7/'Investment Calculator'!$F$4,"")</f>
        <v/>
      </c>
      <c r="F3619" s="27" t="str">
        <f>IFERROR(ABS(FV('Investment Calculator'!$C$7/'Investment Calculator'!$F$4,'SIP Schedule'!C3619,'SIP Schedule'!D3619,,1)),"")</f>
        <v/>
      </c>
    </row>
    <row r="3620" spans="3:6" x14ac:dyDescent="0.3">
      <c r="C3620" s="1" t="str">
        <f>IF(C3619&lt;'Investment Calculator'!$C$8*'Investment Calculator'!$F$4,'SIP Schedule'!C3619+1,"")</f>
        <v/>
      </c>
      <c r="D3620" s="27" t="str">
        <f>IF(C3620&lt;='Investment Calculator'!$C$8*'Investment Calculator'!$F$4,'Investment Calculator'!$C$6,"")</f>
        <v/>
      </c>
      <c r="E3620" s="27" t="str">
        <f>IFERROR((F3619+D3620)*'Investment Calculator'!$C$7/'Investment Calculator'!$F$4,"")</f>
        <v/>
      </c>
      <c r="F3620" s="27" t="str">
        <f>IFERROR(ABS(FV('Investment Calculator'!$C$7/'Investment Calculator'!$F$4,'SIP Schedule'!C3620,'SIP Schedule'!D3620,,1)),"")</f>
        <v/>
      </c>
    </row>
    <row r="3621" spans="3:6" x14ac:dyDescent="0.3">
      <c r="C3621" s="1" t="str">
        <f>IF(C3620&lt;'Investment Calculator'!$C$8*'Investment Calculator'!$F$4,'SIP Schedule'!C3620+1,"")</f>
        <v/>
      </c>
      <c r="D3621" s="27" t="str">
        <f>IF(C3621&lt;='Investment Calculator'!$C$8*'Investment Calculator'!$F$4,'Investment Calculator'!$C$6,"")</f>
        <v/>
      </c>
      <c r="E3621" s="27" t="str">
        <f>IFERROR((F3620+D3621)*'Investment Calculator'!$C$7/'Investment Calculator'!$F$4,"")</f>
        <v/>
      </c>
      <c r="F3621" s="27" t="str">
        <f>IFERROR(ABS(FV('Investment Calculator'!$C$7/'Investment Calculator'!$F$4,'SIP Schedule'!C3621,'SIP Schedule'!D3621,,1)),"")</f>
        <v/>
      </c>
    </row>
    <row r="3622" spans="3:6" x14ac:dyDescent="0.3">
      <c r="C3622" s="1" t="str">
        <f>IF(C3621&lt;'Investment Calculator'!$C$8*'Investment Calculator'!$F$4,'SIP Schedule'!C3621+1,"")</f>
        <v/>
      </c>
      <c r="D3622" s="27" t="str">
        <f>IF(C3622&lt;='Investment Calculator'!$C$8*'Investment Calculator'!$F$4,'Investment Calculator'!$C$6,"")</f>
        <v/>
      </c>
      <c r="E3622" s="27" t="str">
        <f>IFERROR((F3621+D3622)*'Investment Calculator'!$C$7/'Investment Calculator'!$F$4,"")</f>
        <v/>
      </c>
      <c r="F3622" s="27" t="str">
        <f>IFERROR(ABS(FV('Investment Calculator'!$C$7/'Investment Calculator'!$F$4,'SIP Schedule'!C3622,'SIP Schedule'!D3622,,1)),"")</f>
        <v/>
      </c>
    </row>
    <row r="3623" spans="3:6" x14ac:dyDescent="0.3">
      <c r="C3623" s="1" t="str">
        <f>IF(C3622&lt;'Investment Calculator'!$C$8*'Investment Calculator'!$F$4,'SIP Schedule'!C3622+1,"")</f>
        <v/>
      </c>
      <c r="D3623" s="27" t="str">
        <f>IF(C3623&lt;='Investment Calculator'!$C$8*'Investment Calculator'!$F$4,'Investment Calculator'!$C$6,"")</f>
        <v/>
      </c>
      <c r="E3623" s="27" t="str">
        <f>IFERROR((F3622+D3623)*'Investment Calculator'!$C$7/'Investment Calculator'!$F$4,"")</f>
        <v/>
      </c>
      <c r="F3623" s="27" t="str">
        <f>IFERROR(ABS(FV('Investment Calculator'!$C$7/'Investment Calculator'!$F$4,'SIP Schedule'!C3623,'SIP Schedule'!D3623,,1)),"")</f>
        <v/>
      </c>
    </row>
    <row r="3624" spans="3:6" x14ac:dyDescent="0.3">
      <c r="C3624" s="1" t="str">
        <f>IF(C3623&lt;'Investment Calculator'!$C$8*'Investment Calculator'!$F$4,'SIP Schedule'!C3623+1,"")</f>
        <v/>
      </c>
      <c r="D3624" s="27" t="str">
        <f>IF(C3624&lt;='Investment Calculator'!$C$8*'Investment Calculator'!$F$4,'Investment Calculator'!$C$6,"")</f>
        <v/>
      </c>
      <c r="E3624" s="27" t="str">
        <f>IFERROR((F3623+D3624)*'Investment Calculator'!$C$7/'Investment Calculator'!$F$4,"")</f>
        <v/>
      </c>
      <c r="F3624" s="27" t="str">
        <f>IFERROR(ABS(FV('Investment Calculator'!$C$7/'Investment Calculator'!$F$4,'SIP Schedule'!C3624,'SIP Schedule'!D3624,,1)),"")</f>
        <v/>
      </c>
    </row>
    <row r="3625" spans="3:6" x14ac:dyDescent="0.3">
      <c r="C3625" s="1" t="str">
        <f>IF(C3624&lt;'Investment Calculator'!$C$8*'Investment Calculator'!$F$4,'SIP Schedule'!C3624+1,"")</f>
        <v/>
      </c>
      <c r="D3625" s="27" t="str">
        <f>IF(C3625&lt;='Investment Calculator'!$C$8*'Investment Calculator'!$F$4,'Investment Calculator'!$C$6,"")</f>
        <v/>
      </c>
      <c r="E3625" s="27" t="str">
        <f>IFERROR((F3624+D3625)*'Investment Calculator'!$C$7/'Investment Calculator'!$F$4,"")</f>
        <v/>
      </c>
      <c r="F3625" s="27" t="str">
        <f>IFERROR(ABS(FV('Investment Calculator'!$C$7/'Investment Calculator'!$F$4,'SIP Schedule'!C3625,'SIP Schedule'!D3625,,1)),"")</f>
        <v/>
      </c>
    </row>
    <row r="3626" spans="3:6" x14ac:dyDescent="0.3">
      <c r="C3626" s="1" t="str">
        <f>IF(C3625&lt;'Investment Calculator'!$C$8*'Investment Calculator'!$F$4,'SIP Schedule'!C3625+1,"")</f>
        <v/>
      </c>
      <c r="D3626" s="27" t="str">
        <f>IF(C3626&lt;='Investment Calculator'!$C$8*'Investment Calculator'!$F$4,'Investment Calculator'!$C$6,"")</f>
        <v/>
      </c>
      <c r="E3626" s="27" t="str">
        <f>IFERROR((F3625+D3626)*'Investment Calculator'!$C$7/'Investment Calculator'!$F$4,"")</f>
        <v/>
      </c>
      <c r="F3626" s="27" t="str">
        <f>IFERROR(ABS(FV('Investment Calculator'!$C$7/'Investment Calculator'!$F$4,'SIP Schedule'!C3626,'SIP Schedule'!D3626,,1)),"")</f>
        <v/>
      </c>
    </row>
    <row r="3627" spans="3:6" x14ac:dyDescent="0.3">
      <c r="C3627" s="1" t="str">
        <f>IF(C3626&lt;'Investment Calculator'!$C$8*'Investment Calculator'!$F$4,'SIP Schedule'!C3626+1,"")</f>
        <v/>
      </c>
      <c r="D3627" s="27" t="str">
        <f>IF(C3627&lt;='Investment Calculator'!$C$8*'Investment Calculator'!$F$4,'Investment Calculator'!$C$6,"")</f>
        <v/>
      </c>
      <c r="E3627" s="27" t="str">
        <f>IFERROR((F3626+D3627)*'Investment Calculator'!$C$7/'Investment Calculator'!$F$4,"")</f>
        <v/>
      </c>
      <c r="F3627" s="27" t="str">
        <f>IFERROR(ABS(FV('Investment Calculator'!$C$7/'Investment Calculator'!$F$4,'SIP Schedule'!C3627,'SIP Schedule'!D3627,,1)),"")</f>
        <v/>
      </c>
    </row>
    <row r="3628" spans="3:6" x14ac:dyDescent="0.3">
      <c r="C3628" s="1" t="str">
        <f>IF(C3627&lt;'Investment Calculator'!$C$8*'Investment Calculator'!$F$4,'SIP Schedule'!C3627+1,"")</f>
        <v/>
      </c>
      <c r="D3628" s="27" t="str">
        <f>IF(C3628&lt;='Investment Calculator'!$C$8*'Investment Calculator'!$F$4,'Investment Calculator'!$C$6,"")</f>
        <v/>
      </c>
      <c r="E3628" s="27" t="str">
        <f>IFERROR((F3627+D3628)*'Investment Calculator'!$C$7/'Investment Calculator'!$F$4,"")</f>
        <v/>
      </c>
      <c r="F3628" s="27" t="str">
        <f>IFERROR(ABS(FV('Investment Calculator'!$C$7/'Investment Calculator'!$F$4,'SIP Schedule'!C3628,'SIP Schedule'!D3628,,1)),"")</f>
        <v/>
      </c>
    </row>
    <row r="3629" spans="3:6" x14ac:dyDescent="0.3">
      <c r="C3629" s="1" t="str">
        <f>IF(C3628&lt;'Investment Calculator'!$C$8*'Investment Calculator'!$F$4,'SIP Schedule'!C3628+1,"")</f>
        <v/>
      </c>
      <c r="D3629" s="27" t="str">
        <f>IF(C3629&lt;='Investment Calculator'!$C$8*'Investment Calculator'!$F$4,'Investment Calculator'!$C$6,"")</f>
        <v/>
      </c>
      <c r="E3629" s="27" t="str">
        <f>IFERROR((F3628+D3629)*'Investment Calculator'!$C$7/'Investment Calculator'!$F$4,"")</f>
        <v/>
      </c>
      <c r="F3629" s="27" t="str">
        <f>IFERROR(ABS(FV('Investment Calculator'!$C$7/'Investment Calculator'!$F$4,'SIP Schedule'!C3629,'SIP Schedule'!D3629,,1)),"")</f>
        <v/>
      </c>
    </row>
    <row r="3630" spans="3:6" x14ac:dyDescent="0.3">
      <c r="C3630" s="1" t="str">
        <f>IF(C3629&lt;'Investment Calculator'!$C$8*'Investment Calculator'!$F$4,'SIP Schedule'!C3629+1,"")</f>
        <v/>
      </c>
      <c r="D3630" s="27" t="str">
        <f>IF(C3630&lt;='Investment Calculator'!$C$8*'Investment Calculator'!$F$4,'Investment Calculator'!$C$6,"")</f>
        <v/>
      </c>
      <c r="E3630" s="27" t="str">
        <f>IFERROR((F3629+D3630)*'Investment Calculator'!$C$7/'Investment Calculator'!$F$4,"")</f>
        <v/>
      </c>
      <c r="F3630" s="27" t="str">
        <f>IFERROR(ABS(FV('Investment Calculator'!$C$7/'Investment Calculator'!$F$4,'SIP Schedule'!C3630,'SIP Schedule'!D3630,,1)),"")</f>
        <v/>
      </c>
    </row>
    <row r="3631" spans="3:6" x14ac:dyDescent="0.3">
      <c r="C3631" s="1" t="str">
        <f>IF(C3630&lt;'Investment Calculator'!$C$8*'Investment Calculator'!$F$4,'SIP Schedule'!C3630+1,"")</f>
        <v/>
      </c>
      <c r="D3631" s="27" t="str">
        <f>IF(C3631&lt;='Investment Calculator'!$C$8*'Investment Calculator'!$F$4,'Investment Calculator'!$C$6,"")</f>
        <v/>
      </c>
      <c r="E3631" s="27" t="str">
        <f>IFERROR((F3630+D3631)*'Investment Calculator'!$C$7/'Investment Calculator'!$F$4,"")</f>
        <v/>
      </c>
      <c r="F3631" s="27" t="str">
        <f>IFERROR(ABS(FV('Investment Calculator'!$C$7/'Investment Calculator'!$F$4,'SIP Schedule'!C3631,'SIP Schedule'!D3631,,1)),"")</f>
        <v/>
      </c>
    </row>
    <row r="3632" spans="3:6" x14ac:dyDescent="0.3">
      <c r="C3632" s="1" t="str">
        <f>IF(C3631&lt;'Investment Calculator'!$C$8*'Investment Calculator'!$F$4,'SIP Schedule'!C3631+1,"")</f>
        <v/>
      </c>
      <c r="D3632" s="27" t="str">
        <f>IF(C3632&lt;='Investment Calculator'!$C$8*'Investment Calculator'!$F$4,'Investment Calculator'!$C$6,"")</f>
        <v/>
      </c>
      <c r="E3632" s="27" t="str">
        <f>IFERROR((F3631+D3632)*'Investment Calculator'!$C$7/'Investment Calculator'!$F$4,"")</f>
        <v/>
      </c>
      <c r="F3632" s="27" t="str">
        <f>IFERROR(ABS(FV('Investment Calculator'!$C$7/'Investment Calculator'!$F$4,'SIP Schedule'!C3632,'SIP Schedule'!D3632,,1)),"")</f>
        <v/>
      </c>
    </row>
    <row r="3633" spans="3:6" x14ac:dyDescent="0.3">
      <c r="C3633" s="1" t="str">
        <f>IF(C3632&lt;'Investment Calculator'!$C$8*'Investment Calculator'!$F$4,'SIP Schedule'!C3632+1,"")</f>
        <v/>
      </c>
      <c r="D3633" s="27" t="str">
        <f>IF(C3633&lt;='Investment Calculator'!$C$8*'Investment Calculator'!$F$4,'Investment Calculator'!$C$6,"")</f>
        <v/>
      </c>
      <c r="E3633" s="27" t="str">
        <f>IFERROR((F3632+D3633)*'Investment Calculator'!$C$7/'Investment Calculator'!$F$4,"")</f>
        <v/>
      </c>
      <c r="F3633" s="27" t="str">
        <f>IFERROR(ABS(FV('Investment Calculator'!$C$7/'Investment Calculator'!$F$4,'SIP Schedule'!C3633,'SIP Schedule'!D3633,,1)),"")</f>
        <v/>
      </c>
    </row>
    <row r="3634" spans="3:6" x14ac:dyDescent="0.3">
      <c r="C3634" s="1" t="str">
        <f>IF(C3633&lt;'Investment Calculator'!$C$8*'Investment Calculator'!$F$4,'SIP Schedule'!C3633+1,"")</f>
        <v/>
      </c>
      <c r="D3634" s="27" t="str">
        <f>IF(C3634&lt;='Investment Calculator'!$C$8*'Investment Calculator'!$F$4,'Investment Calculator'!$C$6,"")</f>
        <v/>
      </c>
      <c r="E3634" s="27" t="str">
        <f>IFERROR((F3633+D3634)*'Investment Calculator'!$C$7/'Investment Calculator'!$F$4,"")</f>
        <v/>
      </c>
      <c r="F3634" s="27" t="str">
        <f>IFERROR(ABS(FV('Investment Calculator'!$C$7/'Investment Calculator'!$F$4,'SIP Schedule'!C3634,'SIP Schedule'!D3634,,1)),"")</f>
        <v/>
      </c>
    </row>
    <row r="3635" spans="3:6" x14ac:dyDescent="0.3">
      <c r="C3635" s="1" t="str">
        <f>IF(C3634&lt;'Investment Calculator'!$C$8*'Investment Calculator'!$F$4,'SIP Schedule'!C3634+1,"")</f>
        <v/>
      </c>
      <c r="D3635" s="27" t="str">
        <f>IF(C3635&lt;='Investment Calculator'!$C$8*'Investment Calculator'!$F$4,'Investment Calculator'!$C$6,"")</f>
        <v/>
      </c>
      <c r="E3635" s="27" t="str">
        <f>IFERROR((F3634+D3635)*'Investment Calculator'!$C$7/'Investment Calculator'!$F$4,"")</f>
        <v/>
      </c>
      <c r="F3635" s="27" t="str">
        <f>IFERROR(ABS(FV('Investment Calculator'!$C$7/'Investment Calculator'!$F$4,'SIP Schedule'!C3635,'SIP Schedule'!D3635,,1)),"")</f>
        <v/>
      </c>
    </row>
    <row r="3636" spans="3:6" x14ac:dyDescent="0.3">
      <c r="C3636" s="1" t="str">
        <f>IF(C3635&lt;'Investment Calculator'!$C$8*'Investment Calculator'!$F$4,'SIP Schedule'!C3635+1,"")</f>
        <v/>
      </c>
      <c r="D3636" s="27" t="str">
        <f>IF(C3636&lt;='Investment Calculator'!$C$8*'Investment Calculator'!$F$4,'Investment Calculator'!$C$6,"")</f>
        <v/>
      </c>
      <c r="E3636" s="27" t="str">
        <f>IFERROR((F3635+D3636)*'Investment Calculator'!$C$7/'Investment Calculator'!$F$4,"")</f>
        <v/>
      </c>
      <c r="F3636" s="27" t="str">
        <f>IFERROR(ABS(FV('Investment Calculator'!$C$7/'Investment Calculator'!$F$4,'SIP Schedule'!C3636,'SIP Schedule'!D3636,,1)),"")</f>
        <v/>
      </c>
    </row>
    <row r="3637" spans="3:6" x14ac:dyDescent="0.3">
      <c r="C3637" s="1" t="str">
        <f>IF(C3636&lt;'Investment Calculator'!$C$8*'Investment Calculator'!$F$4,'SIP Schedule'!C3636+1,"")</f>
        <v/>
      </c>
      <c r="D3637" s="27" t="str">
        <f>IF(C3637&lt;='Investment Calculator'!$C$8*'Investment Calculator'!$F$4,'Investment Calculator'!$C$6,"")</f>
        <v/>
      </c>
      <c r="E3637" s="27" t="str">
        <f>IFERROR((F3636+D3637)*'Investment Calculator'!$C$7/'Investment Calculator'!$F$4,"")</f>
        <v/>
      </c>
      <c r="F3637" s="27" t="str">
        <f>IFERROR(ABS(FV('Investment Calculator'!$C$7/'Investment Calculator'!$F$4,'SIP Schedule'!C3637,'SIP Schedule'!D3637,,1)),"")</f>
        <v/>
      </c>
    </row>
    <row r="3638" spans="3:6" x14ac:dyDescent="0.3">
      <c r="C3638" s="1" t="str">
        <f>IF(C3637&lt;'Investment Calculator'!$C$8*'Investment Calculator'!$F$4,'SIP Schedule'!C3637+1,"")</f>
        <v/>
      </c>
      <c r="D3638" s="27" t="str">
        <f>IF(C3638&lt;='Investment Calculator'!$C$8*'Investment Calculator'!$F$4,'Investment Calculator'!$C$6,"")</f>
        <v/>
      </c>
      <c r="E3638" s="27" t="str">
        <f>IFERROR((F3637+D3638)*'Investment Calculator'!$C$7/'Investment Calculator'!$F$4,"")</f>
        <v/>
      </c>
      <c r="F3638" s="27" t="str">
        <f>IFERROR(ABS(FV('Investment Calculator'!$C$7/'Investment Calculator'!$F$4,'SIP Schedule'!C3638,'SIP Schedule'!D3638,,1)),"")</f>
        <v/>
      </c>
    </row>
    <row r="3639" spans="3:6" x14ac:dyDescent="0.3">
      <c r="C3639" s="1" t="str">
        <f>IF(C3638&lt;'Investment Calculator'!$C$8*'Investment Calculator'!$F$4,'SIP Schedule'!C3638+1,"")</f>
        <v/>
      </c>
      <c r="D3639" s="27" t="str">
        <f>IF(C3639&lt;='Investment Calculator'!$C$8*'Investment Calculator'!$F$4,'Investment Calculator'!$C$6,"")</f>
        <v/>
      </c>
      <c r="E3639" s="27" t="str">
        <f>IFERROR((F3638+D3639)*'Investment Calculator'!$C$7/'Investment Calculator'!$F$4,"")</f>
        <v/>
      </c>
      <c r="F3639" s="27" t="str">
        <f>IFERROR(ABS(FV('Investment Calculator'!$C$7/'Investment Calculator'!$F$4,'SIP Schedule'!C3639,'SIP Schedule'!D3639,,1)),"")</f>
        <v/>
      </c>
    </row>
    <row r="3640" spans="3:6" x14ac:dyDescent="0.3">
      <c r="C3640" s="1" t="str">
        <f>IF(C3639&lt;'Investment Calculator'!$C$8*'Investment Calculator'!$F$4,'SIP Schedule'!C3639+1,"")</f>
        <v/>
      </c>
      <c r="D3640" s="27" t="str">
        <f>IF(C3640&lt;='Investment Calculator'!$C$8*'Investment Calculator'!$F$4,'Investment Calculator'!$C$6,"")</f>
        <v/>
      </c>
      <c r="E3640" s="27" t="str">
        <f>IFERROR((F3639+D3640)*'Investment Calculator'!$C$7/'Investment Calculator'!$F$4,"")</f>
        <v/>
      </c>
      <c r="F3640" s="27" t="str">
        <f>IFERROR(ABS(FV('Investment Calculator'!$C$7/'Investment Calculator'!$F$4,'SIP Schedule'!C3640,'SIP Schedule'!D3640,,1)),"")</f>
        <v/>
      </c>
    </row>
    <row r="3641" spans="3:6" x14ac:dyDescent="0.3">
      <c r="C3641" s="1" t="str">
        <f>IF(C3640&lt;'Investment Calculator'!$C$8*'Investment Calculator'!$F$4,'SIP Schedule'!C3640+1,"")</f>
        <v/>
      </c>
      <c r="D3641" s="27" t="str">
        <f>IF(C3641&lt;='Investment Calculator'!$C$8*'Investment Calculator'!$F$4,'Investment Calculator'!$C$6,"")</f>
        <v/>
      </c>
      <c r="E3641" s="27" t="str">
        <f>IFERROR((F3640+D3641)*'Investment Calculator'!$C$7/'Investment Calculator'!$F$4,"")</f>
        <v/>
      </c>
      <c r="F3641" s="27" t="str">
        <f>IFERROR(ABS(FV('Investment Calculator'!$C$7/'Investment Calculator'!$F$4,'SIP Schedule'!C3641,'SIP Schedule'!D3641,,1)),"")</f>
        <v/>
      </c>
    </row>
    <row r="3642" spans="3:6" x14ac:dyDescent="0.3">
      <c r="C3642" s="1" t="str">
        <f>IF(C3641&lt;'Investment Calculator'!$C$8*'Investment Calculator'!$F$4,'SIP Schedule'!C3641+1,"")</f>
        <v/>
      </c>
      <c r="D3642" s="27" t="str">
        <f>IF(C3642&lt;='Investment Calculator'!$C$8*'Investment Calculator'!$F$4,'Investment Calculator'!$C$6,"")</f>
        <v/>
      </c>
      <c r="E3642" s="27" t="str">
        <f>IFERROR((F3641+D3642)*'Investment Calculator'!$C$7/'Investment Calculator'!$F$4,"")</f>
        <v/>
      </c>
      <c r="F3642" s="27" t="str">
        <f>IFERROR(ABS(FV('Investment Calculator'!$C$7/'Investment Calculator'!$F$4,'SIP Schedule'!C3642,'SIP Schedule'!D3642,,1)),"")</f>
        <v/>
      </c>
    </row>
    <row r="3643" spans="3:6" x14ac:dyDescent="0.3">
      <c r="C3643" s="1" t="str">
        <f>IF(C3642&lt;'Investment Calculator'!$C$8*'Investment Calculator'!$F$4,'SIP Schedule'!C3642+1,"")</f>
        <v/>
      </c>
      <c r="D3643" s="27" t="str">
        <f>IF(C3643&lt;='Investment Calculator'!$C$8*'Investment Calculator'!$F$4,'Investment Calculator'!$C$6,"")</f>
        <v/>
      </c>
      <c r="E3643" s="27" t="str">
        <f>IFERROR((F3642+D3643)*'Investment Calculator'!$C$7/'Investment Calculator'!$F$4,"")</f>
        <v/>
      </c>
      <c r="F3643" s="27" t="str">
        <f>IFERROR(ABS(FV('Investment Calculator'!$C$7/'Investment Calculator'!$F$4,'SIP Schedule'!C3643,'SIP Schedule'!D3643,,1)),"")</f>
        <v/>
      </c>
    </row>
    <row r="3644" spans="3:6" x14ac:dyDescent="0.3">
      <c r="C3644" s="1" t="str">
        <f>IF(C3643&lt;'Investment Calculator'!$C$8*'Investment Calculator'!$F$4,'SIP Schedule'!C3643+1,"")</f>
        <v/>
      </c>
      <c r="D3644" s="27" t="str">
        <f>IF(C3644&lt;='Investment Calculator'!$C$8*'Investment Calculator'!$F$4,'Investment Calculator'!$C$6,"")</f>
        <v/>
      </c>
      <c r="E3644" s="27" t="str">
        <f>IFERROR((F3643+D3644)*'Investment Calculator'!$C$7/'Investment Calculator'!$F$4,"")</f>
        <v/>
      </c>
      <c r="F3644" s="27" t="str">
        <f>IFERROR(ABS(FV('Investment Calculator'!$C$7/'Investment Calculator'!$F$4,'SIP Schedule'!C3644,'SIP Schedule'!D3644,,1)),"")</f>
        <v/>
      </c>
    </row>
    <row r="3645" spans="3:6" x14ac:dyDescent="0.3">
      <c r="C3645" s="1" t="str">
        <f>IF(C3644&lt;'Investment Calculator'!$C$8*'Investment Calculator'!$F$4,'SIP Schedule'!C3644+1,"")</f>
        <v/>
      </c>
      <c r="D3645" s="27" t="str">
        <f>IF(C3645&lt;='Investment Calculator'!$C$8*'Investment Calculator'!$F$4,'Investment Calculator'!$C$6,"")</f>
        <v/>
      </c>
      <c r="E3645" s="27" t="str">
        <f>IFERROR((F3644+D3645)*'Investment Calculator'!$C$7/'Investment Calculator'!$F$4,"")</f>
        <v/>
      </c>
      <c r="F3645" s="27" t="str">
        <f>IFERROR(ABS(FV('Investment Calculator'!$C$7/'Investment Calculator'!$F$4,'SIP Schedule'!C3645,'SIP Schedule'!D3645,,1)),"")</f>
        <v/>
      </c>
    </row>
    <row r="3646" spans="3:6" x14ac:dyDescent="0.3">
      <c r="C3646" s="1" t="str">
        <f>IF(C3645&lt;'Investment Calculator'!$C$8*'Investment Calculator'!$F$4,'SIP Schedule'!C3645+1,"")</f>
        <v/>
      </c>
      <c r="D3646" s="27" t="str">
        <f>IF(C3646&lt;='Investment Calculator'!$C$8*'Investment Calculator'!$F$4,'Investment Calculator'!$C$6,"")</f>
        <v/>
      </c>
      <c r="E3646" s="27" t="str">
        <f>IFERROR((F3645+D3646)*'Investment Calculator'!$C$7/'Investment Calculator'!$F$4,"")</f>
        <v/>
      </c>
      <c r="F3646" s="27" t="str">
        <f>IFERROR(ABS(FV('Investment Calculator'!$C$7/'Investment Calculator'!$F$4,'SIP Schedule'!C3646,'SIP Schedule'!D3646,,1)),"")</f>
        <v/>
      </c>
    </row>
    <row r="3647" spans="3:6" x14ac:dyDescent="0.3">
      <c r="C3647" s="1" t="str">
        <f>IF(C3646&lt;'Investment Calculator'!$C$8*'Investment Calculator'!$F$4,'SIP Schedule'!C3646+1,"")</f>
        <v/>
      </c>
      <c r="D3647" s="27" t="str">
        <f>IF(C3647&lt;='Investment Calculator'!$C$8*'Investment Calculator'!$F$4,'Investment Calculator'!$C$6,"")</f>
        <v/>
      </c>
      <c r="E3647" s="27" t="str">
        <f>IFERROR((F3646+D3647)*'Investment Calculator'!$C$7/'Investment Calculator'!$F$4,"")</f>
        <v/>
      </c>
      <c r="F3647" s="27" t="str">
        <f>IFERROR(ABS(FV('Investment Calculator'!$C$7/'Investment Calculator'!$F$4,'SIP Schedule'!C3647,'SIP Schedule'!D3647,,1)),"")</f>
        <v/>
      </c>
    </row>
    <row r="3648" spans="3:6" x14ac:dyDescent="0.3">
      <c r="C3648" s="1" t="str">
        <f>IF(C3647&lt;'Investment Calculator'!$C$8*'Investment Calculator'!$F$4,'SIP Schedule'!C3647+1,"")</f>
        <v/>
      </c>
      <c r="D3648" s="27" t="str">
        <f>IF(C3648&lt;='Investment Calculator'!$C$8*'Investment Calculator'!$F$4,'Investment Calculator'!$C$6,"")</f>
        <v/>
      </c>
      <c r="E3648" s="27" t="str">
        <f>IFERROR((F3647+D3648)*'Investment Calculator'!$C$7/'Investment Calculator'!$F$4,"")</f>
        <v/>
      </c>
      <c r="F3648" s="27" t="str">
        <f>IFERROR(ABS(FV('Investment Calculator'!$C$7/'Investment Calculator'!$F$4,'SIP Schedule'!C3648,'SIP Schedule'!D3648,,1)),"")</f>
        <v/>
      </c>
    </row>
    <row r="3649" spans="3:6" x14ac:dyDescent="0.3">
      <c r="C3649" s="1" t="str">
        <f>IF(C3648&lt;'Investment Calculator'!$C$8*'Investment Calculator'!$F$4,'SIP Schedule'!C3648+1,"")</f>
        <v/>
      </c>
      <c r="D3649" s="27" t="str">
        <f>IF(C3649&lt;='Investment Calculator'!$C$8*'Investment Calculator'!$F$4,'Investment Calculator'!$C$6,"")</f>
        <v/>
      </c>
      <c r="E3649" s="27" t="str">
        <f>IFERROR((F3648+D3649)*'Investment Calculator'!$C$7/'Investment Calculator'!$F$4,"")</f>
        <v/>
      </c>
      <c r="F3649" s="27" t="str">
        <f>IFERROR(ABS(FV('Investment Calculator'!$C$7/'Investment Calculator'!$F$4,'SIP Schedule'!C3649,'SIP Schedule'!D3649,,1)),"")</f>
        <v/>
      </c>
    </row>
    <row r="3650" spans="3:6" x14ac:dyDescent="0.3">
      <c r="C3650" s="1" t="str">
        <f>IF(C3649&lt;'Investment Calculator'!$C$8*'Investment Calculator'!$F$4,'SIP Schedule'!C3649+1,"")</f>
        <v/>
      </c>
      <c r="D3650" s="27" t="str">
        <f>IF(C3650&lt;='Investment Calculator'!$C$8*'Investment Calculator'!$F$4,'Investment Calculator'!$C$6,"")</f>
        <v/>
      </c>
      <c r="E3650" s="27" t="str">
        <f>IFERROR((F3649+D3650)*'Investment Calculator'!$C$7/'Investment Calculator'!$F$4,"")</f>
        <v/>
      </c>
      <c r="F3650" s="27" t="str">
        <f>IFERROR(ABS(FV('Investment Calculator'!$C$7/'Investment Calculator'!$F$4,'SIP Schedule'!C3650,'SIP Schedule'!D3650,,1)),"")</f>
        <v/>
      </c>
    </row>
    <row r="3651" spans="3:6" x14ac:dyDescent="0.3">
      <c r="C3651" s="1" t="str">
        <f>IF(C3650&lt;'Investment Calculator'!$C$8*'Investment Calculator'!$F$4,'SIP Schedule'!C3650+1,"")</f>
        <v/>
      </c>
      <c r="D3651" s="27" t="str">
        <f>IF(C3651&lt;='Investment Calculator'!$C$8*'Investment Calculator'!$F$4,'Investment Calculator'!$C$6,"")</f>
        <v/>
      </c>
      <c r="E3651" s="27" t="str">
        <f>IFERROR((F3650+D3651)*'Investment Calculator'!$C$7/'Investment Calculator'!$F$4,"")</f>
        <v/>
      </c>
      <c r="F3651" s="27" t="str">
        <f>IFERROR(ABS(FV('Investment Calculator'!$C$7/'Investment Calculator'!$F$4,'SIP Schedule'!C3651,'SIP Schedule'!D3651,,1)),"")</f>
        <v/>
      </c>
    </row>
    <row r="3652" spans="3:6" x14ac:dyDescent="0.3">
      <c r="C3652" s="1" t="str">
        <f>IF(C3651&lt;'Investment Calculator'!$C$8*'Investment Calculator'!$F$4,'SIP Schedule'!C3651+1,"")</f>
        <v/>
      </c>
      <c r="D3652" s="27" t="str">
        <f>IF(C3652&lt;='Investment Calculator'!$C$8*'Investment Calculator'!$F$4,'Investment Calculator'!$C$6,"")</f>
        <v/>
      </c>
      <c r="E3652" s="27" t="str">
        <f>IFERROR((F3651+D3652)*'Investment Calculator'!$C$7/'Investment Calculator'!$F$4,"")</f>
        <v/>
      </c>
      <c r="F3652" s="27" t="str">
        <f>IFERROR(ABS(FV('Investment Calculator'!$C$7/'Investment Calculator'!$F$4,'SIP Schedule'!C3652,'SIP Schedule'!D3652,,1)),"")</f>
        <v/>
      </c>
    </row>
    <row r="3653" spans="3:6" x14ac:dyDescent="0.3">
      <c r="C3653" s="1" t="str">
        <f>IF(C3652&lt;'Investment Calculator'!$C$8*'Investment Calculator'!$F$4,'SIP Schedule'!C3652+1,"")</f>
        <v/>
      </c>
      <c r="D3653" s="27" t="str">
        <f>IF(C3653&lt;='Investment Calculator'!$C$8*'Investment Calculator'!$F$4,'Investment Calculator'!$C$6,"")</f>
        <v/>
      </c>
      <c r="E3653" s="27" t="str">
        <f>IFERROR((F3652+D3653)*'Investment Calculator'!$C$7/'Investment Calculator'!$F$4,"")</f>
        <v/>
      </c>
      <c r="F3653" s="27" t="str">
        <f>IFERROR(ABS(FV('Investment Calculator'!$C$7/'Investment Calculator'!$F$4,'SIP Schedule'!C3653,'SIP Schedule'!D3653,,1)),"")</f>
        <v/>
      </c>
    </row>
    <row r="3654" spans="3:6" x14ac:dyDescent="0.3">
      <c r="C3654" s="1" t="str">
        <f>IF(C3653&lt;'Investment Calculator'!$C$8*'Investment Calculator'!$F$4,'SIP Schedule'!C3653+1,"")</f>
        <v/>
      </c>
      <c r="D3654" s="27" t="str">
        <f>IF(C3654&lt;='Investment Calculator'!$C$8*'Investment Calculator'!$F$4,'Investment Calculator'!$C$6,"")</f>
        <v/>
      </c>
      <c r="E3654" s="27" t="str">
        <f>IFERROR((F3653+D3654)*'Investment Calculator'!$C$7/'Investment Calculator'!$F$4,"")</f>
        <v/>
      </c>
      <c r="F3654" s="27" t="str">
        <f>IFERROR(ABS(FV('Investment Calculator'!$C$7/'Investment Calculator'!$F$4,'SIP Schedule'!C3654,'SIP Schedule'!D3654,,1)),"")</f>
        <v/>
      </c>
    </row>
    <row r="3655" spans="3:6" x14ac:dyDescent="0.3">
      <c r="C3655" s="1" t="str">
        <f>IF(C3654&lt;'Investment Calculator'!$C$8*'Investment Calculator'!$F$4,'SIP Schedule'!C3654+1,"")</f>
        <v/>
      </c>
      <c r="D3655" s="27" t="str">
        <f>IF(C3655&lt;='Investment Calculator'!$C$8*'Investment Calculator'!$F$4,'Investment Calculator'!$C$6,"")</f>
        <v/>
      </c>
      <c r="E3655" s="27" t="str">
        <f>IFERROR((F3654+D3655)*'Investment Calculator'!$C$7/'Investment Calculator'!$F$4,"")</f>
        <v/>
      </c>
      <c r="F3655" s="27" t="str">
        <f>IFERROR(ABS(FV('Investment Calculator'!$C$7/'Investment Calculator'!$F$4,'SIP Schedule'!C3655,'SIP Schedule'!D3655,,1)),"")</f>
        <v/>
      </c>
    </row>
    <row r="3656" spans="3:6" x14ac:dyDescent="0.3">
      <c r="C3656" s="1" t="str">
        <f>IF(C3655&lt;'Investment Calculator'!$C$8*'Investment Calculator'!$F$4,'SIP Schedule'!C3655+1,"")</f>
        <v/>
      </c>
      <c r="D3656" s="27" t="str">
        <f>IF(C3656&lt;='Investment Calculator'!$C$8*'Investment Calculator'!$F$4,'Investment Calculator'!$C$6,"")</f>
        <v/>
      </c>
      <c r="E3656" s="27" t="str">
        <f>IFERROR((F3655+D3656)*'Investment Calculator'!$C$7/'Investment Calculator'!$F$4,"")</f>
        <v/>
      </c>
      <c r="F3656" s="27" t="str">
        <f>IFERROR(ABS(FV('Investment Calculator'!$C$7/'Investment Calculator'!$F$4,'SIP Schedule'!C3656,'SIP Schedule'!D3656,,1)),"")</f>
        <v/>
      </c>
    </row>
    <row r="3657" spans="3:6" x14ac:dyDescent="0.3">
      <c r="C3657" s="1" t="str">
        <f>IF(C3656&lt;'Investment Calculator'!$C$8*'Investment Calculator'!$F$4,'SIP Schedule'!C3656+1,"")</f>
        <v/>
      </c>
      <c r="D3657" s="27" t="str">
        <f>IF(C3657&lt;='Investment Calculator'!$C$8*'Investment Calculator'!$F$4,'Investment Calculator'!$C$6,"")</f>
        <v/>
      </c>
      <c r="E3657" s="27" t="str">
        <f>IFERROR((F3656+D3657)*'Investment Calculator'!$C$7/'Investment Calculator'!$F$4,"")</f>
        <v/>
      </c>
      <c r="F3657" s="27" t="str">
        <f>IFERROR(ABS(FV('Investment Calculator'!$C$7/'Investment Calculator'!$F$4,'SIP Schedule'!C3657,'SIP Schedule'!D3657,,1)),"")</f>
        <v/>
      </c>
    </row>
    <row r="3658" spans="3:6" x14ac:dyDescent="0.3">
      <c r="C3658" s="1" t="str">
        <f>IF(C3657&lt;'Investment Calculator'!$C$8*'Investment Calculator'!$F$4,'SIP Schedule'!C3657+1,"")</f>
        <v/>
      </c>
      <c r="D3658" s="27" t="str">
        <f>IF(C3658&lt;='Investment Calculator'!$C$8*'Investment Calculator'!$F$4,'Investment Calculator'!$C$6,"")</f>
        <v/>
      </c>
      <c r="E3658" s="27" t="str">
        <f>IFERROR((F3657+D3658)*'Investment Calculator'!$C$7/'Investment Calculator'!$F$4,"")</f>
        <v/>
      </c>
      <c r="F3658" s="27" t="str">
        <f>IFERROR(ABS(FV('Investment Calculator'!$C$7/'Investment Calculator'!$F$4,'SIP Schedule'!C3658,'SIP Schedule'!D3658,,1)),"")</f>
        <v/>
      </c>
    </row>
    <row r="3659" spans="3:6" x14ac:dyDescent="0.3">
      <c r="C3659" s="1" t="str">
        <f>IF(C3658&lt;'Investment Calculator'!$C$8*'Investment Calculator'!$F$4,'SIP Schedule'!C3658+1,"")</f>
        <v/>
      </c>
      <c r="D3659" s="27" t="str">
        <f>IF(C3659&lt;='Investment Calculator'!$C$8*'Investment Calculator'!$F$4,'Investment Calculator'!$C$6,"")</f>
        <v/>
      </c>
      <c r="E3659" s="27" t="str">
        <f>IFERROR((F3658+D3659)*'Investment Calculator'!$C$7/'Investment Calculator'!$F$4,"")</f>
        <v/>
      </c>
      <c r="F3659" s="27" t="str">
        <f>IFERROR(ABS(FV('Investment Calculator'!$C$7/'Investment Calculator'!$F$4,'SIP Schedule'!C3659,'SIP Schedule'!D3659,,1)),"")</f>
        <v/>
      </c>
    </row>
    <row r="3660" spans="3:6" x14ac:dyDescent="0.3">
      <c r="C3660" s="1" t="str">
        <f>IF(C3659&lt;'Investment Calculator'!$C$8*'Investment Calculator'!$F$4,'SIP Schedule'!C3659+1,"")</f>
        <v/>
      </c>
      <c r="D3660" s="27" t="str">
        <f>IF(C3660&lt;='Investment Calculator'!$C$8*'Investment Calculator'!$F$4,'Investment Calculator'!$C$6,"")</f>
        <v/>
      </c>
      <c r="E3660" s="27" t="str">
        <f>IFERROR((F3659+D3660)*'Investment Calculator'!$C$7/'Investment Calculator'!$F$4,"")</f>
        <v/>
      </c>
      <c r="F3660" s="27" t="str">
        <f>IFERROR(ABS(FV('Investment Calculator'!$C$7/'Investment Calculator'!$F$4,'SIP Schedule'!C3660,'SIP Schedule'!D3660,,1)),"")</f>
        <v/>
      </c>
    </row>
    <row r="3661" spans="3:6" x14ac:dyDescent="0.3">
      <c r="C3661" s="1" t="str">
        <f>IF(C3660&lt;'Investment Calculator'!$C$8*'Investment Calculator'!$F$4,'SIP Schedule'!C3660+1,"")</f>
        <v/>
      </c>
      <c r="D3661" s="27" t="str">
        <f>IF(C3661&lt;='Investment Calculator'!$C$8*'Investment Calculator'!$F$4,'Investment Calculator'!$C$6,"")</f>
        <v/>
      </c>
      <c r="E3661" s="27" t="str">
        <f>IFERROR((F3660+D3661)*'Investment Calculator'!$C$7/'Investment Calculator'!$F$4,"")</f>
        <v/>
      </c>
      <c r="F3661" s="27" t="str">
        <f>IFERROR(ABS(FV('Investment Calculator'!$C$7/'Investment Calculator'!$F$4,'SIP Schedule'!C3661,'SIP Schedule'!D3661,,1)),"")</f>
        <v/>
      </c>
    </row>
    <row r="3662" spans="3:6" x14ac:dyDescent="0.3">
      <c r="C3662" s="1" t="str">
        <f>IF(C3661&lt;'Investment Calculator'!$C$8*'Investment Calculator'!$F$4,'SIP Schedule'!C3661+1,"")</f>
        <v/>
      </c>
      <c r="D3662" s="27" t="str">
        <f>IF(C3662&lt;='Investment Calculator'!$C$8*'Investment Calculator'!$F$4,'Investment Calculator'!$C$6,"")</f>
        <v/>
      </c>
      <c r="E3662" s="27" t="str">
        <f>IFERROR((F3661+D3662)*'Investment Calculator'!$C$7/'Investment Calculator'!$F$4,"")</f>
        <v/>
      </c>
      <c r="F3662" s="27" t="str">
        <f>IFERROR(ABS(FV('Investment Calculator'!$C$7/'Investment Calculator'!$F$4,'SIP Schedule'!C3662,'SIP Schedule'!D3662,,1)),"")</f>
        <v/>
      </c>
    </row>
    <row r="3663" spans="3:6" x14ac:dyDescent="0.3">
      <c r="C3663" s="1" t="str">
        <f>IF(C3662&lt;'Investment Calculator'!$C$8*'Investment Calculator'!$F$4,'SIP Schedule'!C3662+1,"")</f>
        <v/>
      </c>
      <c r="D3663" s="27" t="str">
        <f>IF(C3663&lt;='Investment Calculator'!$C$8*'Investment Calculator'!$F$4,'Investment Calculator'!$C$6,"")</f>
        <v/>
      </c>
      <c r="E3663" s="27" t="str">
        <f>IFERROR((F3662+D3663)*'Investment Calculator'!$C$7/'Investment Calculator'!$F$4,"")</f>
        <v/>
      </c>
      <c r="F3663" s="27" t="str">
        <f>IFERROR(ABS(FV('Investment Calculator'!$C$7/'Investment Calculator'!$F$4,'SIP Schedule'!C3663,'SIP Schedule'!D3663,,1)),"")</f>
        <v/>
      </c>
    </row>
    <row r="3664" spans="3:6" x14ac:dyDescent="0.3">
      <c r="C3664" s="1" t="str">
        <f>IF(C3663&lt;'Investment Calculator'!$C$8*'Investment Calculator'!$F$4,'SIP Schedule'!C3663+1,"")</f>
        <v/>
      </c>
      <c r="D3664" s="27" t="str">
        <f>IF(C3664&lt;='Investment Calculator'!$C$8*'Investment Calculator'!$F$4,'Investment Calculator'!$C$6,"")</f>
        <v/>
      </c>
      <c r="E3664" s="27" t="str">
        <f>IFERROR((F3663+D3664)*'Investment Calculator'!$C$7/'Investment Calculator'!$F$4,"")</f>
        <v/>
      </c>
      <c r="F3664" s="27" t="str">
        <f>IFERROR(ABS(FV('Investment Calculator'!$C$7/'Investment Calculator'!$F$4,'SIP Schedule'!C3664,'SIP Schedule'!D3664,,1)),"")</f>
        <v/>
      </c>
    </row>
    <row r="3665" spans="3:6" x14ac:dyDescent="0.3">
      <c r="C3665" s="1" t="str">
        <f>IF(C3664&lt;'Investment Calculator'!$C$8*'Investment Calculator'!$F$4,'SIP Schedule'!C3664+1,"")</f>
        <v/>
      </c>
      <c r="D3665" s="27" t="str">
        <f>IF(C3665&lt;='Investment Calculator'!$C$8*'Investment Calculator'!$F$4,'Investment Calculator'!$C$6,"")</f>
        <v/>
      </c>
      <c r="E3665" s="27" t="str">
        <f>IFERROR((F3664+D3665)*'Investment Calculator'!$C$7/'Investment Calculator'!$F$4,"")</f>
        <v/>
      </c>
      <c r="F3665" s="27" t="str">
        <f>IFERROR(ABS(FV('Investment Calculator'!$C$7/'Investment Calculator'!$F$4,'SIP Schedule'!C3665,'SIP Schedule'!D3665,,1)),"")</f>
        <v/>
      </c>
    </row>
    <row r="3666" spans="3:6" x14ac:dyDescent="0.3">
      <c r="C3666" s="1" t="str">
        <f>IF(C3665&lt;'Investment Calculator'!$C$8*'Investment Calculator'!$F$4,'SIP Schedule'!C3665+1,"")</f>
        <v/>
      </c>
      <c r="D3666" s="27" t="str">
        <f>IF(C3666&lt;='Investment Calculator'!$C$8*'Investment Calculator'!$F$4,'Investment Calculator'!$C$6,"")</f>
        <v/>
      </c>
      <c r="E3666" s="27" t="str">
        <f>IFERROR((F3665+D3666)*'Investment Calculator'!$C$7/'Investment Calculator'!$F$4,"")</f>
        <v/>
      </c>
      <c r="F3666" s="27" t="str">
        <f>IFERROR(ABS(FV('Investment Calculator'!$C$7/'Investment Calculator'!$F$4,'SIP Schedule'!C3666,'SIP Schedule'!D3666,,1)),"")</f>
        <v/>
      </c>
    </row>
    <row r="3667" spans="3:6" x14ac:dyDescent="0.3">
      <c r="C3667" s="1" t="str">
        <f>IF(C3666&lt;'Investment Calculator'!$C$8*'Investment Calculator'!$F$4,'SIP Schedule'!C3666+1,"")</f>
        <v/>
      </c>
      <c r="D3667" s="27" t="str">
        <f>IF(C3667&lt;='Investment Calculator'!$C$8*'Investment Calculator'!$F$4,'Investment Calculator'!$C$6,"")</f>
        <v/>
      </c>
      <c r="E3667" s="27" t="str">
        <f>IFERROR((F3666+D3667)*'Investment Calculator'!$C$7/'Investment Calculator'!$F$4,"")</f>
        <v/>
      </c>
      <c r="F3667" s="27" t="str">
        <f>IFERROR(ABS(FV('Investment Calculator'!$C$7/'Investment Calculator'!$F$4,'SIP Schedule'!C3667,'SIP Schedule'!D3667,,1)),"")</f>
        <v/>
      </c>
    </row>
    <row r="3668" spans="3:6" x14ac:dyDescent="0.3">
      <c r="C3668" s="1" t="str">
        <f>IF(C3667&lt;'Investment Calculator'!$C$8*'Investment Calculator'!$F$4,'SIP Schedule'!C3667+1,"")</f>
        <v/>
      </c>
      <c r="D3668" s="27" t="str">
        <f>IF(C3668&lt;='Investment Calculator'!$C$8*'Investment Calculator'!$F$4,'Investment Calculator'!$C$6,"")</f>
        <v/>
      </c>
      <c r="E3668" s="27" t="str">
        <f>IFERROR((F3667+D3668)*'Investment Calculator'!$C$7/'Investment Calculator'!$F$4,"")</f>
        <v/>
      </c>
      <c r="F3668" s="27" t="str">
        <f>IFERROR(ABS(FV('Investment Calculator'!$C$7/'Investment Calculator'!$F$4,'SIP Schedule'!C3668,'SIP Schedule'!D3668,,1)),"")</f>
        <v/>
      </c>
    </row>
    <row r="3669" spans="3:6" x14ac:dyDescent="0.3">
      <c r="C3669" s="1" t="str">
        <f>IF(C3668&lt;'Investment Calculator'!$C$8*'Investment Calculator'!$F$4,'SIP Schedule'!C3668+1,"")</f>
        <v/>
      </c>
      <c r="D3669" s="27" t="str">
        <f>IF(C3669&lt;='Investment Calculator'!$C$8*'Investment Calculator'!$F$4,'Investment Calculator'!$C$6,"")</f>
        <v/>
      </c>
      <c r="E3669" s="27" t="str">
        <f>IFERROR((F3668+D3669)*'Investment Calculator'!$C$7/'Investment Calculator'!$F$4,"")</f>
        <v/>
      </c>
      <c r="F3669" s="27" t="str">
        <f>IFERROR(ABS(FV('Investment Calculator'!$C$7/'Investment Calculator'!$F$4,'SIP Schedule'!C3669,'SIP Schedule'!D3669,,1)),"")</f>
        <v/>
      </c>
    </row>
    <row r="3670" spans="3:6" x14ac:dyDescent="0.3">
      <c r="C3670" s="1" t="str">
        <f>IF(C3669&lt;'Investment Calculator'!$C$8*'Investment Calculator'!$F$4,'SIP Schedule'!C3669+1,"")</f>
        <v/>
      </c>
      <c r="D3670" s="27" t="str">
        <f>IF(C3670&lt;='Investment Calculator'!$C$8*'Investment Calculator'!$F$4,'Investment Calculator'!$C$6,"")</f>
        <v/>
      </c>
      <c r="E3670" s="27" t="str">
        <f>IFERROR((F3669+D3670)*'Investment Calculator'!$C$7/'Investment Calculator'!$F$4,"")</f>
        <v/>
      </c>
      <c r="F3670" s="27" t="str">
        <f>IFERROR(ABS(FV('Investment Calculator'!$C$7/'Investment Calculator'!$F$4,'SIP Schedule'!C3670,'SIP Schedule'!D3670,,1)),"")</f>
        <v/>
      </c>
    </row>
    <row r="3671" spans="3:6" x14ac:dyDescent="0.3">
      <c r="C3671" s="1" t="str">
        <f>IF(C3670&lt;'Investment Calculator'!$C$8*'Investment Calculator'!$F$4,'SIP Schedule'!C3670+1,"")</f>
        <v/>
      </c>
      <c r="D3671" s="27" t="str">
        <f>IF(C3671&lt;='Investment Calculator'!$C$8*'Investment Calculator'!$F$4,'Investment Calculator'!$C$6,"")</f>
        <v/>
      </c>
      <c r="E3671" s="27" t="str">
        <f>IFERROR((F3670+D3671)*'Investment Calculator'!$C$7/'Investment Calculator'!$F$4,"")</f>
        <v/>
      </c>
      <c r="F3671" s="27" t="str">
        <f>IFERROR(ABS(FV('Investment Calculator'!$C$7/'Investment Calculator'!$F$4,'SIP Schedule'!C3671,'SIP Schedule'!D3671,,1)),"")</f>
        <v/>
      </c>
    </row>
    <row r="3672" spans="3:6" x14ac:dyDescent="0.3">
      <c r="C3672" s="1" t="str">
        <f>IF(C3671&lt;'Investment Calculator'!$C$8*'Investment Calculator'!$F$4,'SIP Schedule'!C3671+1,"")</f>
        <v/>
      </c>
      <c r="D3672" s="27" t="str">
        <f>IF(C3672&lt;='Investment Calculator'!$C$8*'Investment Calculator'!$F$4,'Investment Calculator'!$C$6,"")</f>
        <v/>
      </c>
      <c r="E3672" s="27" t="str">
        <f>IFERROR((F3671+D3672)*'Investment Calculator'!$C$7/'Investment Calculator'!$F$4,"")</f>
        <v/>
      </c>
      <c r="F3672" s="27" t="str">
        <f>IFERROR(ABS(FV('Investment Calculator'!$C$7/'Investment Calculator'!$F$4,'SIP Schedule'!C3672,'SIP Schedule'!D3672,,1)),"")</f>
        <v/>
      </c>
    </row>
    <row r="3673" spans="3:6" x14ac:dyDescent="0.3">
      <c r="C3673" s="1" t="str">
        <f>IF(C3672&lt;'Investment Calculator'!$C$8*'Investment Calculator'!$F$4,'SIP Schedule'!C3672+1,"")</f>
        <v/>
      </c>
      <c r="D3673" s="27" t="str">
        <f>IF(C3673&lt;='Investment Calculator'!$C$8*'Investment Calculator'!$F$4,'Investment Calculator'!$C$6,"")</f>
        <v/>
      </c>
      <c r="E3673" s="27" t="str">
        <f>IFERROR((F3672+D3673)*'Investment Calculator'!$C$7/'Investment Calculator'!$F$4,"")</f>
        <v/>
      </c>
      <c r="F3673" s="27" t="str">
        <f>IFERROR(ABS(FV('Investment Calculator'!$C$7/'Investment Calculator'!$F$4,'SIP Schedule'!C3673,'SIP Schedule'!D3673,,1)),"")</f>
        <v/>
      </c>
    </row>
    <row r="3674" spans="3:6" x14ac:dyDescent="0.3">
      <c r="C3674" s="1" t="str">
        <f>IF(C3673&lt;'Investment Calculator'!$C$8*'Investment Calculator'!$F$4,'SIP Schedule'!C3673+1,"")</f>
        <v/>
      </c>
      <c r="D3674" s="27" t="str">
        <f>IF(C3674&lt;='Investment Calculator'!$C$8*'Investment Calculator'!$F$4,'Investment Calculator'!$C$6,"")</f>
        <v/>
      </c>
      <c r="E3674" s="27" t="str">
        <f>IFERROR((F3673+D3674)*'Investment Calculator'!$C$7/'Investment Calculator'!$F$4,"")</f>
        <v/>
      </c>
      <c r="F3674" s="27" t="str">
        <f>IFERROR(ABS(FV('Investment Calculator'!$C$7/'Investment Calculator'!$F$4,'SIP Schedule'!C3674,'SIP Schedule'!D3674,,1)),"")</f>
        <v/>
      </c>
    </row>
    <row r="3675" spans="3:6" x14ac:dyDescent="0.3">
      <c r="C3675" s="1" t="str">
        <f>IF(C3674&lt;'Investment Calculator'!$C$8*'Investment Calculator'!$F$4,'SIP Schedule'!C3674+1,"")</f>
        <v/>
      </c>
      <c r="D3675" s="27" t="str">
        <f>IF(C3675&lt;='Investment Calculator'!$C$8*'Investment Calculator'!$F$4,'Investment Calculator'!$C$6,"")</f>
        <v/>
      </c>
      <c r="E3675" s="27" t="str">
        <f>IFERROR((F3674+D3675)*'Investment Calculator'!$C$7/'Investment Calculator'!$F$4,"")</f>
        <v/>
      </c>
      <c r="F3675" s="27" t="str">
        <f>IFERROR(ABS(FV('Investment Calculator'!$C$7/'Investment Calculator'!$F$4,'SIP Schedule'!C3675,'SIP Schedule'!D3675,,1)),"")</f>
        <v/>
      </c>
    </row>
    <row r="3676" spans="3:6" x14ac:dyDescent="0.3">
      <c r="C3676" s="1" t="str">
        <f>IF(C3675&lt;'Investment Calculator'!$C$8*'Investment Calculator'!$F$4,'SIP Schedule'!C3675+1,"")</f>
        <v/>
      </c>
      <c r="D3676" s="27" t="str">
        <f>IF(C3676&lt;='Investment Calculator'!$C$8*'Investment Calculator'!$F$4,'Investment Calculator'!$C$6,"")</f>
        <v/>
      </c>
      <c r="E3676" s="27" t="str">
        <f>IFERROR((F3675+D3676)*'Investment Calculator'!$C$7/'Investment Calculator'!$F$4,"")</f>
        <v/>
      </c>
      <c r="F3676" s="27" t="str">
        <f>IFERROR(ABS(FV('Investment Calculator'!$C$7/'Investment Calculator'!$F$4,'SIP Schedule'!C3676,'SIP Schedule'!D3676,,1)),"")</f>
        <v/>
      </c>
    </row>
    <row r="3677" spans="3:6" x14ac:dyDescent="0.3">
      <c r="C3677" s="1" t="str">
        <f>IF(C3676&lt;'Investment Calculator'!$C$8*'Investment Calculator'!$F$4,'SIP Schedule'!C3676+1,"")</f>
        <v/>
      </c>
      <c r="D3677" s="27" t="str">
        <f>IF(C3677&lt;='Investment Calculator'!$C$8*'Investment Calculator'!$F$4,'Investment Calculator'!$C$6,"")</f>
        <v/>
      </c>
      <c r="E3677" s="27" t="str">
        <f>IFERROR((F3676+D3677)*'Investment Calculator'!$C$7/'Investment Calculator'!$F$4,"")</f>
        <v/>
      </c>
      <c r="F3677" s="27" t="str">
        <f>IFERROR(ABS(FV('Investment Calculator'!$C$7/'Investment Calculator'!$F$4,'SIP Schedule'!C3677,'SIP Schedule'!D3677,,1)),"")</f>
        <v/>
      </c>
    </row>
    <row r="3678" spans="3:6" x14ac:dyDescent="0.3">
      <c r="C3678" s="1" t="str">
        <f>IF(C3677&lt;'Investment Calculator'!$C$8*'Investment Calculator'!$F$4,'SIP Schedule'!C3677+1,"")</f>
        <v/>
      </c>
      <c r="D3678" s="27" t="str">
        <f>IF(C3678&lt;='Investment Calculator'!$C$8*'Investment Calculator'!$F$4,'Investment Calculator'!$C$6,"")</f>
        <v/>
      </c>
      <c r="E3678" s="27" t="str">
        <f>IFERROR((F3677+D3678)*'Investment Calculator'!$C$7/'Investment Calculator'!$F$4,"")</f>
        <v/>
      </c>
      <c r="F3678" s="27" t="str">
        <f>IFERROR(ABS(FV('Investment Calculator'!$C$7/'Investment Calculator'!$F$4,'SIP Schedule'!C3678,'SIP Schedule'!D3678,,1)),"")</f>
        <v/>
      </c>
    </row>
    <row r="3679" spans="3:6" x14ac:dyDescent="0.3">
      <c r="C3679" s="1" t="str">
        <f>IF(C3678&lt;'Investment Calculator'!$C$8*'Investment Calculator'!$F$4,'SIP Schedule'!C3678+1,"")</f>
        <v/>
      </c>
      <c r="D3679" s="27" t="str">
        <f>IF(C3679&lt;='Investment Calculator'!$C$8*'Investment Calculator'!$F$4,'Investment Calculator'!$C$6,"")</f>
        <v/>
      </c>
      <c r="E3679" s="27" t="str">
        <f>IFERROR((F3678+D3679)*'Investment Calculator'!$C$7/'Investment Calculator'!$F$4,"")</f>
        <v/>
      </c>
      <c r="F3679" s="27" t="str">
        <f>IFERROR(ABS(FV('Investment Calculator'!$C$7/'Investment Calculator'!$F$4,'SIP Schedule'!C3679,'SIP Schedule'!D3679,,1)),"")</f>
        <v/>
      </c>
    </row>
    <row r="3680" spans="3:6" x14ac:dyDescent="0.3">
      <c r="C3680" s="1" t="str">
        <f>IF(C3679&lt;'Investment Calculator'!$C$8*'Investment Calculator'!$F$4,'SIP Schedule'!C3679+1,"")</f>
        <v/>
      </c>
      <c r="D3680" s="27" t="str">
        <f>IF(C3680&lt;='Investment Calculator'!$C$8*'Investment Calculator'!$F$4,'Investment Calculator'!$C$6,"")</f>
        <v/>
      </c>
      <c r="E3680" s="27" t="str">
        <f>IFERROR((F3679+D3680)*'Investment Calculator'!$C$7/'Investment Calculator'!$F$4,"")</f>
        <v/>
      </c>
      <c r="F3680" s="27" t="str">
        <f>IFERROR(ABS(FV('Investment Calculator'!$C$7/'Investment Calculator'!$F$4,'SIP Schedule'!C3680,'SIP Schedule'!D3680,,1)),"")</f>
        <v/>
      </c>
    </row>
    <row r="3681" spans="3:6" x14ac:dyDescent="0.3">
      <c r="C3681" s="1" t="str">
        <f>IF(C3680&lt;'Investment Calculator'!$C$8*'Investment Calculator'!$F$4,'SIP Schedule'!C3680+1,"")</f>
        <v/>
      </c>
      <c r="D3681" s="27" t="str">
        <f>IF(C3681&lt;='Investment Calculator'!$C$8*'Investment Calculator'!$F$4,'Investment Calculator'!$C$6,"")</f>
        <v/>
      </c>
      <c r="E3681" s="27" t="str">
        <f>IFERROR((F3680+D3681)*'Investment Calculator'!$C$7/'Investment Calculator'!$F$4,"")</f>
        <v/>
      </c>
      <c r="F3681" s="27" t="str">
        <f>IFERROR(ABS(FV('Investment Calculator'!$C$7/'Investment Calculator'!$F$4,'SIP Schedule'!C3681,'SIP Schedule'!D3681,,1)),"")</f>
        <v/>
      </c>
    </row>
    <row r="3682" spans="3:6" x14ac:dyDescent="0.3">
      <c r="C3682" s="1" t="str">
        <f>IF(C3681&lt;'Investment Calculator'!$C$8*'Investment Calculator'!$F$4,'SIP Schedule'!C3681+1,"")</f>
        <v/>
      </c>
      <c r="D3682" s="27" t="str">
        <f>IF(C3682&lt;='Investment Calculator'!$C$8*'Investment Calculator'!$F$4,'Investment Calculator'!$C$6,"")</f>
        <v/>
      </c>
      <c r="E3682" s="27" t="str">
        <f>IFERROR((F3681+D3682)*'Investment Calculator'!$C$7/'Investment Calculator'!$F$4,"")</f>
        <v/>
      </c>
      <c r="F3682" s="27" t="str">
        <f>IFERROR(ABS(FV('Investment Calculator'!$C$7/'Investment Calculator'!$F$4,'SIP Schedule'!C3682,'SIP Schedule'!D3682,,1)),"")</f>
        <v/>
      </c>
    </row>
    <row r="3683" spans="3:6" x14ac:dyDescent="0.3">
      <c r="C3683" s="1" t="str">
        <f>IF(C3682&lt;'Investment Calculator'!$C$8*'Investment Calculator'!$F$4,'SIP Schedule'!C3682+1,"")</f>
        <v/>
      </c>
      <c r="D3683" s="27" t="str">
        <f>IF(C3683&lt;='Investment Calculator'!$C$8*'Investment Calculator'!$F$4,'Investment Calculator'!$C$6,"")</f>
        <v/>
      </c>
      <c r="E3683" s="27" t="str">
        <f>IFERROR((F3682+D3683)*'Investment Calculator'!$C$7/'Investment Calculator'!$F$4,"")</f>
        <v/>
      </c>
      <c r="F3683" s="27" t="str">
        <f>IFERROR(ABS(FV('Investment Calculator'!$C$7/'Investment Calculator'!$F$4,'SIP Schedule'!C3683,'SIP Schedule'!D3683,,1)),"")</f>
        <v/>
      </c>
    </row>
    <row r="3684" spans="3:6" x14ac:dyDescent="0.3">
      <c r="C3684" s="1" t="str">
        <f>IF(C3683&lt;'Investment Calculator'!$C$8*'Investment Calculator'!$F$4,'SIP Schedule'!C3683+1,"")</f>
        <v/>
      </c>
      <c r="D3684" s="27" t="str">
        <f>IF(C3684&lt;='Investment Calculator'!$C$8*'Investment Calculator'!$F$4,'Investment Calculator'!$C$6,"")</f>
        <v/>
      </c>
      <c r="E3684" s="27" t="str">
        <f>IFERROR((F3683+D3684)*'Investment Calculator'!$C$7/'Investment Calculator'!$F$4,"")</f>
        <v/>
      </c>
      <c r="F3684" s="27" t="str">
        <f>IFERROR(ABS(FV('Investment Calculator'!$C$7/'Investment Calculator'!$F$4,'SIP Schedule'!C3684,'SIP Schedule'!D3684,,1)),"")</f>
        <v/>
      </c>
    </row>
    <row r="3685" spans="3:6" x14ac:dyDescent="0.3">
      <c r="C3685" s="1" t="str">
        <f>IF(C3684&lt;'Investment Calculator'!$C$8*'Investment Calculator'!$F$4,'SIP Schedule'!C3684+1,"")</f>
        <v/>
      </c>
      <c r="D3685" s="27" t="str">
        <f>IF(C3685&lt;='Investment Calculator'!$C$8*'Investment Calculator'!$F$4,'Investment Calculator'!$C$6,"")</f>
        <v/>
      </c>
      <c r="E3685" s="27" t="str">
        <f>IFERROR((F3684+D3685)*'Investment Calculator'!$C$7/'Investment Calculator'!$F$4,"")</f>
        <v/>
      </c>
      <c r="F3685" s="27" t="str">
        <f>IFERROR(ABS(FV('Investment Calculator'!$C$7/'Investment Calculator'!$F$4,'SIP Schedule'!C3685,'SIP Schedule'!D3685,,1)),"")</f>
        <v/>
      </c>
    </row>
    <row r="3686" spans="3:6" x14ac:dyDescent="0.3">
      <c r="C3686" s="1" t="str">
        <f>IF(C3685&lt;'Investment Calculator'!$C$8*'Investment Calculator'!$F$4,'SIP Schedule'!C3685+1,"")</f>
        <v/>
      </c>
      <c r="D3686" s="27" t="str">
        <f>IF(C3686&lt;='Investment Calculator'!$C$8*'Investment Calculator'!$F$4,'Investment Calculator'!$C$6,"")</f>
        <v/>
      </c>
      <c r="E3686" s="27" t="str">
        <f>IFERROR((F3685+D3686)*'Investment Calculator'!$C$7/'Investment Calculator'!$F$4,"")</f>
        <v/>
      </c>
      <c r="F3686" s="27" t="str">
        <f>IFERROR(ABS(FV('Investment Calculator'!$C$7/'Investment Calculator'!$F$4,'SIP Schedule'!C3686,'SIP Schedule'!D3686,,1)),"")</f>
        <v/>
      </c>
    </row>
    <row r="3687" spans="3:6" x14ac:dyDescent="0.3">
      <c r="C3687" s="1" t="str">
        <f>IF(C3686&lt;'Investment Calculator'!$C$8*'Investment Calculator'!$F$4,'SIP Schedule'!C3686+1,"")</f>
        <v/>
      </c>
      <c r="D3687" s="27" t="str">
        <f>IF(C3687&lt;='Investment Calculator'!$C$8*'Investment Calculator'!$F$4,'Investment Calculator'!$C$6,"")</f>
        <v/>
      </c>
      <c r="E3687" s="27" t="str">
        <f>IFERROR((F3686+D3687)*'Investment Calculator'!$C$7/'Investment Calculator'!$F$4,"")</f>
        <v/>
      </c>
      <c r="F3687" s="27" t="str">
        <f>IFERROR(ABS(FV('Investment Calculator'!$C$7/'Investment Calculator'!$F$4,'SIP Schedule'!C3687,'SIP Schedule'!D3687,,1)),"")</f>
        <v/>
      </c>
    </row>
    <row r="3688" spans="3:6" x14ac:dyDescent="0.3">
      <c r="C3688" s="1" t="str">
        <f>IF(C3687&lt;'Investment Calculator'!$C$8*'Investment Calculator'!$F$4,'SIP Schedule'!C3687+1,"")</f>
        <v/>
      </c>
      <c r="D3688" s="27" t="str">
        <f>IF(C3688&lt;='Investment Calculator'!$C$8*'Investment Calculator'!$F$4,'Investment Calculator'!$C$6,"")</f>
        <v/>
      </c>
      <c r="E3688" s="27" t="str">
        <f>IFERROR((F3687+D3688)*'Investment Calculator'!$C$7/'Investment Calculator'!$F$4,"")</f>
        <v/>
      </c>
      <c r="F3688" s="27" t="str">
        <f>IFERROR(ABS(FV('Investment Calculator'!$C$7/'Investment Calculator'!$F$4,'SIP Schedule'!C3688,'SIP Schedule'!D3688,,1)),"")</f>
        <v/>
      </c>
    </row>
    <row r="3689" spans="3:6" x14ac:dyDescent="0.3">
      <c r="C3689" s="1" t="str">
        <f>IF(C3688&lt;'Investment Calculator'!$C$8*'Investment Calculator'!$F$4,'SIP Schedule'!C3688+1,"")</f>
        <v/>
      </c>
      <c r="D3689" s="27" t="str">
        <f>IF(C3689&lt;='Investment Calculator'!$C$8*'Investment Calculator'!$F$4,'Investment Calculator'!$C$6,"")</f>
        <v/>
      </c>
      <c r="E3689" s="27" t="str">
        <f>IFERROR((F3688+D3689)*'Investment Calculator'!$C$7/'Investment Calculator'!$F$4,"")</f>
        <v/>
      </c>
      <c r="F3689" s="27" t="str">
        <f>IFERROR(ABS(FV('Investment Calculator'!$C$7/'Investment Calculator'!$F$4,'SIP Schedule'!C3689,'SIP Schedule'!D3689,,1)),"")</f>
        <v/>
      </c>
    </row>
    <row r="3690" spans="3:6" x14ac:dyDescent="0.3">
      <c r="C3690" s="1" t="str">
        <f>IF(C3689&lt;'Investment Calculator'!$C$8*'Investment Calculator'!$F$4,'SIP Schedule'!C3689+1,"")</f>
        <v/>
      </c>
      <c r="D3690" s="27" t="str">
        <f>IF(C3690&lt;='Investment Calculator'!$C$8*'Investment Calculator'!$F$4,'Investment Calculator'!$C$6,"")</f>
        <v/>
      </c>
      <c r="E3690" s="27" t="str">
        <f>IFERROR((F3689+D3690)*'Investment Calculator'!$C$7/'Investment Calculator'!$F$4,"")</f>
        <v/>
      </c>
      <c r="F3690" s="27" t="str">
        <f>IFERROR(ABS(FV('Investment Calculator'!$C$7/'Investment Calculator'!$F$4,'SIP Schedule'!C3690,'SIP Schedule'!D3690,,1)),"")</f>
        <v/>
      </c>
    </row>
    <row r="3691" spans="3:6" x14ac:dyDescent="0.3">
      <c r="C3691" s="1" t="str">
        <f>IF(C3690&lt;'Investment Calculator'!$C$8*'Investment Calculator'!$F$4,'SIP Schedule'!C3690+1,"")</f>
        <v/>
      </c>
      <c r="D3691" s="27" t="str">
        <f>IF(C3691&lt;='Investment Calculator'!$C$8*'Investment Calculator'!$F$4,'Investment Calculator'!$C$6,"")</f>
        <v/>
      </c>
      <c r="E3691" s="27" t="str">
        <f>IFERROR((F3690+D3691)*'Investment Calculator'!$C$7/'Investment Calculator'!$F$4,"")</f>
        <v/>
      </c>
      <c r="F3691" s="27" t="str">
        <f>IFERROR(ABS(FV('Investment Calculator'!$C$7/'Investment Calculator'!$F$4,'SIP Schedule'!C3691,'SIP Schedule'!D3691,,1)),"")</f>
        <v/>
      </c>
    </row>
    <row r="3692" spans="3:6" x14ac:dyDescent="0.3">
      <c r="C3692" s="1" t="str">
        <f>IF(C3691&lt;'Investment Calculator'!$C$8*'Investment Calculator'!$F$4,'SIP Schedule'!C3691+1,"")</f>
        <v/>
      </c>
      <c r="D3692" s="27" t="str">
        <f>IF(C3692&lt;='Investment Calculator'!$C$8*'Investment Calculator'!$F$4,'Investment Calculator'!$C$6,"")</f>
        <v/>
      </c>
      <c r="E3692" s="27" t="str">
        <f>IFERROR((F3691+D3692)*'Investment Calculator'!$C$7/'Investment Calculator'!$F$4,"")</f>
        <v/>
      </c>
      <c r="F3692" s="27" t="str">
        <f>IFERROR(ABS(FV('Investment Calculator'!$C$7/'Investment Calculator'!$F$4,'SIP Schedule'!C3692,'SIP Schedule'!D3692,,1)),"")</f>
        <v/>
      </c>
    </row>
    <row r="3693" spans="3:6" x14ac:dyDescent="0.3">
      <c r="C3693" s="1" t="str">
        <f>IF(C3692&lt;'Investment Calculator'!$C$8*'Investment Calculator'!$F$4,'SIP Schedule'!C3692+1,"")</f>
        <v/>
      </c>
      <c r="D3693" s="27" t="str">
        <f>IF(C3693&lt;='Investment Calculator'!$C$8*'Investment Calculator'!$F$4,'Investment Calculator'!$C$6,"")</f>
        <v/>
      </c>
      <c r="E3693" s="27" t="str">
        <f>IFERROR((F3692+D3693)*'Investment Calculator'!$C$7/'Investment Calculator'!$F$4,"")</f>
        <v/>
      </c>
      <c r="F3693" s="27" t="str">
        <f>IFERROR(ABS(FV('Investment Calculator'!$C$7/'Investment Calculator'!$F$4,'SIP Schedule'!C3693,'SIP Schedule'!D3693,,1)),"")</f>
        <v/>
      </c>
    </row>
    <row r="3694" spans="3:6" x14ac:dyDescent="0.3">
      <c r="C3694" s="1" t="str">
        <f>IF(C3693&lt;'Investment Calculator'!$C$8*'Investment Calculator'!$F$4,'SIP Schedule'!C3693+1,"")</f>
        <v/>
      </c>
      <c r="D3694" s="27" t="str">
        <f>IF(C3694&lt;='Investment Calculator'!$C$8*'Investment Calculator'!$F$4,'Investment Calculator'!$C$6,"")</f>
        <v/>
      </c>
      <c r="E3694" s="27" t="str">
        <f>IFERROR((F3693+D3694)*'Investment Calculator'!$C$7/'Investment Calculator'!$F$4,"")</f>
        <v/>
      </c>
      <c r="F3694" s="27" t="str">
        <f>IFERROR(ABS(FV('Investment Calculator'!$C$7/'Investment Calculator'!$F$4,'SIP Schedule'!C3694,'SIP Schedule'!D3694,,1)),"")</f>
        <v/>
      </c>
    </row>
    <row r="3695" spans="3:6" x14ac:dyDescent="0.3">
      <c r="C3695" s="1" t="str">
        <f>IF(C3694&lt;'Investment Calculator'!$C$8*'Investment Calculator'!$F$4,'SIP Schedule'!C3694+1,"")</f>
        <v/>
      </c>
      <c r="D3695" s="27" t="str">
        <f>IF(C3695&lt;='Investment Calculator'!$C$8*'Investment Calculator'!$F$4,'Investment Calculator'!$C$6,"")</f>
        <v/>
      </c>
      <c r="E3695" s="27" t="str">
        <f>IFERROR((F3694+D3695)*'Investment Calculator'!$C$7/'Investment Calculator'!$F$4,"")</f>
        <v/>
      </c>
      <c r="F3695" s="27" t="str">
        <f>IFERROR(ABS(FV('Investment Calculator'!$C$7/'Investment Calculator'!$F$4,'SIP Schedule'!C3695,'SIP Schedule'!D3695,,1)),"")</f>
        <v/>
      </c>
    </row>
    <row r="3696" spans="3:6" x14ac:dyDescent="0.3">
      <c r="C3696" s="1" t="str">
        <f>IF(C3695&lt;'Investment Calculator'!$C$8*'Investment Calculator'!$F$4,'SIP Schedule'!C3695+1,"")</f>
        <v/>
      </c>
      <c r="D3696" s="27" t="str">
        <f>IF(C3696&lt;='Investment Calculator'!$C$8*'Investment Calculator'!$F$4,'Investment Calculator'!$C$6,"")</f>
        <v/>
      </c>
      <c r="E3696" s="27" t="str">
        <f>IFERROR((F3695+D3696)*'Investment Calculator'!$C$7/'Investment Calculator'!$F$4,"")</f>
        <v/>
      </c>
      <c r="F3696" s="27" t="str">
        <f>IFERROR(ABS(FV('Investment Calculator'!$C$7/'Investment Calculator'!$F$4,'SIP Schedule'!C3696,'SIP Schedule'!D3696,,1)),"")</f>
        <v/>
      </c>
    </row>
    <row r="3697" spans="3:6" x14ac:dyDescent="0.3">
      <c r="C3697" s="1" t="str">
        <f>IF(C3696&lt;'Investment Calculator'!$C$8*'Investment Calculator'!$F$4,'SIP Schedule'!C3696+1,"")</f>
        <v/>
      </c>
      <c r="D3697" s="27" t="str">
        <f>IF(C3697&lt;='Investment Calculator'!$C$8*'Investment Calculator'!$F$4,'Investment Calculator'!$C$6,"")</f>
        <v/>
      </c>
      <c r="E3697" s="27" t="str">
        <f>IFERROR((F3696+D3697)*'Investment Calculator'!$C$7/'Investment Calculator'!$F$4,"")</f>
        <v/>
      </c>
      <c r="F3697" s="27" t="str">
        <f>IFERROR(ABS(FV('Investment Calculator'!$C$7/'Investment Calculator'!$F$4,'SIP Schedule'!C3697,'SIP Schedule'!D3697,,1)),"")</f>
        <v/>
      </c>
    </row>
    <row r="3698" spans="3:6" x14ac:dyDescent="0.3">
      <c r="C3698" s="1" t="str">
        <f>IF(C3697&lt;'Investment Calculator'!$C$8*'Investment Calculator'!$F$4,'SIP Schedule'!C3697+1,"")</f>
        <v/>
      </c>
      <c r="D3698" s="27" t="str">
        <f>IF(C3698&lt;='Investment Calculator'!$C$8*'Investment Calculator'!$F$4,'Investment Calculator'!$C$6,"")</f>
        <v/>
      </c>
      <c r="E3698" s="27" t="str">
        <f>IFERROR((F3697+D3698)*'Investment Calculator'!$C$7/'Investment Calculator'!$F$4,"")</f>
        <v/>
      </c>
      <c r="F3698" s="27" t="str">
        <f>IFERROR(ABS(FV('Investment Calculator'!$C$7/'Investment Calculator'!$F$4,'SIP Schedule'!C3698,'SIP Schedule'!D3698,,1)),"")</f>
        <v/>
      </c>
    </row>
    <row r="3699" spans="3:6" x14ac:dyDescent="0.3">
      <c r="C3699" s="1" t="str">
        <f>IF(C3698&lt;'Investment Calculator'!$C$8*'Investment Calculator'!$F$4,'SIP Schedule'!C3698+1,"")</f>
        <v/>
      </c>
      <c r="D3699" s="27" t="str">
        <f>IF(C3699&lt;='Investment Calculator'!$C$8*'Investment Calculator'!$F$4,'Investment Calculator'!$C$6,"")</f>
        <v/>
      </c>
      <c r="E3699" s="27" t="str">
        <f>IFERROR((F3698+D3699)*'Investment Calculator'!$C$7/'Investment Calculator'!$F$4,"")</f>
        <v/>
      </c>
      <c r="F3699" s="27" t="str">
        <f>IFERROR(ABS(FV('Investment Calculator'!$C$7/'Investment Calculator'!$F$4,'SIP Schedule'!C3699,'SIP Schedule'!D3699,,1)),"")</f>
        <v/>
      </c>
    </row>
    <row r="3700" spans="3:6" x14ac:dyDescent="0.3">
      <c r="C3700" s="1" t="str">
        <f>IF(C3699&lt;'Investment Calculator'!$C$8*'Investment Calculator'!$F$4,'SIP Schedule'!C3699+1,"")</f>
        <v/>
      </c>
      <c r="D3700" s="27" t="str">
        <f>IF(C3700&lt;='Investment Calculator'!$C$8*'Investment Calculator'!$F$4,'Investment Calculator'!$C$6,"")</f>
        <v/>
      </c>
      <c r="E3700" s="27" t="str">
        <f>IFERROR((F3699+D3700)*'Investment Calculator'!$C$7/'Investment Calculator'!$F$4,"")</f>
        <v/>
      </c>
      <c r="F3700" s="27" t="str">
        <f>IFERROR(ABS(FV('Investment Calculator'!$C$7/'Investment Calculator'!$F$4,'SIP Schedule'!C3700,'SIP Schedule'!D3700,,1)),"")</f>
        <v/>
      </c>
    </row>
    <row r="3701" spans="3:6" x14ac:dyDescent="0.3">
      <c r="C3701" s="1" t="str">
        <f>IF(C3700&lt;'Investment Calculator'!$C$8*'Investment Calculator'!$F$4,'SIP Schedule'!C3700+1,"")</f>
        <v/>
      </c>
      <c r="D3701" s="27" t="str">
        <f>IF(C3701&lt;='Investment Calculator'!$C$8*'Investment Calculator'!$F$4,'Investment Calculator'!$C$6,"")</f>
        <v/>
      </c>
      <c r="E3701" s="27" t="str">
        <f>IFERROR((F3700+D3701)*'Investment Calculator'!$C$7/'Investment Calculator'!$F$4,"")</f>
        <v/>
      </c>
      <c r="F3701" s="27" t="str">
        <f>IFERROR(ABS(FV('Investment Calculator'!$C$7/'Investment Calculator'!$F$4,'SIP Schedule'!C3701,'SIP Schedule'!D3701,,1)),"")</f>
        <v/>
      </c>
    </row>
    <row r="3702" spans="3:6" x14ac:dyDescent="0.3">
      <c r="C3702" s="1" t="str">
        <f>IF(C3701&lt;'Investment Calculator'!$C$8*'Investment Calculator'!$F$4,'SIP Schedule'!C3701+1,"")</f>
        <v/>
      </c>
      <c r="D3702" s="27" t="str">
        <f>IF(C3702&lt;='Investment Calculator'!$C$8*'Investment Calculator'!$F$4,'Investment Calculator'!$C$6,"")</f>
        <v/>
      </c>
      <c r="E3702" s="27" t="str">
        <f>IFERROR((F3701+D3702)*'Investment Calculator'!$C$7/'Investment Calculator'!$F$4,"")</f>
        <v/>
      </c>
      <c r="F3702" s="27" t="str">
        <f>IFERROR(ABS(FV('Investment Calculator'!$C$7/'Investment Calculator'!$F$4,'SIP Schedule'!C3702,'SIP Schedule'!D3702,,1)),"")</f>
        <v/>
      </c>
    </row>
    <row r="3703" spans="3:6" x14ac:dyDescent="0.3">
      <c r="C3703" s="1" t="str">
        <f>IF(C3702&lt;'Investment Calculator'!$C$8*'Investment Calculator'!$F$4,'SIP Schedule'!C3702+1,"")</f>
        <v/>
      </c>
      <c r="D3703" s="27" t="str">
        <f>IF(C3703&lt;='Investment Calculator'!$C$8*'Investment Calculator'!$F$4,'Investment Calculator'!$C$6,"")</f>
        <v/>
      </c>
      <c r="E3703" s="27" t="str">
        <f>IFERROR((F3702+D3703)*'Investment Calculator'!$C$7/'Investment Calculator'!$F$4,"")</f>
        <v/>
      </c>
      <c r="F3703" s="27" t="str">
        <f>IFERROR(ABS(FV('Investment Calculator'!$C$7/'Investment Calculator'!$F$4,'SIP Schedule'!C3703,'SIP Schedule'!D3703,,1)),"")</f>
        <v/>
      </c>
    </row>
    <row r="3704" spans="3:6" x14ac:dyDescent="0.3">
      <c r="C3704" s="1" t="str">
        <f>IF(C3703&lt;'Investment Calculator'!$C$8*'Investment Calculator'!$F$4,'SIP Schedule'!C3703+1,"")</f>
        <v/>
      </c>
      <c r="D3704" s="27" t="str">
        <f>IF(C3704&lt;='Investment Calculator'!$C$8*'Investment Calculator'!$F$4,'Investment Calculator'!$C$6,"")</f>
        <v/>
      </c>
      <c r="E3704" s="27" t="str">
        <f>IFERROR((F3703+D3704)*'Investment Calculator'!$C$7/'Investment Calculator'!$F$4,"")</f>
        <v/>
      </c>
      <c r="F3704" s="27" t="str">
        <f>IFERROR(ABS(FV('Investment Calculator'!$C$7/'Investment Calculator'!$F$4,'SIP Schedule'!C3704,'SIP Schedule'!D3704,,1)),"")</f>
        <v/>
      </c>
    </row>
    <row r="3705" spans="3:6" x14ac:dyDescent="0.3">
      <c r="C3705" s="1" t="str">
        <f>IF(C3704&lt;'Investment Calculator'!$C$8*'Investment Calculator'!$F$4,'SIP Schedule'!C3704+1,"")</f>
        <v/>
      </c>
      <c r="D3705" s="27" t="str">
        <f>IF(C3705&lt;='Investment Calculator'!$C$8*'Investment Calculator'!$F$4,'Investment Calculator'!$C$6,"")</f>
        <v/>
      </c>
      <c r="E3705" s="27" t="str">
        <f>IFERROR((F3704+D3705)*'Investment Calculator'!$C$7/'Investment Calculator'!$F$4,"")</f>
        <v/>
      </c>
      <c r="F3705" s="27" t="str">
        <f>IFERROR(ABS(FV('Investment Calculator'!$C$7/'Investment Calculator'!$F$4,'SIP Schedule'!C3705,'SIP Schedule'!D3705,,1)),"")</f>
        <v/>
      </c>
    </row>
    <row r="3706" spans="3:6" x14ac:dyDescent="0.3">
      <c r="C3706" s="1" t="str">
        <f>IF(C3705&lt;'Investment Calculator'!$C$8*'Investment Calculator'!$F$4,'SIP Schedule'!C3705+1,"")</f>
        <v/>
      </c>
      <c r="D3706" s="27" t="str">
        <f>IF(C3706&lt;='Investment Calculator'!$C$8*'Investment Calculator'!$F$4,'Investment Calculator'!$C$6,"")</f>
        <v/>
      </c>
      <c r="E3706" s="27" t="str">
        <f>IFERROR((F3705+D3706)*'Investment Calculator'!$C$7/'Investment Calculator'!$F$4,"")</f>
        <v/>
      </c>
      <c r="F3706" s="27" t="str">
        <f>IFERROR(ABS(FV('Investment Calculator'!$C$7/'Investment Calculator'!$F$4,'SIP Schedule'!C3706,'SIP Schedule'!D3706,,1)),"")</f>
        <v/>
      </c>
    </row>
    <row r="3707" spans="3:6" x14ac:dyDescent="0.3">
      <c r="C3707" s="1" t="str">
        <f>IF(C3706&lt;'Investment Calculator'!$C$8*'Investment Calculator'!$F$4,'SIP Schedule'!C3706+1,"")</f>
        <v/>
      </c>
      <c r="D3707" s="27" t="str">
        <f>IF(C3707&lt;='Investment Calculator'!$C$8*'Investment Calculator'!$F$4,'Investment Calculator'!$C$6,"")</f>
        <v/>
      </c>
      <c r="E3707" s="27" t="str">
        <f>IFERROR((F3706+D3707)*'Investment Calculator'!$C$7/'Investment Calculator'!$F$4,"")</f>
        <v/>
      </c>
      <c r="F3707" s="27" t="str">
        <f>IFERROR(ABS(FV('Investment Calculator'!$C$7/'Investment Calculator'!$F$4,'SIP Schedule'!C3707,'SIP Schedule'!D3707,,1)),"")</f>
        <v/>
      </c>
    </row>
    <row r="3708" spans="3:6" x14ac:dyDescent="0.3">
      <c r="C3708" s="1" t="str">
        <f>IF(C3707&lt;'Investment Calculator'!$C$8*'Investment Calculator'!$F$4,'SIP Schedule'!C3707+1,"")</f>
        <v/>
      </c>
      <c r="D3708" s="27" t="str">
        <f>IF(C3708&lt;='Investment Calculator'!$C$8*'Investment Calculator'!$F$4,'Investment Calculator'!$C$6,"")</f>
        <v/>
      </c>
      <c r="E3708" s="27" t="str">
        <f>IFERROR((F3707+D3708)*'Investment Calculator'!$C$7/'Investment Calculator'!$F$4,"")</f>
        <v/>
      </c>
      <c r="F3708" s="27" t="str">
        <f>IFERROR(ABS(FV('Investment Calculator'!$C$7/'Investment Calculator'!$F$4,'SIP Schedule'!C3708,'SIP Schedule'!D3708,,1)),"")</f>
        <v/>
      </c>
    </row>
    <row r="3709" spans="3:6" x14ac:dyDescent="0.3">
      <c r="C3709" s="1" t="str">
        <f>IF(C3708&lt;'Investment Calculator'!$C$8*'Investment Calculator'!$F$4,'SIP Schedule'!C3708+1,"")</f>
        <v/>
      </c>
      <c r="D3709" s="27" t="str">
        <f>IF(C3709&lt;='Investment Calculator'!$C$8*'Investment Calculator'!$F$4,'Investment Calculator'!$C$6,"")</f>
        <v/>
      </c>
      <c r="E3709" s="27" t="str">
        <f>IFERROR((F3708+D3709)*'Investment Calculator'!$C$7/'Investment Calculator'!$F$4,"")</f>
        <v/>
      </c>
      <c r="F3709" s="27" t="str">
        <f>IFERROR(ABS(FV('Investment Calculator'!$C$7/'Investment Calculator'!$F$4,'SIP Schedule'!C3709,'SIP Schedule'!D3709,,1)),"")</f>
        <v/>
      </c>
    </row>
    <row r="3710" spans="3:6" x14ac:dyDescent="0.3">
      <c r="C3710" s="1" t="str">
        <f>IF(C3709&lt;'Investment Calculator'!$C$8*'Investment Calculator'!$F$4,'SIP Schedule'!C3709+1,"")</f>
        <v/>
      </c>
      <c r="D3710" s="27" t="str">
        <f>IF(C3710&lt;='Investment Calculator'!$C$8*'Investment Calculator'!$F$4,'Investment Calculator'!$C$6,"")</f>
        <v/>
      </c>
      <c r="E3710" s="27" t="str">
        <f>IFERROR((F3709+D3710)*'Investment Calculator'!$C$7/'Investment Calculator'!$F$4,"")</f>
        <v/>
      </c>
      <c r="F3710" s="27" t="str">
        <f>IFERROR(ABS(FV('Investment Calculator'!$C$7/'Investment Calculator'!$F$4,'SIP Schedule'!C3710,'SIP Schedule'!D3710,,1)),"")</f>
        <v/>
      </c>
    </row>
    <row r="3711" spans="3:6" x14ac:dyDescent="0.3">
      <c r="C3711" s="1" t="str">
        <f>IF(C3710&lt;'Investment Calculator'!$C$8*'Investment Calculator'!$F$4,'SIP Schedule'!C3710+1,"")</f>
        <v/>
      </c>
      <c r="D3711" s="27" t="str">
        <f>IF(C3711&lt;='Investment Calculator'!$C$8*'Investment Calculator'!$F$4,'Investment Calculator'!$C$6,"")</f>
        <v/>
      </c>
      <c r="E3711" s="27" t="str">
        <f>IFERROR((F3710+D3711)*'Investment Calculator'!$C$7/'Investment Calculator'!$F$4,"")</f>
        <v/>
      </c>
      <c r="F3711" s="27" t="str">
        <f>IFERROR(ABS(FV('Investment Calculator'!$C$7/'Investment Calculator'!$F$4,'SIP Schedule'!C3711,'SIP Schedule'!D3711,,1)),"")</f>
        <v/>
      </c>
    </row>
    <row r="3712" spans="3:6" x14ac:dyDescent="0.3">
      <c r="C3712" s="1" t="str">
        <f>IF(C3711&lt;'Investment Calculator'!$C$8*'Investment Calculator'!$F$4,'SIP Schedule'!C3711+1,"")</f>
        <v/>
      </c>
      <c r="D3712" s="27" t="str">
        <f>IF(C3712&lt;='Investment Calculator'!$C$8*'Investment Calculator'!$F$4,'Investment Calculator'!$C$6,"")</f>
        <v/>
      </c>
      <c r="E3712" s="27" t="str">
        <f>IFERROR((F3711+D3712)*'Investment Calculator'!$C$7/'Investment Calculator'!$F$4,"")</f>
        <v/>
      </c>
      <c r="F3712" s="27" t="str">
        <f>IFERROR(ABS(FV('Investment Calculator'!$C$7/'Investment Calculator'!$F$4,'SIP Schedule'!C3712,'SIP Schedule'!D3712,,1)),"")</f>
        <v/>
      </c>
    </row>
    <row r="3713" spans="3:6" x14ac:dyDescent="0.3">
      <c r="C3713" s="1" t="str">
        <f>IF(C3712&lt;'Investment Calculator'!$C$8*'Investment Calculator'!$F$4,'SIP Schedule'!C3712+1,"")</f>
        <v/>
      </c>
      <c r="D3713" s="27" t="str">
        <f>IF(C3713&lt;='Investment Calculator'!$C$8*'Investment Calculator'!$F$4,'Investment Calculator'!$C$6,"")</f>
        <v/>
      </c>
      <c r="E3713" s="27" t="str">
        <f>IFERROR((F3712+D3713)*'Investment Calculator'!$C$7/'Investment Calculator'!$F$4,"")</f>
        <v/>
      </c>
      <c r="F3713" s="27" t="str">
        <f>IFERROR(ABS(FV('Investment Calculator'!$C$7/'Investment Calculator'!$F$4,'SIP Schedule'!C3713,'SIP Schedule'!D3713,,1)),"")</f>
        <v/>
      </c>
    </row>
    <row r="3714" spans="3:6" x14ac:dyDescent="0.3">
      <c r="C3714" s="1" t="str">
        <f>IF(C3713&lt;'Investment Calculator'!$C$8*'Investment Calculator'!$F$4,'SIP Schedule'!C3713+1,"")</f>
        <v/>
      </c>
      <c r="D3714" s="27" t="str">
        <f>IF(C3714&lt;='Investment Calculator'!$C$8*'Investment Calculator'!$F$4,'Investment Calculator'!$C$6,"")</f>
        <v/>
      </c>
      <c r="E3714" s="27" t="str">
        <f>IFERROR((F3713+D3714)*'Investment Calculator'!$C$7/'Investment Calculator'!$F$4,"")</f>
        <v/>
      </c>
      <c r="F3714" s="27" t="str">
        <f>IFERROR(ABS(FV('Investment Calculator'!$C$7/'Investment Calculator'!$F$4,'SIP Schedule'!C3714,'SIP Schedule'!D3714,,1)),"")</f>
        <v/>
      </c>
    </row>
    <row r="3715" spans="3:6" x14ac:dyDescent="0.3">
      <c r="C3715" s="1" t="str">
        <f>IF(C3714&lt;'Investment Calculator'!$C$8*'Investment Calculator'!$F$4,'SIP Schedule'!C3714+1,"")</f>
        <v/>
      </c>
      <c r="D3715" s="27" t="str">
        <f>IF(C3715&lt;='Investment Calculator'!$C$8*'Investment Calculator'!$F$4,'Investment Calculator'!$C$6,"")</f>
        <v/>
      </c>
      <c r="E3715" s="27" t="str">
        <f>IFERROR((F3714+D3715)*'Investment Calculator'!$C$7/'Investment Calculator'!$F$4,"")</f>
        <v/>
      </c>
      <c r="F3715" s="27" t="str">
        <f>IFERROR(ABS(FV('Investment Calculator'!$C$7/'Investment Calculator'!$F$4,'SIP Schedule'!C3715,'SIP Schedule'!D3715,,1)),"")</f>
        <v/>
      </c>
    </row>
    <row r="3716" spans="3:6" x14ac:dyDescent="0.3">
      <c r="C3716" s="1" t="str">
        <f>IF(C3715&lt;'Investment Calculator'!$C$8*'Investment Calculator'!$F$4,'SIP Schedule'!C3715+1,"")</f>
        <v/>
      </c>
      <c r="D3716" s="27" t="str">
        <f>IF(C3716&lt;='Investment Calculator'!$C$8*'Investment Calculator'!$F$4,'Investment Calculator'!$C$6,"")</f>
        <v/>
      </c>
      <c r="E3716" s="27" t="str">
        <f>IFERROR((F3715+D3716)*'Investment Calculator'!$C$7/'Investment Calculator'!$F$4,"")</f>
        <v/>
      </c>
      <c r="F3716" s="27" t="str">
        <f>IFERROR(ABS(FV('Investment Calculator'!$C$7/'Investment Calculator'!$F$4,'SIP Schedule'!C3716,'SIP Schedule'!D3716,,1)),"")</f>
        <v/>
      </c>
    </row>
    <row r="3717" spans="3:6" x14ac:dyDescent="0.3">
      <c r="C3717" s="1" t="str">
        <f>IF(C3716&lt;'Investment Calculator'!$C$8*'Investment Calculator'!$F$4,'SIP Schedule'!C3716+1,"")</f>
        <v/>
      </c>
      <c r="D3717" s="27" t="str">
        <f>IF(C3717&lt;='Investment Calculator'!$C$8*'Investment Calculator'!$F$4,'Investment Calculator'!$C$6,"")</f>
        <v/>
      </c>
      <c r="E3717" s="27" t="str">
        <f>IFERROR((F3716+D3717)*'Investment Calculator'!$C$7/'Investment Calculator'!$F$4,"")</f>
        <v/>
      </c>
      <c r="F3717" s="27" t="str">
        <f>IFERROR(ABS(FV('Investment Calculator'!$C$7/'Investment Calculator'!$F$4,'SIP Schedule'!C3717,'SIP Schedule'!D3717,,1)),"")</f>
        <v/>
      </c>
    </row>
    <row r="3718" spans="3:6" x14ac:dyDescent="0.3">
      <c r="C3718" s="1" t="str">
        <f>IF(C3717&lt;'Investment Calculator'!$C$8*'Investment Calculator'!$F$4,'SIP Schedule'!C3717+1,"")</f>
        <v/>
      </c>
      <c r="D3718" s="27" t="str">
        <f>IF(C3718&lt;='Investment Calculator'!$C$8*'Investment Calculator'!$F$4,'Investment Calculator'!$C$6,"")</f>
        <v/>
      </c>
      <c r="E3718" s="27" t="str">
        <f>IFERROR((F3717+D3718)*'Investment Calculator'!$C$7/'Investment Calculator'!$F$4,"")</f>
        <v/>
      </c>
      <c r="F3718" s="27" t="str">
        <f>IFERROR(ABS(FV('Investment Calculator'!$C$7/'Investment Calculator'!$F$4,'SIP Schedule'!C3718,'SIP Schedule'!D3718,,1)),"")</f>
        <v/>
      </c>
    </row>
    <row r="3719" spans="3:6" x14ac:dyDescent="0.3">
      <c r="C3719" s="1" t="str">
        <f>IF(C3718&lt;'Investment Calculator'!$C$8*'Investment Calculator'!$F$4,'SIP Schedule'!C3718+1,"")</f>
        <v/>
      </c>
      <c r="D3719" s="27" t="str">
        <f>IF(C3719&lt;='Investment Calculator'!$C$8*'Investment Calculator'!$F$4,'Investment Calculator'!$C$6,"")</f>
        <v/>
      </c>
      <c r="E3719" s="27" t="str">
        <f>IFERROR((F3718+D3719)*'Investment Calculator'!$C$7/'Investment Calculator'!$F$4,"")</f>
        <v/>
      </c>
      <c r="F3719" s="27" t="str">
        <f>IFERROR(ABS(FV('Investment Calculator'!$C$7/'Investment Calculator'!$F$4,'SIP Schedule'!C3719,'SIP Schedule'!D3719,,1)),"")</f>
        <v/>
      </c>
    </row>
    <row r="3720" spans="3:6" x14ac:dyDescent="0.3">
      <c r="C3720" s="1" t="str">
        <f>IF(C3719&lt;'Investment Calculator'!$C$8*'Investment Calculator'!$F$4,'SIP Schedule'!C3719+1,"")</f>
        <v/>
      </c>
      <c r="D3720" s="27" t="str">
        <f>IF(C3720&lt;='Investment Calculator'!$C$8*'Investment Calculator'!$F$4,'Investment Calculator'!$C$6,"")</f>
        <v/>
      </c>
      <c r="E3720" s="27" t="str">
        <f>IFERROR((F3719+D3720)*'Investment Calculator'!$C$7/'Investment Calculator'!$F$4,"")</f>
        <v/>
      </c>
      <c r="F3720" s="27" t="str">
        <f>IFERROR(ABS(FV('Investment Calculator'!$C$7/'Investment Calculator'!$F$4,'SIP Schedule'!C3720,'SIP Schedule'!D3720,,1)),"")</f>
        <v/>
      </c>
    </row>
    <row r="3721" spans="3:6" x14ac:dyDescent="0.3">
      <c r="C3721" s="1" t="str">
        <f>IF(C3720&lt;'Investment Calculator'!$C$8*'Investment Calculator'!$F$4,'SIP Schedule'!C3720+1,"")</f>
        <v/>
      </c>
      <c r="D3721" s="27" t="str">
        <f>IF(C3721&lt;='Investment Calculator'!$C$8*'Investment Calculator'!$F$4,'Investment Calculator'!$C$6,"")</f>
        <v/>
      </c>
      <c r="E3721" s="27" t="str">
        <f>IFERROR((F3720+D3721)*'Investment Calculator'!$C$7/'Investment Calculator'!$F$4,"")</f>
        <v/>
      </c>
      <c r="F3721" s="27" t="str">
        <f>IFERROR(ABS(FV('Investment Calculator'!$C$7/'Investment Calculator'!$F$4,'SIP Schedule'!C3721,'SIP Schedule'!D3721,,1)),"")</f>
        <v/>
      </c>
    </row>
    <row r="3722" spans="3:6" x14ac:dyDescent="0.3">
      <c r="C3722" s="1" t="str">
        <f>IF(C3721&lt;'Investment Calculator'!$C$8*'Investment Calculator'!$F$4,'SIP Schedule'!C3721+1,"")</f>
        <v/>
      </c>
      <c r="D3722" s="27" t="str">
        <f>IF(C3722&lt;='Investment Calculator'!$C$8*'Investment Calculator'!$F$4,'Investment Calculator'!$C$6,"")</f>
        <v/>
      </c>
      <c r="E3722" s="27" t="str">
        <f>IFERROR((F3721+D3722)*'Investment Calculator'!$C$7/'Investment Calculator'!$F$4,"")</f>
        <v/>
      </c>
      <c r="F3722" s="27" t="str">
        <f>IFERROR(ABS(FV('Investment Calculator'!$C$7/'Investment Calculator'!$F$4,'SIP Schedule'!C3722,'SIP Schedule'!D3722,,1)),"")</f>
        <v/>
      </c>
    </row>
    <row r="3723" spans="3:6" x14ac:dyDescent="0.3">
      <c r="C3723" s="1" t="str">
        <f>IF(C3722&lt;'Investment Calculator'!$C$8*'Investment Calculator'!$F$4,'SIP Schedule'!C3722+1,"")</f>
        <v/>
      </c>
      <c r="D3723" s="27" t="str">
        <f>IF(C3723&lt;='Investment Calculator'!$C$8*'Investment Calculator'!$F$4,'Investment Calculator'!$C$6,"")</f>
        <v/>
      </c>
      <c r="E3723" s="27" t="str">
        <f>IFERROR((F3722+D3723)*'Investment Calculator'!$C$7/'Investment Calculator'!$F$4,"")</f>
        <v/>
      </c>
      <c r="F3723" s="27" t="str">
        <f>IFERROR(ABS(FV('Investment Calculator'!$C$7/'Investment Calculator'!$F$4,'SIP Schedule'!C3723,'SIP Schedule'!D3723,,1)),"")</f>
        <v/>
      </c>
    </row>
    <row r="3724" spans="3:6" x14ac:dyDescent="0.3">
      <c r="C3724" s="1" t="str">
        <f>IF(C3723&lt;'Investment Calculator'!$C$8*'Investment Calculator'!$F$4,'SIP Schedule'!C3723+1,"")</f>
        <v/>
      </c>
      <c r="D3724" s="27" t="str">
        <f>IF(C3724&lt;='Investment Calculator'!$C$8*'Investment Calculator'!$F$4,'Investment Calculator'!$C$6,"")</f>
        <v/>
      </c>
      <c r="E3724" s="27" t="str">
        <f>IFERROR((F3723+D3724)*'Investment Calculator'!$C$7/'Investment Calculator'!$F$4,"")</f>
        <v/>
      </c>
      <c r="F3724" s="27" t="str">
        <f>IFERROR(ABS(FV('Investment Calculator'!$C$7/'Investment Calculator'!$F$4,'SIP Schedule'!C3724,'SIP Schedule'!D3724,,1)),"")</f>
        <v/>
      </c>
    </row>
    <row r="3725" spans="3:6" x14ac:dyDescent="0.3">
      <c r="C3725" s="1" t="str">
        <f>IF(C3724&lt;'Investment Calculator'!$C$8*'Investment Calculator'!$F$4,'SIP Schedule'!C3724+1,"")</f>
        <v/>
      </c>
      <c r="D3725" s="27" t="str">
        <f>IF(C3725&lt;='Investment Calculator'!$C$8*'Investment Calculator'!$F$4,'Investment Calculator'!$C$6,"")</f>
        <v/>
      </c>
      <c r="E3725" s="27" t="str">
        <f>IFERROR((F3724+D3725)*'Investment Calculator'!$C$7/'Investment Calculator'!$F$4,"")</f>
        <v/>
      </c>
      <c r="F3725" s="27" t="str">
        <f>IFERROR(ABS(FV('Investment Calculator'!$C$7/'Investment Calculator'!$F$4,'SIP Schedule'!C3725,'SIP Schedule'!D3725,,1)),"")</f>
        <v/>
      </c>
    </row>
    <row r="3726" spans="3:6" x14ac:dyDescent="0.3">
      <c r="C3726" s="1" t="str">
        <f>IF(C3725&lt;'Investment Calculator'!$C$8*'Investment Calculator'!$F$4,'SIP Schedule'!C3725+1,"")</f>
        <v/>
      </c>
      <c r="D3726" s="27" t="str">
        <f>IF(C3726&lt;='Investment Calculator'!$C$8*'Investment Calculator'!$F$4,'Investment Calculator'!$C$6,"")</f>
        <v/>
      </c>
      <c r="E3726" s="27" t="str">
        <f>IFERROR((F3725+D3726)*'Investment Calculator'!$C$7/'Investment Calculator'!$F$4,"")</f>
        <v/>
      </c>
      <c r="F3726" s="27" t="str">
        <f>IFERROR(ABS(FV('Investment Calculator'!$C$7/'Investment Calculator'!$F$4,'SIP Schedule'!C3726,'SIP Schedule'!D3726,,1)),"")</f>
        <v/>
      </c>
    </row>
    <row r="3727" spans="3:6" x14ac:dyDescent="0.3">
      <c r="C3727" s="1" t="str">
        <f>IF(C3726&lt;'Investment Calculator'!$C$8*'Investment Calculator'!$F$4,'SIP Schedule'!C3726+1,"")</f>
        <v/>
      </c>
      <c r="D3727" s="27" t="str">
        <f>IF(C3727&lt;='Investment Calculator'!$C$8*'Investment Calculator'!$F$4,'Investment Calculator'!$C$6,"")</f>
        <v/>
      </c>
      <c r="E3727" s="27" t="str">
        <f>IFERROR((F3726+D3727)*'Investment Calculator'!$C$7/'Investment Calculator'!$F$4,"")</f>
        <v/>
      </c>
      <c r="F3727" s="27" t="str">
        <f>IFERROR(ABS(FV('Investment Calculator'!$C$7/'Investment Calculator'!$F$4,'SIP Schedule'!C3727,'SIP Schedule'!D3727,,1)),"")</f>
        <v/>
      </c>
    </row>
    <row r="3728" spans="3:6" x14ac:dyDescent="0.3">
      <c r="C3728" s="1" t="str">
        <f>IF(C3727&lt;'Investment Calculator'!$C$8*'Investment Calculator'!$F$4,'SIP Schedule'!C3727+1,"")</f>
        <v/>
      </c>
      <c r="D3728" s="27" t="str">
        <f>IF(C3728&lt;='Investment Calculator'!$C$8*'Investment Calculator'!$F$4,'Investment Calculator'!$C$6,"")</f>
        <v/>
      </c>
      <c r="E3728" s="27" t="str">
        <f>IFERROR((F3727+D3728)*'Investment Calculator'!$C$7/'Investment Calculator'!$F$4,"")</f>
        <v/>
      </c>
      <c r="F3728" s="27" t="str">
        <f>IFERROR(ABS(FV('Investment Calculator'!$C$7/'Investment Calculator'!$F$4,'SIP Schedule'!C3728,'SIP Schedule'!D3728,,1)),"")</f>
        <v/>
      </c>
    </row>
    <row r="3729" spans="3:6" x14ac:dyDescent="0.3">
      <c r="C3729" s="1" t="str">
        <f>IF(C3728&lt;'Investment Calculator'!$C$8*'Investment Calculator'!$F$4,'SIP Schedule'!C3728+1,"")</f>
        <v/>
      </c>
      <c r="D3729" s="27" t="str">
        <f>IF(C3729&lt;='Investment Calculator'!$C$8*'Investment Calculator'!$F$4,'Investment Calculator'!$C$6,"")</f>
        <v/>
      </c>
      <c r="E3729" s="27" t="str">
        <f>IFERROR((F3728+D3729)*'Investment Calculator'!$C$7/'Investment Calculator'!$F$4,"")</f>
        <v/>
      </c>
      <c r="F3729" s="27" t="str">
        <f>IFERROR(ABS(FV('Investment Calculator'!$C$7/'Investment Calculator'!$F$4,'SIP Schedule'!C3729,'SIP Schedule'!D3729,,1)),"")</f>
        <v/>
      </c>
    </row>
    <row r="3730" spans="3:6" x14ac:dyDescent="0.3">
      <c r="C3730" s="1" t="str">
        <f>IF(C3729&lt;'Investment Calculator'!$C$8*'Investment Calculator'!$F$4,'SIP Schedule'!C3729+1,"")</f>
        <v/>
      </c>
      <c r="D3730" s="27" t="str">
        <f>IF(C3730&lt;='Investment Calculator'!$C$8*'Investment Calculator'!$F$4,'Investment Calculator'!$C$6,"")</f>
        <v/>
      </c>
      <c r="E3730" s="27" t="str">
        <f>IFERROR((F3729+D3730)*'Investment Calculator'!$C$7/'Investment Calculator'!$F$4,"")</f>
        <v/>
      </c>
      <c r="F3730" s="27" t="str">
        <f>IFERROR(ABS(FV('Investment Calculator'!$C$7/'Investment Calculator'!$F$4,'SIP Schedule'!C3730,'SIP Schedule'!D3730,,1)),"")</f>
        <v/>
      </c>
    </row>
    <row r="3731" spans="3:6" x14ac:dyDescent="0.3">
      <c r="C3731" s="1" t="str">
        <f>IF(C3730&lt;'Investment Calculator'!$C$8*'Investment Calculator'!$F$4,'SIP Schedule'!C3730+1,"")</f>
        <v/>
      </c>
      <c r="D3731" s="27" t="str">
        <f>IF(C3731&lt;='Investment Calculator'!$C$8*'Investment Calculator'!$F$4,'Investment Calculator'!$C$6,"")</f>
        <v/>
      </c>
      <c r="E3731" s="27" t="str">
        <f>IFERROR((F3730+D3731)*'Investment Calculator'!$C$7/'Investment Calculator'!$F$4,"")</f>
        <v/>
      </c>
      <c r="F3731" s="27" t="str">
        <f>IFERROR(ABS(FV('Investment Calculator'!$C$7/'Investment Calculator'!$F$4,'SIP Schedule'!C3731,'SIP Schedule'!D3731,,1)),"")</f>
        <v/>
      </c>
    </row>
    <row r="3732" spans="3:6" x14ac:dyDescent="0.3">
      <c r="C3732" s="1" t="str">
        <f>IF(C3731&lt;'Investment Calculator'!$C$8*'Investment Calculator'!$F$4,'SIP Schedule'!C3731+1,"")</f>
        <v/>
      </c>
      <c r="D3732" s="27" t="str">
        <f>IF(C3732&lt;='Investment Calculator'!$C$8*'Investment Calculator'!$F$4,'Investment Calculator'!$C$6,"")</f>
        <v/>
      </c>
      <c r="E3732" s="27" t="str">
        <f>IFERROR((F3731+D3732)*'Investment Calculator'!$C$7/'Investment Calculator'!$F$4,"")</f>
        <v/>
      </c>
      <c r="F3732" s="27" t="str">
        <f>IFERROR(ABS(FV('Investment Calculator'!$C$7/'Investment Calculator'!$F$4,'SIP Schedule'!C3732,'SIP Schedule'!D3732,,1)),"")</f>
        <v/>
      </c>
    </row>
    <row r="3733" spans="3:6" x14ac:dyDescent="0.3">
      <c r="C3733" s="1" t="str">
        <f>IF(C3732&lt;'Investment Calculator'!$C$8*'Investment Calculator'!$F$4,'SIP Schedule'!C3732+1,"")</f>
        <v/>
      </c>
      <c r="D3733" s="27" t="str">
        <f>IF(C3733&lt;='Investment Calculator'!$C$8*'Investment Calculator'!$F$4,'Investment Calculator'!$C$6,"")</f>
        <v/>
      </c>
      <c r="E3733" s="27" t="str">
        <f>IFERROR((F3732+D3733)*'Investment Calculator'!$C$7/'Investment Calculator'!$F$4,"")</f>
        <v/>
      </c>
      <c r="F3733" s="27" t="str">
        <f>IFERROR(ABS(FV('Investment Calculator'!$C$7/'Investment Calculator'!$F$4,'SIP Schedule'!C3733,'SIP Schedule'!D3733,,1)),"")</f>
        <v/>
      </c>
    </row>
    <row r="3734" spans="3:6" x14ac:dyDescent="0.3">
      <c r="C3734" s="1" t="str">
        <f>IF(C3733&lt;'Investment Calculator'!$C$8*'Investment Calculator'!$F$4,'SIP Schedule'!C3733+1,"")</f>
        <v/>
      </c>
      <c r="D3734" s="27" t="str">
        <f>IF(C3734&lt;='Investment Calculator'!$C$8*'Investment Calculator'!$F$4,'Investment Calculator'!$C$6,"")</f>
        <v/>
      </c>
      <c r="E3734" s="27" t="str">
        <f>IFERROR((F3733+D3734)*'Investment Calculator'!$C$7/'Investment Calculator'!$F$4,"")</f>
        <v/>
      </c>
      <c r="F3734" s="27" t="str">
        <f>IFERROR(ABS(FV('Investment Calculator'!$C$7/'Investment Calculator'!$F$4,'SIP Schedule'!C3734,'SIP Schedule'!D3734,,1)),"")</f>
        <v/>
      </c>
    </row>
    <row r="3735" spans="3:6" x14ac:dyDescent="0.3">
      <c r="C3735" s="1" t="str">
        <f>IF(C3734&lt;'Investment Calculator'!$C$8*'Investment Calculator'!$F$4,'SIP Schedule'!C3734+1,"")</f>
        <v/>
      </c>
      <c r="D3735" s="27" t="str">
        <f>IF(C3735&lt;='Investment Calculator'!$C$8*'Investment Calculator'!$F$4,'Investment Calculator'!$C$6,"")</f>
        <v/>
      </c>
      <c r="E3735" s="27" t="str">
        <f>IFERROR((F3734+D3735)*'Investment Calculator'!$C$7/'Investment Calculator'!$F$4,"")</f>
        <v/>
      </c>
      <c r="F3735" s="27" t="str">
        <f>IFERROR(ABS(FV('Investment Calculator'!$C$7/'Investment Calculator'!$F$4,'SIP Schedule'!C3735,'SIP Schedule'!D3735,,1)),"")</f>
        <v/>
      </c>
    </row>
    <row r="3736" spans="3:6" x14ac:dyDescent="0.3">
      <c r="C3736" s="1" t="str">
        <f>IF(C3735&lt;'Investment Calculator'!$C$8*'Investment Calculator'!$F$4,'SIP Schedule'!C3735+1,"")</f>
        <v/>
      </c>
      <c r="D3736" s="27" t="str">
        <f>IF(C3736&lt;='Investment Calculator'!$C$8*'Investment Calculator'!$F$4,'Investment Calculator'!$C$6,"")</f>
        <v/>
      </c>
      <c r="E3736" s="27" t="str">
        <f>IFERROR((F3735+D3736)*'Investment Calculator'!$C$7/'Investment Calculator'!$F$4,"")</f>
        <v/>
      </c>
      <c r="F3736" s="27" t="str">
        <f>IFERROR(ABS(FV('Investment Calculator'!$C$7/'Investment Calculator'!$F$4,'SIP Schedule'!C3736,'SIP Schedule'!D3736,,1)),"")</f>
        <v/>
      </c>
    </row>
    <row r="3737" spans="3:6" x14ac:dyDescent="0.3">
      <c r="C3737" s="1" t="str">
        <f>IF(C3736&lt;'Investment Calculator'!$C$8*'Investment Calculator'!$F$4,'SIP Schedule'!C3736+1,"")</f>
        <v/>
      </c>
      <c r="D3737" s="27" t="str">
        <f>IF(C3737&lt;='Investment Calculator'!$C$8*'Investment Calculator'!$F$4,'Investment Calculator'!$C$6,"")</f>
        <v/>
      </c>
      <c r="E3737" s="27" t="str">
        <f>IFERROR((F3736+D3737)*'Investment Calculator'!$C$7/'Investment Calculator'!$F$4,"")</f>
        <v/>
      </c>
      <c r="F3737" s="27" t="str">
        <f>IFERROR(ABS(FV('Investment Calculator'!$C$7/'Investment Calculator'!$F$4,'SIP Schedule'!C3737,'SIP Schedule'!D3737,,1)),"")</f>
        <v/>
      </c>
    </row>
    <row r="3738" spans="3:6" x14ac:dyDescent="0.3">
      <c r="C3738" s="1" t="str">
        <f>IF(C3737&lt;'Investment Calculator'!$C$8*'Investment Calculator'!$F$4,'SIP Schedule'!C3737+1,"")</f>
        <v/>
      </c>
      <c r="D3738" s="27" t="str">
        <f>IF(C3738&lt;='Investment Calculator'!$C$8*'Investment Calculator'!$F$4,'Investment Calculator'!$C$6,"")</f>
        <v/>
      </c>
      <c r="E3738" s="27" t="str">
        <f>IFERROR((F3737+D3738)*'Investment Calculator'!$C$7/'Investment Calculator'!$F$4,"")</f>
        <v/>
      </c>
      <c r="F3738" s="27" t="str">
        <f>IFERROR(ABS(FV('Investment Calculator'!$C$7/'Investment Calculator'!$F$4,'SIP Schedule'!C3738,'SIP Schedule'!D3738,,1)),"")</f>
        <v/>
      </c>
    </row>
    <row r="3739" spans="3:6" x14ac:dyDescent="0.3">
      <c r="C3739" s="1" t="str">
        <f>IF(C3738&lt;'Investment Calculator'!$C$8*'Investment Calculator'!$F$4,'SIP Schedule'!C3738+1,"")</f>
        <v/>
      </c>
      <c r="D3739" s="27" t="str">
        <f>IF(C3739&lt;='Investment Calculator'!$C$8*'Investment Calculator'!$F$4,'Investment Calculator'!$C$6,"")</f>
        <v/>
      </c>
      <c r="E3739" s="27" t="str">
        <f>IFERROR((F3738+D3739)*'Investment Calculator'!$C$7/'Investment Calculator'!$F$4,"")</f>
        <v/>
      </c>
      <c r="F3739" s="27" t="str">
        <f>IFERROR(ABS(FV('Investment Calculator'!$C$7/'Investment Calculator'!$F$4,'SIP Schedule'!C3739,'SIP Schedule'!D3739,,1)),"")</f>
        <v/>
      </c>
    </row>
    <row r="3740" spans="3:6" x14ac:dyDescent="0.3">
      <c r="C3740" s="1" t="str">
        <f>IF(C3739&lt;'Investment Calculator'!$C$8*'Investment Calculator'!$F$4,'SIP Schedule'!C3739+1,"")</f>
        <v/>
      </c>
      <c r="D3740" s="27" t="str">
        <f>IF(C3740&lt;='Investment Calculator'!$C$8*'Investment Calculator'!$F$4,'Investment Calculator'!$C$6,"")</f>
        <v/>
      </c>
      <c r="E3740" s="27" t="str">
        <f>IFERROR((F3739+D3740)*'Investment Calculator'!$C$7/'Investment Calculator'!$F$4,"")</f>
        <v/>
      </c>
      <c r="F3740" s="27" t="str">
        <f>IFERROR(ABS(FV('Investment Calculator'!$C$7/'Investment Calculator'!$F$4,'SIP Schedule'!C3740,'SIP Schedule'!D3740,,1)),"")</f>
        <v/>
      </c>
    </row>
    <row r="3741" spans="3:6" x14ac:dyDescent="0.3">
      <c r="C3741" s="1" t="str">
        <f>IF(C3740&lt;'Investment Calculator'!$C$8*'Investment Calculator'!$F$4,'SIP Schedule'!C3740+1,"")</f>
        <v/>
      </c>
      <c r="D3741" s="27" t="str">
        <f>IF(C3741&lt;='Investment Calculator'!$C$8*'Investment Calculator'!$F$4,'Investment Calculator'!$C$6,"")</f>
        <v/>
      </c>
      <c r="E3741" s="27" t="str">
        <f>IFERROR((F3740+D3741)*'Investment Calculator'!$C$7/'Investment Calculator'!$F$4,"")</f>
        <v/>
      </c>
      <c r="F3741" s="27" t="str">
        <f>IFERROR(ABS(FV('Investment Calculator'!$C$7/'Investment Calculator'!$F$4,'SIP Schedule'!C3741,'SIP Schedule'!D3741,,1)),"")</f>
        <v/>
      </c>
    </row>
    <row r="3742" spans="3:6" x14ac:dyDescent="0.3">
      <c r="C3742" s="1" t="str">
        <f>IF(C3741&lt;'Investment Calculator'!$C$8*'Investment Calculator'!$F$4,'SIP Schedule'!C3741+1,"")</f>
        <v/>
      </c>
      <c r="D3742" s="27" t="str">
        <f>IF(C3742&lt;='Investment Calculator'!$C$8*'Investment Calculator'!$F$4,'Investment Calculator'!$C$6,"")</f>
        <v/>
      </c>
      <c r="E3742" s="27" t="str">
        <f>IFERROR((F3741+D3742)*'Investment Calculator'!$C$7/'Investment Calculator'!$F$4,"")</f>
        <v/>
      </c>
      <c r="F3742" s="27" t="str">
        <f>IFERROR(ABS(FV('Investment Calculator'!$C$7/'Investment Calculator'!$F$4,'SIP Schedule'!C3742,'SIP Schedule'!D3742,,1)),"")</f>
        <v/>
      </c>
    </row>
    <row r="3743" spans="3:6" x14ac:dyDescent="0.3">
      <c r="C3743" s="1" t="str">
        <f>IF(C3742&lt;'Investment Calculator'!$C$8*'Investment Calculator'!$F$4,'SIP Schedule'!C3742+1,"")</f>
        <v/>
      </c>
      <c r="D3743" s="27" t="str">
        <f>IF(C3743&lt;='Investment Calculator'!$C$8*'Investment Calculator'!$F$4,'Investment Calculator'!$C$6,"")</f>
        <v/>
      </c>
      <c r="E3743" s="27" t="str">
        <f>IFERROR((F3742+D3743)*'Investment Calculator'!$C$7/'Investment Calculator'!$F$4,"")</f>
        <v/>
      </c>
      <c r="F3743" s="27" t="str">
        <f>IFERROR(ABS(FV('Investment Calculator'!$C$7/'Investment Calculator'!$F$4,'SIP Schedule'!C3743,'SIP Schedule'!D3743,,1)),"")</f>
        <v/>
      </c>
    </row>
    <row r="3744" spans="3:6" x14ac:dyDescent="0.3">
      <c r="C3744" s="1" t="str">
        <f>IF(C3743&lt;'Investment Calculator'!$C$8*'Investment Calculator'!$F$4,'SIP Schedule'!C3743+1,"")</f>
        <v/>
      </c>
      <c r="D3744" s="27" t="str">
        <f>IF(C3744&lt;='Investment Calculator'!$C$8*'Investment Calculator'!$F$4,'Investment Calculator'!$C$6,"")</f>
        <v/>
      </c>
      <c r="E3744" s="27" t="str">
        <f>IFERROR((F3743+D3744)*'Investment Calculator'!$C$7/'Investment Calculator'!$F$4,"")</f>
        <v/>
      </c>
      <c r="F3744" s="27" t="str">
        <f>IFERROR(ABS(FV('Investment Calculator'!$C$7/'Investment Calculator'!$F$4,'SIP Schedule'!C3744,'SIP Schedule'!D3744,,1)),"")</f>
        <v/>
      </c>
    </row>
    <row r="3745" spans="3:6" x14ac:dyDescent="0.3">
      <c r="C3745" s="1" t="str">
        <f>IF(C3744&lt;'Investment Calculator'!$C$8*'Investment Calculator'!$F$4,'SIP Schedule'!C3744+1,"")</f>
        <v/>
      </c>
      <c r="D3745" s="27" t="str">
        <f>IF(C3745&lt;='Investment Calculator'!$C$8*'Investment Calculator'!$F$4,'Investment Calculator'!$C$6,"")</f>
        <v/>
      </c>
      <c r="E3745" s="27" t="str">
        <f>IFERROR((F3744+D3745)*'Investment Calculator'!$C$7/'Investment Calculator'!$F$4,"")</f>
        <v/>
      </c>
      <c r="F3745" s="27" t="str">
        <f>IFERROR(ABS(FV('Investment Calculator'!$C$7/'Investment Calculator'!$F$4,'SIP Schedule'!C3745,'SIP Schedule'!D3745,,1)),"")</f>
        <v/>
      </c>
    </row>
    <row r="3746" spans="3:6" x14ac:dyDescent="0.3">
      <c r="C3746" s="1" t="str">
        <f>IF(C3745&lt;'Investment Calculator'!$C$8*'Investment Calculator'!$F$4,'SIP Schedule'!C3745+1,"")</f>
        <v/>
      </c>
      <c r="D3746" s="27" t="str">
        <f>IF(C3746&lt;='Investment Calculator'!$C$8*'Investment Calculator'!$F$4,'Investment Calculator'!$C$6,"")</f>
        <v/>
      </c>
      <c r="E3746" s="27" t="str">
        <f>IFERROR((F3745+D3746)*'Investment Calculator'!$C$7/'Investment Calculator'!$F$4,"")</f>
        <v/>
      </c>
      <c r="F3746" s="27" t="str">
        <f>IFERROR(ABS(FV('Investment Calculator'!$C$7/'Investment Calculator'!$F$4,'SIP Schedule'!C3746,'SIP Schedule'!D3746,,1)),"")</f>
        <v/>
      </c>
    </row>
    <row r="3747" spans="3:6" x14ac:dyDescent="0.3">
      <c r="C3747" s="1" t="str">
        <f>IF(C3746&lt;'Investment Calculator'!$C$8*'Investment Calculator'!$F$4,'SIP Schedule'!C3746+1,"")</f>
        <v/>
      </c>
      <c r="D3747" s="27" t="str">
        <f>IF(C3747&lt;='Investment Calculator'!$C$8*'Investment Calculator'!$F$4,'Investment Calculator'!$C$6,"")</f>
        <v/>
      </c>
      <c r="E3747" s="27" t="str">
        <f>IFERROR((F3746+D3747)*'Investment Calculator'!$C$7/'Investment Calculator'!$F$4,"")</f>
        <v/>
      </c>
      <c r="F3747" s="27" t="str">
        <f>IFERROR(ABS(FV('Investment Calculator'!$C$7/'Investment Calculator'!$F$4,'SIP Schedule'!C3747,'SIP Schedule'!D3747,,1)),"")</f>
        <v/>
      </c>
    </row>
    <row r="3748" spans="3:6" x14ac:dyDescent="0.3">
      <c r="C3748" s="1" t="str">
        <f>IF(C3747&lt;'Investment Calculator'!$C$8*'Investment Calculator'!$F$4,'SIP Schedule'!C3747+1,"")</f>
        <v/>
      </c>
      <c r="D3748" s="27" t="str">
        <f>IF(C3748&lt;='Investment Calculator'!$C$8*'Investment Calculator'!$F$4,'Investment Calculator'!$C$6,"")</f>
        <v/>
      </c>
      <c r="E3748" s="27" t="str">
        <f>IFERROR((F3747+D3748)*'Investment Calculator'!$C$7/'Investment Calculator'!$F$4,"")</f>
        <v/>
      </c>
      <c r="F3748" s="27" t="str">
        <f>IFERROR(ABS(FV('Investment Calculator'!$C$7/'Investment Calculator'!$F$4,'SIP Schedule'!C3748,'SIP Schedule'!D3748,,1)),"")</f>
        <v/>
      </c>
    </row>
    <row r="3749" spans="3:6" x14ac:dyDescent="0.3">
      <c r="C3749" s="1" t="str">
        <f>IF(C3748&lt;'Investment Calculator'!$C$8*'Investment Calculator'!$F$4,'SIP Schedule'!C3748+1,"")</f>
        <v/>
      </c>
      <c r="D3749" s="27" t="str">
        <f>IF(C3749&lt;='Investment Calculator'!$C$8*'Investment Calculator'!$F$4,'Investment Calculator'!$C$6,"")</f>
        <v/>
      </c>
      <c r="E3749" s="27" t="str">
        <f>IFERROR((F3748+D3749)*'Investment Calculator'!$C$7/'Investment Calculator'!$F$4,"")</f>
        <v/>
      </c>
      <c r="F3749" s="27" t="str">
        <f>IFERROR(ABS(FV('Investment Calculator'!$C$7/'Investment Calculator'!$F$4,'SIP Schedule'!C3749,'SIP Schedule'!D3749,,1)),"")</f>
        <v/>
      </c>
    </row>
    <row r="3750" spans="3:6" x14ac:dyDescent="0.3">
      <c r="C3750" s="1" t="str">
        <f>IF(C3749&lt;'Investment Calculator'!$C$8*'Investment Calculator'!$F$4,'SIP Schedule'!C3749+1,"")</f>
        <v/>
      </c>
      <c r="D3750" s="27" t="str">
        <f>IF(C3750&lt;='Investment Calculator'!$C$8*'Investment Calculator'!$F$4,'Investment Calculator'!$C$6,"")</f>
        <v/>
      </c>
      <c r="E3750" s="27" t="str">
        <f>IFERROR((F3749+D3750)*'Investment Calculator'!$C$7/'Investment Calculator'!$F$4,"")</f>
        <v/>
      </c>
      <c r="F3750" s="27" t="str">
        <f>IFERROR(ABS(FV('Investment Calculator'!$C$7/'Investment Calculator'!$F$4,'SIP Schedule'!C3750,'SIP Schedule'!D3750,,1)),"")</f>
        <v/>
      </c>
    </row>
    <row r="3751" spans="3:6" x14ac:dyDescent="0.3">
      <c r="C3751" s="1" t="str">
        <f>IF(C3750&lt;'Investment Calculator'!$C$8*'Investment Calculator'!$F$4,'SIP Schedule'!C3750+1,"")</f>
        <v/>
      </c>
      <c r="D3751" s="27" t="str">
        <f>IF(C3751&lt;='Investment Calculator'!$C$8*'Investment Calculator'!$F$4,'Investment Calculator'!$C$6,"")</f>
        <v/>
      </c>
      <c r="E3751" s="27" t="str">
        <f>IFERROR((F3750+D3751)*'Investment Calculator'!$C$7/'Investment Calculator'!$F$4,"")</f>
        <v/>
      </c>
      <c r="F3751" s="27" t="str">
        <f>IFERROR(ABS(FV('Investment Calculator'!$C$7/'Investment Calculator'!$F$4,'SIP Schedule'!C3751,'SIP Schedule'!D3751,,1)),"")</f>
        <v/>
      </c>
    </row>
    <row r="3752" spans="3:6" x14ac:dyDescent="0.3">
      <c r="C3752" s="1" t="str">
        <f>IF(C3751&lt;'Investment Calculator'!$C$8*'Investment Calculator'!$F$4,'SIP Schedule'!C3751+1,"")</f>
        <v/>
      </c>
      <c r="D3752" s="27" t="str">
        <f>IF(C3752&lt;='Investment Calculator'!$C$8*'Investment Calculator'!$F$4,'Investment Calculator'!$C$6,"")</f>
        <v/>
      </c>
      <c r="E3752" s="27" t="str">
        <f>IFERROR((F3751+D3752)*'Investment Calculator'!$C$7/'Investment Calculator'!$F$4,"")</f>
        <v/>
      </c>
      <c r="F3752" s="27" t="str">
        <f>IFERROR(ABS(FV('Investment Calculator'!$C$7/'Investment Calculator'!$F$4,'SIP Schedule'!C3752,'SIP Schedule'!D3752,,1)),"")</f>
        <v/>
      </c>
    </row>
    <row r="3753" spans="3:6" x14ac:dyDescent="0.3">
      <c r="C3753" s="1" t="str">
        <f>IF(C3752&lt;'Investment Calculator'!$C$8*'Investment Calculator'!$F$4,'SIP Schedule'!C3752+1,"")</f>
        <v/>
      </c>
      <c r="D3753" s="27" t="str">
        <f>IF(C3753&lt;='Investment Calculator'!$C$8*'Investment Calculator'!$F$4,'Investment Calculator'!$C$6,"")</f>
        <v/>
      </c>
      <c r="E3753" s="27" t="str">
        <f>IFERROR((F3752+D3753)*'Investment Calculator'!$C$7/'Investment Calculator'!$F$4,"")</f>
        <v/>
      </c>
      <c r="F3753" s="27" t="str">
        <f>IFERROR(ABS(FV('Investment Calculator'!$C$7/'Investment Calculator'!$F$4,'SIP Schedule'!C3753,'SIP Schedule'!D3753,,1)),"")</f>
        <v/>
      </c>
    </row>
    <row r="3754" spans="3:6" x14ac:dyDescent="0.3">
      <c r="C3754" s="1" t="str">
        <f>IF(C3753&lt;'Investment Calculator'!$C$8*'Investment Calculator'!$F$4,'SIP Schedule'!C3753+1,"")</f>
        <v/>
      </c>
      <c r="D3754" s="27" t="str">
        <f>IF(C3754&lt;='Investment Calculator'!$C$8*'Investment Calculator'!$F$4,'Investment Calculator'!$C$6,"")</f>
        <v/>
      </c>
      <c r="E3754" s="27" t="str">
        <f>IFERROR((F3753+D3754)*'Investment Calculator'!$C$7/'Investment Calculator'!$F$4,"")</f>
        <v/>
      </c>
      <c r="F3754" s="27" t="str">
        <f>IFERROR(ABS(FV('Investment Calculator'!$C$7/'Investment Calculator'!$F$4,'SIP Schedule'!C3754,'SIP Schedule'!D3754,,1)),"")</f>
        <v/>
      </c>
    </row>
    <row r="3755" spans="3:6" x14ac:dyDescent="0.3">
      <c r="C3755" s="1" t="str">
        <f>IF(C3754&lt;'Investment Calculator'!$C$8*'Investment Calculator'!$F$4,'SIP Schedule'!C3754+1,"")</f>
        <v/>
      </c>
      <c r="D3755" s="27" t="str">
        <f>IF(C3755&lt;='Investment Calculator'!$C$8*'Investment Calculator'!$F$4,'Investment Calculator'!$C$6,"")</f>
        <v/>
      </c>
      <c r="E3755" s="27" t="str">
        <f>IFERROR((F3754+D3755)*'Investment Calculator'!$C$7/'Investment Calculator'!$F$4,"")</f>
        <v/>
      </c>
      <c r="F3755" s="27" t="str">
        <f>IFERROR(ABS(FV('Investment Calculator'!$C$7/'Investment Calculator'!$F$4,'SIP Schedule'!C3755,'SIP Schedule'!D3755,,1)),"")</f>
        <v/>
      </c>
    </row>
    <row r="3756" spans="3:6" x14ac:dyDescent="0.3">
      <c r="C3756" s="1" t="str">
        <f>IF(C3755&lt;'Investment Calculator'!$C$8*'Investment Calculator'!$F$4,'SIP Schedule'!C3755+1,"")</f>
        <v/>
      </c>
      <c r="D3756" s="27" t="str">
        <f>IF(C3756&lt;='Investment Calculator'!$C$8*'Investment Calculator'!$F$4,'Investment Calculator'!$C$6,"")</f>
        <v/>
      </c>
      <c r="E3756" s="27" t="str">
        <f>IFERROR((F3755+D3756)*'Investment Calculator'!$C$7/'Investment Calculator'!$F$4,"")</f>
        <v/>
      </c>
      <c r="F3756" s="27" t="str">
        <f>IFERROR(ABS(FV('Investment Calculator'!$C$7/'Investment Calculator'!$F$4,'SIP Schedule'!C3756,'SIP Schedule'!D3756,,1)),"")</f>
        <v/>
      </c>
    </row>
    <row r="3757" spans="3:6" x14ac:dyDescent="0.3">
      <c r="C3757" s="1" t="str">
        <f>IF(C3756&lt;'Investment Calculator'!$C$8*'Investment Calculator'!$F$4,'SIP Schedule'!C3756+1,"")</f>
        <v/>
      </c>
      <c r="D3757" s="27" t="str">
        <f>IF(C3757&lt;='Investment Calculator'!$C$8*'Investment Calculator'!$F$4,'Investment Calculator'!$C$6,"")</f>
        <v/>
      </c>
      <c r="E3757" s="27" t="str">
        <f>IFERROR((F3756+D3757)*'Investment Calculator'!$C$7/'Investment Calculator'!$F$4,"")</f>
        <v/>
      </c>
      <c r="F3757" s="27" t="str">
        <f>IFERROR(ABS(FV('Investment Calculator'!$C$7/'Investment Calculator'!$F$4,'SIP Schedule'!C3757,'SIP Schedule'!D3757,,1)),"")</f>
        <v/>
      </c>
    </row>
    <row r="3758" spans="3:6" x14ac:dyDescent="0.3">
      <c r="C3758" s="1" t="str">
        <f>IF(C3757&lt;'Investment Calculator'!$C$8*'Investment Calculator'!$F$4,'SIP Schedule'!C3757+1,"")</f>
        <v/>
      </c>
      <c r="D3758" s="27" t="str">
        <f>IF(C3758&lt;='Investment Calculator'!$C$8*'Investment Calculator'!$F$4,'Investment Calculator'!$C$6,"")</f>
        <v/>
      </c>
      <c r="E3758" s="27" t="str">
        <f>IFERROR((F3757+D3758)*'Investment Calculator'!$C$7/'Investment Calculator'!$F$4,"")</f>
        <v/>
      </c>
      <c r="F3758" s="27" t="str">
        <f>IFERROR(ABS(FV('Investment Calculator'!$C$7/'Investment Calculator'!$F$4,'SIP Schedule'!C3758,'SIP Schedule'!D3758,,1)),"")</f>
        <v/>
      </c>
    </row>
    <row r="3759" spans="3:6" x14ac:dyDescent="0.3">
      <c r="C3759" s="1" t="str">
        <f>IF(C3758&lt;'Investment Calculator'!$C$8*'Investment Calculator'!$F$4,'SIP Schedule'!C3758+1,"")</f>
        <v/>
      </c>
      <c r="D3759" s="27" t="str">
        <f>IF(C3759&lt;='Investment Calculator'!$C$8*'Investment Calculator'!$F$4,'Investment Calculator'!$C$6,"")</f>
        <v/>
      </c>
      <c r="E3759" s="27" t="str">
        <f>IFERROR((F3758+D3759)*'Investment Calculator'!$C$7/'Investment Calculator'!$F$4,"")</f>
        <v/>
      </c>
      <c r="F3759" s="27" t="str">
        <f>IFERROR(ABS(FV('Investment Calculator'!$C$7/'Investment Calculator'!$F$4,'SIP Schedule'!C3759,'SIP Schedule'!D3759,,1)),"")</f>
        <v/>
      </c>
    </row>
    <row r="3760" spans="3:6" x14ac:dyDescent="0.3">
      <c r="C3760" s="1" t="str">
        <f>IF(C3759&lt;'Investment Calculator'!$C$8*'Investment Calculator'!$F$4,'SIP Schedule'!C3759+1,"")</f>
        <v/>
      </c>
      <c r="D3760" s="27" t="str">
        <f>IF(C3760&lt;='Investment Calculator'!$C$8*'Investment Calculator'!$F$4,'Investment Calculator'!$C$6,"")</f>
        <v/>
      </c>
      <c r="E3760" s="27" t="str">
        <f>IFERROR((F3759+D3760)*'Investment Calculator'!$C$7/'Investment Calculator'!$F$4,"")</f>
        <v/>
      </c>
      <c r="F3760" s="27" t="str">
        <f>IFERROR(ABS(FV('Investment Calculator'!$C$7/'Investment Calculator'!$F$4,'SIP Schedule'!C3760,'SIP Schedule'!D3760,,1)),"")</f>
        <v/>
      </c>
    </row>
    <row r="3761" spans="3:6" x14ac:dyDescent="0.3">
      <c r="C3761" s="1" t="str">
        <f>IF(C3760&lt;'Investment Calculator'!$C$8*'Investment Calculator'!$F$4,'SIP Schedule'!C3760+1,"")</f>
        <v/>
      </c>
      <c r="D3761" s="27" t="str">
        <f>IF(C3761&lt;='Investment Calculator'!$C$8*'Investment Calculator'!$F$4,'Investment Calculator'!$C$6,"")</f>
        <v/>
      </c>
      <c r="E3761" s="27" t="str">
        <f>IFERROR((F3760+D3761)*'Investment Calculator'!$C$7/'Investment Calculator'!$F$4,"")</f>
        <v/>
      </c>
      <c r="F3761" s="27" t="str">
        <f>IFERROR(ABS(FV('Investment Calculator'!$C$7/'Investment Calculator'!$F$4,'SIP Schedule'!C3761,'SIP Schedule'!D3761,,1)),"")</f>
        <v/>
      </c>
    </row>
    <row r="3762" spans="3:6" x14ac:dyDescent="0.3">
      <c r="C3762" s="1" t="str">
        <f>IF(C3761&lt;'Investment Calculator'!$C$8*'Investment Calculator'!$F$4,'SIP Schedule'!C3761+1,"")</f>
        <v/>
      </c>
      <c r="D3762" s="27" t="str">
        <f>IF(C3762&lt;='Investment Calculator'!$C$8*'Investment Calculator'!$F$4,'Investment Calculator'!$C$6,"")</f>
        <v/>
      </c>
      <c r="E3762" s="27" t="str">
        <f>IFERROR((F3761+D3762)*'Investment Calculator'!$C$7/'Investment Calculator'!$F$4,"")</f>
        <v/>
      </c>
      <c r="F3762" s="27" t="str">
        <f>IFERROR(ABS(FV('Investment Calculator'!$C$7/'Investment Calculator'!$F$4,'SIP Schedule'!C3762,'SIP Schedule'!D3762,,1)),"")</f>
        <v/>
      </c>
    </row>
    <row r="3763" spans="3:6" x14ac:dyDescent="0.3">
      <c r="C3763" s="1" t="str">
        <f>IF(C3762&lt;'Investment Calculator'!$C$8*'Investment Calculator'!$F$4,'SIP Schedule'!C3762+1,"")</f>
        <v/>
      </c>
      <c r="D3763" s="27" t="str">
        <f>IF(C3763&lt;='Investment Calculator'!$C$8*'Investment Calculator'!$F$4,'Investment Calculator'!$C$6,"")</f>
        <v/>
      </c>
      <c r="E3763" s="27" t="str">
        <f>IFERROR((F3762+D3763)*'Investment Calculator'!$C$7/'Investment Calculator'!$F$4,"")</f>
        <v/>
      </c>
      <c r="F3763" s="27" t="str">
        <f>IFERROR(ABS(FV('Investment Calculator'!$C$7/'Investment Calculator'!$F$4,'SIP Schedule'!C3763,'SIP Schedule'!D3763,,1)),"")</f>
        <v/>
      </c>
    </row>
    <row r="3764" spans="3:6" x14ac:dyDescent="0.3">
      <c r="C3764" s="1" t="str">
        <f>IF(C3763&lt;'Investment Calculator'!$C$8*'Investment Calculator'!$F$4,'SIP Schedule'!C3763+1,"")</f>
        <v/>
      </c>
      <c r="D3764" s="27" t="str">
        <f>IF(C3764&lt;='Investment Calculator'!$C$8*'Investment Calculator'!$F$4,'Investment Calculator'!$C$6,"")</f>
        <v/>
      </c>
      <c r="E3764" s="27" t="str">
        <f>IFERROR((F3763+D3764)*'Investment Calculator'!$C$7/'Investment Calculator'!$F$4,"")</f>
        <v/>
      </c>
      <c r="F3764" s="27" t="str">
        <f>IFERROR(ABS(FV('Investment Calculator'!$C$7/'Investment Calculator'!$F$4,'SIP Schedule'!C3764,'SIP Schedule'!D3764,,1)),"")</f>
        <v/>
      </c>
    </row>
    <row r="3765" spans="3:6" x14ac:dyDescent="0.3">
      <c r="C3765" s="1" t="str">
        <f>IF(C3764&lt;'Investment Calculator'!$C$8*'Investment Calculator'!$F$4,'SIP Schedule'!C3764+1,"")</f>
        <v/>
      </c>
      <c r="D3765" s="27" t="str">
        <f>IF(C3765&lt;='Investment Calculator'!$C$8*'Investment Calculator'!$F$4,'Investment Calculator'!$C$6,"")</f>
        <v/>
      </c>
      <c r="E3765" s="27" t="str">
        <f>IFERROR((F3764+D3765)*'Investment Calculator'!$C$7/'Investment Calculator'!$F$4,"")</f>
        <v/>
      </c>
      <c r="F3765" s="27" t="str">
        <f>IFERROR(ABS(FV('Investment Calculator'!$C$7/'Investment Calculator'!$F$4,'SIP Schedule'!C3765,'SIP Schedule'!D3765,,1)),"")</f>
        <v/>
      </c>
    </row>
    <row r="3766" spans="3:6" x14ac:dyDescent="0.3">
      <c r="C3766" s="1" t="str">
        <f>IF(C3765&lt;'Investment Calculator'!$C$8*'Investment Calculator'!$F$4,'SIP Schedule'!C3765+1,"")</f>
        <v/>
      </c>
      <c r="D3766" s="27" t="str">
        <f>IF(C3766&lt;='Investment Calculator'!$C$8*'Investment Calculator'!$F$4,'Investment Calculator'!$C$6,"")</f>
        <v/>
      </c>
      <c r="E3766" s="27" t="str">
        <f>IFERROR((F3765+D3766)*'Investment Calculator'!$C$7/'Investment Calculator'!$F$4,"")</f>
        <v/>
      </c>
      <c r="F3766" s="27" t="str">
        <f>IFERROR(ABS(FV('Investment Calculator'!$C$7/'Investment Calculator'!$F$4,'SIP Schedule'!C3766,'SIP Schedule'!D3766,,1)),"")</f>
        <v/>
      </c>
    </row>
    <row r="3767" spans="3:6" x14ac:dyDescent="0.3">
      <c r="C3767" s="1" t="str">
        <f>IF(C3766&lt;'Investment Calculator'!$C$8*'Investment Calculator'!$F$4,'SIP Schedule'!C3766+1,"")</f>
        <v/>
      </c>
      <c r="D3767" s="27" t="str">
        <f>IF(C3767&lt;='Investment Calculator'!$C$8*'Investment Calculator'!$F$4,'Investment Calculator'!$C$6,"")</f>
        <v/>
      </c>
      <c r="E3767" s="27" t="str">
        <f>IFERROR((F3766+D3767)*'Investment Calculator'!$C$7/'Investment Calculator'!$F$4,"")</f>
        <v/>
      </c>
      <c r="F3767" s="27" t="str">
        <f>IFERROR(ABS(FV('Investment Calculator'!$C$7/'Investment Calculator'!$F$4,'SIP Schedule'!C3767,'SIP Schedule'!D3767,,1)),"")</f>
        <v/>
      </c>
    </row>
    <row r="3768" spans="3:6" x14ac:dyDescent="0.3">
      <c r="C3768" s="1" t="str">
        <f>IF(C3767&lt;'Investment Calculator'!$C$8*'Investment Calculator'!$F$4,'SIP Schedule'!C3767+1,"")</f>
        <v/>
      </c>
      <c r="D3768" s="27" t="str">
        <f>IF(C3768&lt;='Investment Calculator'!$C$8*'Investment Calculator'!$F$4,'Investment Calculator'!$C$6,"")</f>
        <v/>
      </c>
      <c r="E3768" s="27" t="str">
        <f>IFERROR((F3767+D3768)*'Investment Calculator'!$C$7/'Investment Calculator'!$F$4,"")</f>
        <v/>
      </c>
      <c r="F3768" s="27" t="str">
        <f>IFERROR(ABS(FV('Investment Calculator'!$C$7/'Investment Calculator'!$F$4,'SIP Schedule'!C3768,'SIP Schedule'!D3768,,1)),"")</f>
        <v/>
      </c>
    </row>
    <row r="3769" spans="3:6" x14ac:dyDescent="0.3">
      <c r="C3769" s="1" t="str">
        <f>IF(C3768&lt;'Investment Calculator'!$C$8*'Investment Calculator'!$F$4,'SIP Schedule'!C3768+1,"")</f>
        <v/>
      </c>
      <c r="D3769" s="27" t="str">
        <f>IF(C3769&lt;='Investment Calculator'!$C$8*'Investment Calculator'!$F$4,'Investment Calculator'!$C$6,"")</f>
        <v/>
      </c>
      <c r="E3769" s="27" t="str">
        <f>IFERROR((F3768+D3769)*'Investment Calculator'!$C$7/'Investment Calculator'!$F$4,"")</f>
        <v/>
      </c>
      <c r="F3769" s="27" t="str">
        <f>IFERROR(ABS(FV('Investment Calculator'!$C$7/'Investment Calculator'!$F$4,'SIP Schedule'!C3769,'SIP Schedule'!D3769,,1)),"")</f>
        <v/>
      </c>
    </row>
    <row r="3770" spans="3:6" x14ac:dyDescent="0.3">
      <c r="C3770" s="1" t="str">
        <f>IF(C3769&lt;'Investment Calculator'!$C$8*'Investment Calculator'!$F$4,'SIP Schedule'!C3769+1,"")</f>
        <v/>
      </c>
      <c r="D3770" s="27" t="str">
        <f>IF(C3770&lt;='Investment Calculator'!$C$8*'Investment Calculator'!$F$4,'Investment Calculator'!$C$6,"")</f>
        <v/>
      </c>
      <c r="E3770" s="27" t="str">
        <f>IFERROR((F3769+D3770)*'Investment Calculator'!$C$7/'Investment Calculator'!$F$4,"")</f>
        <v/>
      </c>
      <c r="F3770" s="27" t="str">
        <f>IFERROR(ABS(FV('Investment Calculator'!$C$7/'Investment Calculator'!$F$4,'SIP Schedule'!C3770,'SIP Schedule'!D3770,,1)),"")</f>
        <v/>
      </c>
    </row>
    <row r="3771" spans="3:6" x14ac:dyDescent="0.3">
      <c r="C3771" s="1" t="str">
        <f>IF(C3770&lt;'Investment Calculator'!$C$8*'Investment Calculator'!$F$4,'SIP Schedule'!C3770+1,"")</f>
        <v/>
      </c>
      <c r="D3771" s="27" t="str">
        <f>IF(C3771&lt;='Investment Calculator'!$C$8*'Investment Calculator'!$F$4,'Investment Calculator'!$C$6,"")</f>
        <v/>
      </c>
      <c r="E3771" s="27" t="str">
        <f>IFERROR((F3770+D3771)*'Investment Calculator'!$C$7/'Investment Calculator'!$F$4,"")</f>
        <v/>
      </c>
      <c r="F3771" s="27" t="str">
        <f>IFERROR(ABS(FV('Investment Calculator'!$C$7/'Investment Calculator'!$F$4,'SIP Schedule'!C3771,'SIP Schedule'!D3771,,1)),"")</f>
        <v/>
      </c>
    </row>
    <row r="3772" spans="3:6" x14ac:dyDescent="0.3">
      <c r="C3772" s="1" t="str">
        <f>IF(C3771&lt;'Investment Calculator'!$C$8*'Investment Calculator'!$F$4,'SIP Schedule'!C3771+1,"")</f>
        <v/>
      </c>
      <c r="D3772" s="27" t="str">
        <f>IF(C3772&lt;='Investment Calculator'!$C$8*'Investment Calculator'!$F$4,'Investment Calculator'!$C$6,"")</f>
        <v/>
      </c>
      <c r="E3772" s="27" t="str">
        <f>IFERROR((F3771+D3772)*'Investment Calculator'!$C$7/'Investment Calculator'!$F$4,"")</f>
        <v/>
      </c>
      <c r="F3772" s="27" t="str">
        <f>IFERROR(ABS(FV('Investment Calculator'!$C$7/'Investment Calculator'!$F$4,'SIP Schedule'!C3772,'SIP Schedule'!D3772,,1)),"")</f>
        <v/>
      </c>
    </row>
    <row r="3773" spans="3:6" x14ac:dyDescent="0.3">
      <c r="C3773" s="1" t="str">
        <f>IF(C3772&lt;'Investment Calculator'!$C$8*'Investment Calculator'!$F$4,'SIP Schedule'!C3772+1,"")</f>
        <v/>
      </c>
      <c r="D3773" s="27" t="str">
        <f>IF(C3773&lt;='Investment Calculator'!$C$8*'Investment Calculator'!$F$4,'Investment Calculator'!$C$6,"")</f>
        <v/>
      </c>
      <c r="E3773" s="27" t="str">
        <f>IFERROR((F3772+D3773)*'Investment Calculator'!$C$7/'Investment Calculator'!$F$4,"")</f>
        <v/>
      </c>
      <c r="F3773" s="27" t="str">
        <f>IFERROR(ABS(FV('Investment Calculator'!$C$7/'Investment Calculator'!$F$4,'SIP Schedule'!C3773,'SIP Schedule'!D3773,,1)),"")</f>
        <v/>
      </c>
    </row>
    <row r="3774" spans="3:6" x14ac:dyDescent="0.3">
      <c r="C3774" s="1" t="str">
        <f>IF(C3773&lt;'Investment Calculator'!$C$8*'Investment Calculator'!$F$4,'SIP Schedule'!C3773+1,"")</f>
        <v/>
      </c>
      <c r="D3774" s="27" t="str">
        <f>IF(C3774&lt;='Investment Calculator'!$C$8*'Investment Calculator'!$F$4,'Investment Calculator'!$C$6,"")</f>
        <v/>
      </c>
      <c r="E3774" s="27" t="str">
        <f>IFERROR((F3773+D3774)*'Investment Calculator'!$C$7/'Investment Calculator'!$F$4,"")</f>
        <v/>
      </c>
      <c r="F3774" s="27" t="str">
        <f>IFERROR(ABS(FV('Investment Calculator'!$C$7/'Investment Calculator'!$F$4,'SIP Schedule'!C3774,'SIP Schedule'!D3774,,1)),"")</f>
        <v/>
      </c>
    </row>
    <row r="3775" spans="3:6" x14ac:dyDescent="0.3">
      <c r="C3775" s="1" t="str">
        <f>IF(C3774&lt;'Investment Calculator'!$C$8*'Investment Calculator'!$F$4,'SIP Schedule'!C3774+1,"")</f>
        <v/>
      </c>
      <c r="D3775" s="27" t="str">
        <f>IF(C3775&lt;='Investment Calculator'!$C$8*'Investment Calculator'!$F$4,'Investment Calculator'!$C$6,"")</f>
        <v/>
      </c>
      <c r="E3775" s="27" t="str">
        <f>IFERROR((F3774+D3775)*'Investment Calculator'!$C$7/'Investment Calculator'!$F$4,"")</f>
        <v/>
      </c>
      <c r="F3775" s="27" t="str">
        <f>IFERROR(ABS(FV('Investment Calculator'!$C$7/'Investment Calculator'!$F$4,'SIP Schedule'!C3775,'SIP Schedule'!D3775,,1)),"")</f>
        <v/>
      </c>
    </row>
    <row r="3776" spans="3:6" x14ac:dyDescent="0.3">
      <c r="C3776" s="1" t="str">
        <f>IF(C3775&lt;'Investment Calculator'!$C$8*'Investment Calculator'!$F$4,'SIP Schedule'!C3775+1,"")</f>
        <v/>
      </c>
      <c r="D3776" s="27" t="str">
        <f>IF(C3776&lt;='Investment Calculator'!$C$8*'Investment Calculator'!$F$4,'Investment Calculator'!$C$6,"")</f>
        <v/>
      </c>
      <c r="E3776" s="27" t="str">
        <f>IFERROR((F3775+D3776)*'Investment Calculator'!$C$7/'Investment Calculator'!$F$4,"")</f>
        <v/>
      </c>
      <c r="F3776" s="27" t="str">
        <f>IFERROR(ABS(FV('Investment Calculator'!$C$7/'Investment Calculator'!$F$4,'SIP Schedule'!C3776,'SIP Schedule'!D3776,,1)),"")</f>
        <v/>
      </c>
    </row>
    <row r="3777" spans="3:6" x14ac:dyDescent="0.3">
      <c r="C3777" s="1" t="str">
        <f>IF(C3776&lt;'Investment Calculator'!$C$8*'Investment Calculator'!$F$4,'SIP Schedule'!C3776+1,"")</f>
        <v/>
      </c>
      <c r="D3777" s="27" t="str">
        <f>IF(C3777&lt;='Investment Calculator'!$C$8*'Investment Calculator'!$F$4,'Investment Calculator'!$C$6,"")</f>
        <v/>
      </c>
      <c r="E3777" s="27" t="str">
        <f>IFERROR((F3776+D3777)*'Investment Calculator'!$C$7/'Investment Calculator'!$F$4,"")</f>
        <v/>
      </c>
      <c r="F3777" s="27" t="str">
        <f>IFERROR(ABS(FV('Investment Calculator'!$C$7/'Investment Calculator'!$F$4,'SIP Schedule'!C3777,'SIP Schedule'!D3777,,1)),"")</f>
        <v/>
      </c>
    </row>
    <row r="3778" spans="3:6" x14ac:dyDescent="0.3">
      <c r="C3778" s="1" t="str">
        <f>IF(C3777&lt;'Investment Calculator'!$C$8*'Investment Calculator'!$F$4,'SIP Schedule'!C3777+1,"")</f>
        <v/>
      </c>
      <c r="D3778" s="27" t="str">
        <f>IF(C3778&lt;='Investment Calculator'!$C$8*'Investment Calculator'!$F$4,'Investment Calculator'!$C$6,"")</f>
        <v/>
      </c>
      <c r="E3778" s="27" t="str">
        <f>IFERROR((F3777+D3778)*'Investment Calculator'!$C$7/'Investment Calculator'!$F$4,"")</f>
        <v/>
      </c>
      <c r="F3778" s="27" t="str">
        <f>IFERROR(ABS(FV('Investment Calculator'!$C$7/'Investment Calculator'!$F$4,'SIP Schedule'!C3778,'SIP Schedule'!D3778,,1)),"")</f>
        <v/>
      </c>
    </row>
    <row r="3779" spans="3:6" x14ac:dyDescent="0.3">
      <c r="C3779" s="1" t="str">
        <f>IF(C3778&lt;'Investment Calculator'!$C$8*'Investment Calculator'!$F$4,'SIP Schedule'!C3778+1,"")</f>
        <v/>
      </c>
      <c r="D3779" s="27" t="str">
        <f>IF(C3779&lt;='Investment Calculator'!$C$8*'Investment Calculator'!$F$4,'Investment Calculator'!$C$6,"")</f>
        <v/>
      </c>
      <c r="E3779" s="27" t="str">
        <f>IFERROR((F3778+D3779)*'Investment Calculator'!$C$7/'Investment Calculator'!$F$4,"")</f>
        <v/>
      </c>
      <c r="F3779" s="27" t="str">
        <f>IFERROR(ABS(FV('Investment Calculator'!$C$7/'Investment Calculator'!$F$4,'SIP Schedule'!C3779,'SIP Schedule'!D3779,,1)),"")</f>
        <v/>
      </c>
    </row>
    <row r="3780" spans="3:6" x14ac:dyDescent="0.3">
      <c r="C3780" s="1" t="str">
        <f>IF(C3779&lt;'Investment Calculator'!$C$8*'Investment Calculator'!$F$4,'SIP Schedule'!C3779+1,"")</f>
        <v/>
      </c>
      <c r="D3780" s="27" t="str">
        <f>IF(C3780&lt;='Investment Calculator'!$C$8*'Investment Calculator'!$F$4,'Investment Calculator'!$C$6,"")</f>
        <v/>
      </c>
      <c r="E3780" s="27" t="str">
        <f>IFERROR((F3779+D3780)*'Investment Calculator'!$C$7/'Investment Calculator'!$F$4,"")</f>
        <v/>
      </c>
      <c r="F3780" s="27" t="str">
        <f>IFERROR(ABS(FV('Investment Calculator'!$C$7/'Investment Calculator'!$F$4,'SIP Schedule'!C3780,'SIP Schedule'!D3780,,1)),"")</f>
        <v/>
      </c>
    </row>
    <row r="3781" spans="3:6" x14ac:dyDescent="0.3">
      <c r="C3781" s="1" t="str">
        <f>IF(C3780&lt;'Investment Calculator'!$C$8*'Investment Calculator'!$F$4,'SIP Schedule'!C3780+1,"")</f>
        <v/>
      </c>
      <c r="D3781" s="27" t="str">
        <f>IF(C3781&lt;='Investment Calculator'!$C$8*'Investment Calculator'!$F$4,'Investment Calculator'!$C$6,"")</f>
        <v/>
      </c>
      <c r="E3781" s="27" t="str">
        <f>IFERROR((F3780+D3781)*'Investment Calculator'!$C$7/'Investment Calculator'!$F$4,"")</f>
        <v/>
      </c>
      <c r="F3781" s="27" t="str">
        <f>IFERROR(ABS(FV('Investment Calculator'!$C$7/'Investment Calculator'!$F$4,'SIP Schedule'!C3781,'SIP Schedule'!D3781,,1)),"")</f>
        <v/>
      </c>
    </row>
    <row r="3782" spans="3:6" x14ac:dyDescent="0.3">
      <c r="C3782" s="1" t="str">
        <f>IF(C3781&lt;'Investment Calculator'!$C$8*'Investment Calculator'!$F$4,'SIP Schedule'!C3781+1,"")</f>
        <v/>
      </c>
      <c r="D3782" s="27" t="str">
        <f>IF(C3782&lt;='Investment Calculator'!$C$8*'Investment Calculator'!$F$4,'Investment Calculator'!$C$6,"")</f>
        <v/>
      </c>
      <c r="E3782" s="27" t="str">
        <f>IFERROR((F3781+D3782)*'Investment Calculator'!$C$7/'Investment Calculator'!$F$4,"")</f>
        <v/>
      </c>
      <c r="F3782" s="27" t="str">
        <f>IFERROR(ABS(FV('Investment Calculator'!$C$7/'Investment Calculator'!$F$4,'SIP Schedule'!C3782,'SIP Schedule'!D3782,,1)),"")</f>
        <v/>
      </c>
    </row>
    <row r="3783" spans="3:6" x14ac:dyDescent="0.3">
      <c r="C3783" s="1" t="str">
        <f>IF(C3782&lt;'Investment Calculator'!$C$8*'Investment Calculator'!$F$4,'SIP Schedule'!C3782+1,"")</f>
        <v/>
      </c>
      <c r="D3783" s="27" t="str">
        <f>IF(C3783&lt;='Investment Calculator'!$C$8*'Investment Calculator'!$F$4,'Investment Calculator'!$C$6,"")</f>
        <v/>
      </c>
      <c r="E3783" s="27" t="str">
        <f>IFERROR((F3782+D3783)*'Investment Calculator'!$C$7/'Investment Calculator'!$F$4,"")</f>
        <v/>
      </c>
      <c r="F3783" s="27" t="str">
        <f>IFERROR(ABS(FV('Investment Calculator'!$C$7/'Investment Calculator'!$F$4,'SIP Schedule'!C3783,'SIP Schedule'!D3783,,1)),"")</f>
        <v/>
      </c>
    </row>
    <row r="3784" spans="3:6" x14ac:dyDescent="0.3">
      <c r="C3784" s="1" t="str">
        <f>IF(C3783&lt;'Investment Calculator'!$C$8*'Investment Calculator'!$F$4,'SIP Schedule'!C3783+1,"")</f>
        <v/>
      </c>
      <c r="D3784" s="27" t="str">
        <f>IF(C3784&lt;='Investment Calculator'!$C$8*'Investment Calculator'!$F$4,'Investment Calculator'!$C$6,"")</f>
        <v/>
      </c>
      <c r="E3784" s="27" t="str">
        <f>IFERROR((F3783+D3784)*'Investment Calculator'!$C$7/'Investment Calculator'!$F$4,"")</f>
        <v/>
      </c>
      <c r="F3784" s="27" t="str">
        <f>IFERROR(ABS(FV('Investment Calculator'!$C$7/'Investment Calculator'!$F$4,'SIP Schedule'!C3784,'SIP Schedule'!D3784,,1)),"")</f>
        <v/>
      </c>
    </row>
    <row r="3785" spans="3:6" x14ac:dyDescent="0.3">
      <c r="C3785" s="1" t="str">
        <f>IF(C3784&lt;'Investment Calculator'!$C$8*'Investment Calculator'!$F$4,'SIP Schedule'!C3784+1,"")</f>
        <v/>
      </c>
      <c r="D3785" s="27" t="str">
        <f>IF(C3785&lt;='Investment Calculator'!$C$8*'Investment Calculator'!$F$4,'Investment Calculator'!$C$6,"")</f>
        <v/>
      </c>
      <c r="E3785" s="27" t="str">
        <f>IFERROR((F3784+D3785)*'Investment Calculator'!$C$7/'Investment Calculator'!$F$4,"")</f>
        <v/>
      </c>
      <c r="F3785" s="27" t="str">
        <f>IFERROR(ABS(FV('Investment Calculator'!$C$7/'Investment Calculator'!$F$4,'SIP Schedule'!C3785,'SIP Schedule'!D3785,,1)),"")</f>
        <v/>
      </c>
    </row>
    <row r="3786" spans="3:6" x14ac:dyDescent="0.3">
      <c r="C3786" s="1" t="str">
        <f>IF(C3785&lt;'Investment Calculator'!$C$8*'Investment Calculator'!$F$4,'SIP Schedule'!C3785+1,"")</f>
        <v/>
      </c>
      <c r="D3786" s="27" t="str">
        <f>IF(C3786&lt;='Investment Calculator'!$C$8*'Investment Calculator'!$F$4,'Investment Calculator'!$C$6,"")</f>
        <v/>
      </c>
      <c r="E3786" s="27" t="str">
        <f>IFERROR((F3785+D3786)*'Investment Calculator'!$C$7/'Investment Calculator'!$F$4,"")</f>
        <v/>
      </c>
      <c r="F3786" s="27" t="str">
        <f>IFERROR(ABS(FV('Investment Calculator'!$C$7/'Investment Calculator'!$F$4,'SIP Schedule'!C3786,'SIP Schedule'!D3786,,1)),"")</f>
        <v/>
      </c>
    </row>
    <row r="3787" spans="3:6" x14ac:dyDescent="0.3">
      <c r="C3787" s="1" t="str">
        <f>IF(C3786&lt;'Investment Calculator'!$C$8*'Investment Calculator'!$F$4,'SIP Schedule'!C3786+1,"")</f>
        <v/>
      </c>
      <c r="D3787" s="27" t="str">
        <f>IF(C3787&lt;='Investment Calculator'!$C$8*'Investment Calculator'!$F$4,'Investment Calculator'!$C$6,"")</f>
        <v/>
      </c>
      <c r="E3787" s="27" t="str">
        <f>IFERROR((F3786+D3787)*'Investment Calculator'!$C$7/'Investment Calculator'!$F$4,"")</f>
        <v/>
      </c>
      <c r="F3787" s="27" t="str">
        <f>IFERROR(ABS(FV('Investment Calculator'!$C$7/'Investment Calculator'!$F$4,'SIP Schedule'!C3787,'SIP Schedule'!D3787,,1)),"")</f>
        <v/>
      </c>
    </row>
    <row r="3788" spans="3:6" x14ac:dyDescent="0.3">
      <c r="C3788" s="1" t="str">
        <f>IF(C3787&lt;'Investment Calculator'!$C$8*'Investment Calculator'!$F$4,'SIP Schedule'!C3787+1,"")</f>
        <v/>
      </c>
      <c r="D3788" s="27" t="str">
        <f>IF(C3788&lt;='Investment Calculator'!$C$8*'Investment Calculator'!$F$4,'Investment Calculator'!$C$6,"")</f>
        <v/>
      </c>
      <c r="E3788" s="27" t="str">
        <f>IFERROR((F3787+D3788)*'Investment Calculator'!$C$7/'Investment Calculator'!$F$4,"")</f>
        <v/>
      </c>
      <c r="F3788" s="27" t="str">
        <f>IFERROR(ABS(FV('Investment Calculator'!$C$7/'Investment Calculator'!$F$4,'SIP Schedule'!C3788,'SIP Schedule'!D3788,,1)),"")</f>
        <v/>
      </c>
    </row>
    <row r="3789" spans="3:6" x14ac:dyDescent="0.3">
      <c r="C3789" s="1" t="str">
        <f>IF(C3788&lt;'Investment Calculator'!$C$8*'Investment Calculator'!$F$4,'SIP Schedule'!C3788+1,"")</f>
        <v/>
      </c>
      <c r="D3789" s="27" t="str">
        <f>IF(C3789&lt;='Investment Calculator'!$C$8*'Investment Calculator'!$F$4,'Investment Calculator'!$C$6,"")</f>
        <v/>
      </c>
      <c r="E3789" s="27" t="str">
        <f>IFERROR((F3788+D3789)*'Investment Calculator'!$C$7/'Investment Calculator'!$F$4,"")</f>
        <v/>
      </c>
      <c r="F3789" s="27" t="str">
        <f>IFERROR(ABS(FV('Investment Calculator'!$C$7/'Investment Calculator'!$F$4,'SIP Schedule'!C3789,'SIP Schedule'!D3789,,1)),"")</f>
        <v/>
      </c>
    </row>
    <row r="3790" spans="3:6" x14ac:dyDescent="0.3">
      <c r="C3790" s="1" t="str">
        <f>IF(C3789&lt;'Investment Calculator'!$C$8*'Investment Calculator'!$F$4,'SIP Schedule'!C3789+1,"")</f>
        <v/>
      </c>
      <c r="D3790" s="27" t="str">
        <f>IF(C3790&lt;='Investment Calculator'!$C$8*'Investment Calculator'!$F$4,'Investment Calculator'!$C$6,"")</f>
        <v/>
      </c>
      <c r="E3790" s="27" t="str">
        <f>IFERROR((F3789+D3790)*'Investment Calculator'!$C$7/'Investment Calculator'!$F$4,"")</f>
        <v/>
      </c>
      <c r="F3790" s="27" t="str">
        <f>IFERROR(ABS(FV('Investment Calculator'!$C$7/'Investment Calculator'!$F$4,'SIP Schedule'!C3790,'SIP Schedule'!D3790,,1)),"")</f>
        <v/>
      </c>
    </row>
    <row r="3791" spans="3:6" x14ac:dyDescent="0.3">
      <c r="C3791" s="1" t="str">
        <f>IF(C3790&lt;'Investment Calculator'!$C$8*'Investment Calculator'!$F$4,'SIP Schedule'!C3790+1,"")</f>
        <v/>
      </c>
      <c r="D3791" s="27" t="str">
        <f>IF(C3791&lt;='Investment Calculator'!$C$8*'Investment Calculator'!$F$4,'Investment Calculator'!$C$6,"")</f>
        <v/>
      </c>
      <c r="E3791" s="27" t="str">
        <f>IFERROR((F3790+D3791)*'Investment Calculator'!$C$7/'Investment Calculator'!$F$4,"")</f>
        <v/>
      </c>
      <c r="F3791" s="27" t="str">
        <f>IFERROR(ABS(FV('Investment Calculator'!$C$7/'Investment Calculator'!$F$4,'SIP Schedule'!C3791,'SIP Schedule'!D3791,,1)),"")</f>
        <v/>
      </c>
    </row>
    <row r="3792" spans="3:6" x14ac:dyDescent="0.3">
      <c r="C3792" s="1" t="str">
        <f>IF(C3791&lt;'Investment Calculator'!$C$8*'Investment Calculator'!$F$4,'SIP Schedule'!C3791+1,"")</f>
        <v/>
      </c>
      <c r="D3792" s="27" t="str">
        <f>IF(C3792&lt;='Investment Calculator'!$C$8*'Investment Calculator'!$F$4,'Investment Calculator'!$C$6,"")</f>
        <v/>
      </c>
      <c r="E3792" s="27" t="str">
        <f>IFERROR((F3791+D3792)*'Investment Calculator'!$C$7/'Investment Calculator'!$F$4,"")</f>
        <v/>
      </c>
      <c r="F3792" s="27" t="str">
        <f>IFERROR(ABS(FV('Investment Calculator'!$C$7/'Investment Calculator'!$F$4,'SIP Schedule'!C3792,'SIP Schedule'!D3792,,1)),"")</f>
        <v/>
      </c>
    </row>
    <row r="3793" spans="3:6" x14ac:dyDescent="0.3">
      <c r="C3793" s="1" t="str">
        <f>IF(C3792&lt;'Investment Calculator'!$C$8*'Investment Calculator'!$F$4,'SIP Schedule'!C3792+1,"")</f>
        <v/>
      </c>
      <c r="D3793" s="27" t="str">
        <f>IF(C3793&lt;='Investment Calculator'!$C$8*'Investment Calculator'!$F$4,'Investment Calculator'!$C$6,"")</f>
        <v/>
      </c>
      <c r="E3793" s="27" t="str">
        <f>IFERROR((F3792+D3793)*'Investment Calculator'!$C$7/'Investment Calculator'!$F$4,"")</f>
        <v/>
      </c>
      <c r="F3793" s="27" t="str">
        <f>IFERROR(ABS(FV('Investment Calculator'!$C$7/'Investment Calculator'!$F$4,'SIP Schedule'!C3793,'SIP Schedule'!D3793,,1)),"")</f>
        <v/>
      </c>
    </row>
    <row r="3794" spans="3:6" x14ac:dyDescent="0.3">
      <c r="C3794" s="1" t="str">
        <f>IF(C3793&lt;'Investment Calculator'!$C$8*'Investment Calculator'!$F$4,'SIP Schedule'!C3793+1,"")</f>
        <v/>
      </c>
      <c r="D3794" s="27" t="str">
        <f>IF(C3794&lt;='Investment Calculator'!$C$8*'Investment Calculator'!$F$4,'Investment Calculator'!$C$6,"")</f>
        <v/>
      </c>
      <c r="E3794" s="27" t="str">
        <f>IFERROR((F3793+D3794)*'Investment Calculator'!$C$7/'Investment Calculator'!$F$4,"")</f>
        <v/>
      </c>
      <c r="F3794" s="27" t="str">
        <f>IFERROR(ABS(FV('Investment Calculator'!$C$7/'Investment Calculator'!$F$4,'SIP Schedule'!C3794,'SIP Schedule'!D3794,,1)),"")</f>
        <v/>
      </c>
    </row>
    <row r="3795" spans="3:6" x14ac:dyDescent="0.3">
      <c r="C3795" s="1" t="str">
        <f>IF(C3794&lt;'Investment Calculator'!$C$8*'Investment Calculator'!$F$4,'SIP Schedule'!C3794+1,"")</f>
        <v/>
      </c>
      <c r="D3795" s="27" t="str">
        <f>IF(C3795&lt;='Investment Calculator'!$C$8*'Investment Calculator'!$F$4,'Investment Calculator'!$C$6,"")</f>
        <v/>
      </c>
      <c r="E3795" s="27" t="str">
        <f>IFERROR((F3794+D3795)*'Investment Calculator'!$C$7/'Investment Calculator'!$F$4,"")</f>
        <v/>
      </c>
      <c r="F3795" s="27" t="str">
        <f>IFERROR(ABS(FV('Investment Calculator'!$C$7/'Investment Calculator'!$F$4,'SIP Schedule'!C3795,'SIP Schedule'!D3795,,1)),"")</f>
        <v/>
      </c>
    </row>
    <row r="3796" spans="3:6" x14ac:dyDescent="0.3">
      <c r="C3796" s="1" t="str">
        <f>IF(C3795&lt;'Investment Calculator'!$C$8*'Investment Calculator'!$F$4,'SIP Schedule'!C3795+1,"")</f>
        <v/>
      </c>
      <c r="D3796" s="27" t="str">
        <f>IF(C3796&lt;='Investment Calculator'!$C$8*'Investment Calculator'!$F$4,'Investment Calculator'!$C$6,"")</f>
        <v/>
      </c>
      <c r="E3796" s="27" t="str">
        <f>IFERROR((F3795+D3796)*'Investment Calculator'!$C$7/'Investment Calculator'!$F$4,"")</f>
        <v/>
      </c>
      <c r="F3796" s="27" t="str">
        <f>IFERROR(ABS(FV('Investment Calculator'!$C$7/'Investment Calculator'!$F$4,'SIP Schedule'!C3796,'SIP Schedule'!D3796,,1)),"")</f>
        <v/>
      </c>
    </row>
    <row r="3797" spans="3:6" x14ac:dyDescent="0.3">
      <c r="C3797" s="1" t="str">
        <f>IF(C3796&lt;'Investment Calculator'!$C$8*'Investment Calculator'!$F$4,'SIP Schedule'!C3796+1,"")</f>
        <v/>
      </c>
      <c r="D3797" s="27" t="str">
        <f>IF(C3797&lt;='Investment Calculator'!$C$8*'Investment Calculator'!$F$4,'Investment Calculator'!$C$6,"")</f>
        <v/>
      </c>
      <c r="E3797" s="27" t="str">
        <f>IFERROR((F3796+D3797)*'Investment Calculator'!$C$7/'Investment Calculator'!$F$4,"")</f>
        <v/>
      </c>
      <c r="F3797" s="27" t="str">
        <f>IFERROR(ABS(FV('Investment Calculator'!$C$7/'Investment Calculator'!$F$4,'SIP Schedule'!C3797,'SIP Schedule'!D3797,,1)),"")</f>
        <v/>
      </c>
    </row>
    <row r="3798" spans="3:6" x14ac:dyDescent="0.3">
      <c r="C3798" s="1" t="str">
        <f>IF(C3797&lt;'Investment Calculator'!$C$8*'Investment Calculator'!$F$4,'SIP Schedule'!C3797+1,"")</f>
        <v/>
      </c>
      <c r="D3798" s="27" t="str">
        <f>IF(C3798&lt;='Investment Calculator'!$C$8*'Investment Calculator'!$F$4,'Investment Calculator'!$C$6,"")</f>
        <v/>
      </c>
      <c r="E3798" s="27" t="str">
        <f>IFERROR((F3797+D3798)*'Investment Calculator'!$C$7/'Investment Calculator'!$F$4,"")</f>
        <v/>
      </c>
      <c r="F3798" s="27" t="str">
        <f>IFERROR(ABS(FV('Investment Calculator'!$C$7/'Investment Calculator'!$F$4,'SIP Schedule'!C3798,'SIP Schedule'!D3798,,1)),"")</f>
        <v/>
      </c>
    </row>
    <row r="3799" spans="3:6" x14ac:dyDescent="0.3">
      <c r="C3799" s="1" t="str">
        <f>IF(C3798&lt;'Investment Calculator'!$C$8*'Investment Calculator'!$F$4,'SIP Schedule'!C3798+1,"")</f>
        <v/>
      </c>
      <c r="D3799" s="27" t="str">
        <f>IF(C3799&lt;='Investment Calculator'!$C$8*'Investment Calculator'!$F$4,'Investment Calculator'!$C$6,"")</f>
        <v/>
      </c>
      <c r="E3799" s="27" t="str">
        <f>IFERROR((F3798+D3799)*'Investment Calculator'!$C$7/'Investment Calculator'!$F$4,"")</f>
        <v/>
      </c>
      <c r="F3799" s="27" t="str">
        <f>IFERROR(ABS(FV('Investment Calculator'!$C$7/'Investment Calculator'!$F$4,'SIP Schedule'!C3799,'SIP Schedule'!D3799,,1)),"")</f>
        <v/>
      </c>
    </row>
    <row r="3800" spans="3:6" x14ac:dyDescent="0.3">
      <c r="C3800" s="1" t="str">
        <f>IF(C3799&lt;'Investment Calculator'!$C$8*'Investment Calculator'!$F$4,'SIP Schedule'!C3799+1,"")</f>
        <v/>
      </c>
      <c r="D3800" s="27" t="str">
        <f>IF(C3800&lt;='Investment Calculator'!$C$8*'Investment Calculator'!$F$4,'Investment Calculator'!$C$6,"")</f>
        <v/>
      </c>
      <c r="E3800" s="27" t="str">
        <f>IFERROR((F3799+D3800)*'Investment Calculator'!$C$7/'Investment Calculator'!$F$4,"")</f>
        <v/>
      </c>
      <c r="F3800" s="27" t="str">
        <f>IFERROR(ABS(FV('Investment Calculator'!$C$7/'Investment Calculator'!$F$4,'SIP Schedule'!C3800,'SIP Schedule'!D3800,,1)),"")</f>
        <v/>
      </c>
    </row>
    <row r="3801" spans="3:6" x14ac:dyDescent="0.3">
      <c r="C3801" s="1" t="str">
        <f>IF(C3800&lt;'Investment Calculator'!$C$8*'Investment Calculator'!$F$4,'SIP Schedule'!C3800+1,"")</f>
        <v/>
      </c>
      <c r="D3801" s="27" t="str">
        <f>IF(C3801&lt;='Investment Calculator'!$C$8*'Investment Calculator'!$F$4,'Investment Calculator'!$C$6,"")</f>
        <v/>
      </c>
      <c r="E3801" s="27" t="str">
        <f>IFERROR((F3800+D3801)*'Investment Calculator'!$C$7/'Investment Calculator'!$F$4,"")</f>
        <v/>
      </c>
      <c r="F3801" s="27" t="str">
        <f>IFERROR(ABS(FV('Investment Calculator'!$C$7/'Investment Calculator'!$F$4,'SIP Schedule'!C3801,'SIP Schedule'!D3801,,1)),"")</f>
        <v/>
      </c>
    </row>
    <row r="3802" spans="3:6" x14ac:dyDescent="0.3">
      <c r="C3802" s="1" t="str">
        <f>IF(C3801&lt;'Investment Calculator'!$C$8*'Investment Calculator'!$F$4,'SIP Schedule'!C3801+1,"")</f>
        <v/>
      </c>
      <c r="D3802" s="27" t="str">
        <f>IF(C3802&lt;='Investment Calculator'!$C$8*'Investment Calculator'!$F$4,'Investment Calculator'!$C$6,"")</f>
        <v/>
      </c>
      <c r="E3802" s="27" t="str">
        <f>IFERROR((F3801+D3802)*'Investment Calculator'!$C$7/'Investment Calculator'!$F$4,"")</f>
        <v/>
      </c>
      <c r="F3802" s="27" t="str">
        <f>IFERROR(ABS(FV('Investment Calculator'!$C$7/'Investment Calculator'!$F$4,'SIP Schedule'!C3802,'SIP Schedule'!D3802,,1)),"")</f>
        <v/>
      </c>
    </row>
    <row r="3803" spans="3:6" x14ac:dyDescent="0.3">
      <c r="C3803" s="1" t="str">
        <f>IF(C3802&lt;'Investment Calculator'!$C$8*'Investment Calculator'!$F$4,'SIP Schedule'!C3802+1,"")</f>
        <v/>
      </c>
      <c r="D3803" s="27" t="str">
        <f>IF(C3803&lt;='Investment Calculator'!$C$8*'Investment Calculator'!$F$4,'Investment Calculator'!$C$6,"")</f>
        <v/>
      </c>
      <c r="E3803" s="27" t="str">
        <f>IFERROR((F3802+D3803)*'Investment Calculator'!$C$7/'Investment Calculator'!$F$4,"")</f>
        <v/>
      </c>
      <c r="F3803" s="27" t="str">
        <f>IFERROR(ABS(FV('Investment Calculator'!$C$7/'Investment Calculator'!$F$4,'SIP Schedule'!C3803,'SIP Schedule'!D3803,,1)),"")</f>
        <v/>
      </c>
    </row>
    <row r="3804" spans="3:6" x14ac:dyDescent="0.3">
      <c r="C3804" s="1" t="str">
        <f>IF(C3803&lt;'Investment Calculator'!$C$8*'Investment Calculator'!$F$4,'SIP Schedule'!C3803+1,"")</f>
        <v/>
      </c>
      <c r="D3804" s="27" t="str">
        <f>IF(C3804&lt;='Investment Calculator'!$C$8*'Investment Calculator'!$F$4,'Investment Calculator'!$C$6,"")</f>
        <v/>
      </c>
      <c r="E3804" s="27" t="str">
        <f>IFERROR((F3803+D3804)*'Investment Calculator'!$C$7/'Investment Calculator'!$F$4,"")</f>
        <v/>
      </c>
      <c r="F3804" s="27" t="str">
        <f>IFERROR(ABS(FV('Investment Calculator'!$C$7/'Investment Calculator'!$F$4,'SIP Schedule'!C3804,'SIP Schedule'!D3804,,1)),"")</f>
        <v/>
      </c>
    </row>
    <row r="3805" spans="3:6" x14ac:dyDescent="0.3">
      <c r="C3805" s="1" t="str">
        <f>IF(C3804&lt;'Investment Calculator'!$C$8*'Investment Calculator'!$F$4,'SIP Schedule'!C3804+1,"")</f>
        <v/>
      </c>
      <c r="D3805" s="27" t="str">
        <f>IF(C3805&lt;='Investment Calculator'!$C$8*'Investment Calculator'!$F$4,'Investment Calculator'!$C$6,"")</f>
        <v/>
      </c>
      <c r="E3805" s="27" t="str">
        <f>IFERROR((F3804+D3805)*'Investment Calculator'!$C$7/'Investment Calculator'!$F$4,"")</f>
        <v/>
      </c>
      <c r="F3805" s="27" t="str">
        <f>IFERROR(ABS(FV('Investment Calculator'!$C$7/'Investment Calculator'!$F$4,'SIP Schedule'!C3805,'SIP Schedule'!D3805,,1)),"")</f>
        <v/>
      </c>
    </row>
    <row r="3806" spans="3:6" x14ac:dyDescent="0.3">
      <c r="C3806" s="1" t="str">
        <f>IF(C3805&lt;'Investment Calculator'!$C$8*'Investment Calculator'!$F$4,'SIP Schedule'!C3805+1,"")</f>
        <v/>
      </c>
      <c r="D3806" s="27" t="str">
        <f>IF(C3806&lt;='Investment Calculator'!$C$8*'Investment Calculator'!$F$4,'Investment Calculator'!$C$6,"")</f>
        <v/>
      </c>
      <c r="E3806" s="27" t="str">
        <f>IFERROR((F3805+D3806)*'Investment Calculator'!$C$7/'Investment Calculator'!$F$4,"")</f>
        <v/>
      </c>
      <c r="F3806" s="27" t="str">
        <f>IFERROR(ABS(FV('Investment Calculator'!$C$7/'Investment Calculator'!$F$4,'SIP Schedule'!C3806,'SIP Schedule'!D3806,,1)),"")</f>
        <v/>
      </c>
    </row>
    <row r="3807" spans="3:6" x14ac:dyDescent="0.3">
      <c r="C3807" s="1" t="str">
        <f>IF(C3806&lt;'Investment Calculator'!$C$8*'Investment Calculator'!$F$4,'SIP Schedule'!C3806+1,"")</f>
        <v/>
      </c>
      <c r="D3807" s="27" t="str">
        <f>IF(C3807&lt;='Investment Calculator'!$C$8*'Investment Calculator'!$F$4,'Investment Calculator'!$C$6,"")</f>
        <v/>
      </c>
      <c r="E3807" s="27" t="str">
        <f>IFERROR((F3806+D3807)*'Investment Calculator'!$C$7/'Investment Calculator'!$F$4,"")</f>
        <v/>
      </c>
      <c r="F3807" s="27" t="str">
        <f>IFERROR(ABS(FV('Investment Calculator'!$C$7/'Investment Calculator'!$F$4,'SIP Schedule'!C3807,'SIP Schedule'!D3807,,1)),"")</f>
        <v/>
      </c>
    </row>
    <row r="3808" spans="3:6" x14ac:dyDescent="0.3">
      <c r="C3808" s="1" t="str">
        <f>IF(C3807&lt;'Investment Calculator'!$C$8*'Investment Calculator'!$F$4,'SIP Schedule'!C3807+1,"")</f>
        <v/>
      </c>
      <c r="D3808" s="27" t="str">
        <f>IF(C3808&lt;='Investment Calculator'!$C$8*'Investment Calculator'!$F$4,'Investment Calculator'!$C$6,"")</f>
        <v/>
      </c>
      <c r="E3808" s="27" t="str">
        <f>IFERROR((F3807+D3808)*'Investment Calculator'!$C$7/'Investment Calculator'!$F$4,"")</f>
        <v/>
      </c>
      <c r="F3808" s="27" t="str">
        <f>IFERROR(ABS(FV('Investment Calculator'!$C$7/'Investment Calculator'!$F$4,'SIP Schedule'!C3808,'SIP Schedule'!D3808,,1)),"")</f>
        <v/>
      </c>
    </row>
    <row r="3809" spans="3:6" x14ac:dyDescent="0.3">
      <c r="C3809" s="1" t="str">
        <f>IF(C3808&lt;'Investment Calculator'!$C$8*'Investment Calculator'!$F$4,'SIP Schedule'!C3808+1,"")</f>
        <v/>
      </c>
      <c r="D3809" s="27" t="str">
        <f>IF(C3809&lt;='Investment Calculator'!$C$8*'Investment Calculator'!$F$4,'Investment Calculator'!$C$6,"")</f>
        <v/>
      </c>
      <c r="E3809" s="27" t="str">
        <f>IFERROR((F3808+D3809)*'Investment Calculator'!$C$7/'Investment Calculator'!$F$4,"")</f>
        <v/>
      </c>
      <c r="F3809" s="27" t="str">
        <f>IFERROR(ABS(FV('Investment Calculator'!$C$7/'Investment Calculator'!$F$4,'SIP Schedule'!C3809,'SIP Schedule'!D3809,,1)),"")</f>
        <v/>
      </c>
    </row>
    <row r="3810" spans="3:6" x14ac:dyDescent="0.3">
      <c r="C3810" s="1" t="str">
        <f>IF(C3809&lt;'Investment Calculator'!$C$8*'Investment Calculator'!$F$4,'SIP Schedule'!C3809+1,"")</f>
        <v/>
      </c>
      <c r="D3810" s="27" t="str">
        <f>IF(C3810&lt;='Investment Calculator'!$C$8*'Investment Calculator'!$F$4,'Investment Calculator'!$C$6,"")</f>
        <v/>
      </c>
      <c r="E3810" s="27" t="str">
        <f>IFERROR((F3809+D3810)*'Investment Calculator'!$C$7/'Investment Calculator'!$F$4,"")</f>
        <v/>
      </c>
      <c r="F3810" s="27" t="str">
        <f>IFERROR(ABS(FV('Investment Calculator'!$C$7/'Investment Calculator'!$F$4,'SIP Schedule'!C3810,'SIP Schedule'!D3810,,1)),"")</f>
        <v/>
      </c>
    </row>
    <row r="3811" spans="3:6" x14ac:dyDescent="0.3">
      <c r="C3811" s="1" t="str">
        <f>IF(C3810&lt;'Investment Calculator'!$C$8*'Investment Calculator'!$F$4,'SIP Schedule'!C3810+1,"")</f>
        <v/>
      </c>
      <c r="D3811" s="27" t="str">
        <f>IF(C3811&lt;='Investment Calculator'!$C$8*'Investment Calculator'!$F$4,'Investment Calculator'!$C$6,"")</f>
        <v/>
      </c>
      <c r="E3811" s="27" t="str">
        <f>IFERROR((F3810+D3811)*'Investment Calculator'!$C$7/'Investment Calculator'!$F$4,"")</f>
        <v/>
      </c>
      <c r="F3811" s="27" t="str">
        <f>IFERROR(ABS(FV('Investment Calculator'!$C$7/'Investment Calculator'!$F$4,'SIP Schedule'!C3811,'SIP Schedule'!D3811,,1)),"")</f>
        <v/>
      </c>
    </row>
    <row r="3812" spans="3:6" x14ac:dyDescent="0.3">
      <c r="C3812" s="1" t="str">
        <f>IF(C3811&lt;'Investment Calculator'!$C$8*'Investment Calculator'!$F$4,'SIP Schedule'!C3811+1,"")</f>
        <v/>
      </c>
      <c r="D3812" s="27" t="str">
        <f>IF(C3812&lt;='Investment Calculator'!$C$8*'Investment Calculator'!$F$4,'Investment Calculator'!$C$6,"")</f>
        <v/>
      </c>
      <c r="E3812" s="27" t="str">
        <f>IFERROR((F3811+D3812)*'Investment Calculator'!$C$7/'Investment Calculator'!$F$4,"")</f>
        <v/>
      </c>
      <c r="F3812" s="27" t="str">
        <f>IFERROR(ABS(FV('Investment Calculator'!$C$7/'Investment Calculator'!$F$4,'SIP Schedule'!C3812,'SIP Schedule'!D3812,,1)),"")</f>
        <v/>
      </c>
    </row>
    <row r="3813" spans="3:6" x14ac:dyDescent="0.3">
      <c r="C3813" s="1" t="str">
        <f>IF(C3812&lt;'Investment Calculator'!$C$8*'Investment Calculator'!$F$4,'SIP Schedule'!C3812+1,"")</f>
        <v/>
      </c>
      <c r="D3813" s="27" t="str">
        <f>IF(C3813&lt;='Investment Calculator'!$C$8*'Investment Calculator'!$F$4,'Investment Calculator'!$C$6,"")</f>
        <v/>
      </c>
      <c r="E3813" s="27" t="str">
        <f>IFERROR((F3812+D3813)*'Investment Calculator'!$C$7/'Investment Calculator'!$F$4,"")</f>
        <v/>
      </c>
      <c r="F3813" s="27" t="str">
        <f>IFERROR(ABS(FV('Investment Calculator'!$C$7/'Investment Calculator'!$F$4,'SIP Schedule'!C3813,'SIP Schedule'!D3813,,1)),"")</f>
        <v/>
      </c>
    </row>
    <row r="3814" spans="3:6" x14ac:dyDescent="0.3">
      <c r="C3814" s="1" t="str">
        <f>IF(C3813&lt;'Investment Calculator'!$C$8*'Investment Calculator'!$F$4,'SIP Schedule'!C3813+1,"")</f>
        <v/>
      </c>
      <c r="D3814" s="27" t="str">
        <f>IF(C3814&lt;='Investment Calculator'!$C$8*'Investment Calculator'!$F$4,'Investment Calculator'!$C$6,"")</f>
        <v/>
      </c>
      <c r="E3814" s="27" t="str">
        <f>IFERROR((F3813+D3814)*'Investment Calculator'!$C$7/'Investment Calculator'!$F$4,"")</f>
        <v/>
      </c>
      <c r="F3814" s="27" t="str">
        <f>IFERROR(ABS(FV('Investment Calculator'!$C$7/'Investment Calculator'!$F$4,'SIP Schedule'!C3814,'SIP Schedule'!D3814,,1)),"")</f>
        <v/>
      </c>
    </row>
    <row r="3815" spans="3:6" x14ac:dyDescent="0.3">
      <c r="C3815" s="1" t="str">
        <f>IF(C3814&lt;'Investment Calculator'!$C$8*'Investment Calculator'!$F$4,'SIP Schedule'!C3814+1,"")</f>
        <v/>
      </c>
      <c r="D3815" s="27" t="str">
        <f>IF(C3815&lt;='Investment Calculator'!$C$8*'Investment Calculator'!$F$4,'Investment Calculator'!$C$6,"")</f>
        <v/>
      </c>
      <c r="E3815" s="27" t="str">
        <f>IFERROR((F3814+D3815)*'Investment Calculator'!$C$7/'Investment Calculator'!$F$4,"")</f>
        <v/>
      </c>
      <c r="F3815" s="27" t="str">
        <f>IFERROR(ABS(FV('Investment Calculator'!$C$7/'Investment Calculator'!$F$4,'SIP Schedule'!C3815,'SIP Schedule'!D3815,,1)),"")</f>
        <v/>
      </c>
    </row>
    <row r="3816" spans="3:6" x14ac:dyDescent="0.3">
      <c r="C3816" s="1" t="str">
        <f>IF(C3815&lt;'Investment Calculator'!$C$8*'Investment Calculator'!$F$4,'SIP Schedule'!C3815+1,"")</f>
        <v/>
      </c>
      <c r="D3816" s="27" t="str">
        <f>IF(C3816&lt;='Investment Calculator'!$C$8*'Investment Calculator'!$F$4,'Investment Calculator'!$C$6,"")</f>
        <v/>
      </c>
      <c r="E3816" s="27" t="str">
        <f>IFERROR((F3815+D3816)*'Investment Calculator'!$C$7/'Investment Calculator'!$F$4,"")</f>
        <v/>
      </c>
      <c r="F3816" s="27" t="str">
        <f>IFERROR(ABS(FV('Investment Calculator'!$C$7/'Investment Calculator'!$F$4,'SIP Schedule'!C3816,'SIP Schedule'!D3816,,1)),"")</f>
        <v/>
      </c>
    </row>
    <row r="3817" spans="3:6" x14ac:dyDescent="0.3">
      <c r="C3817" s="1" t="str">
        <f>IF(C3816&lt;'Investment Calculator'!$C$8*'Investment Calculator'!$F$4,'SIP Schedule'!C3816+1,"")</f>
        <v/>
      </c>
      <c r="D3817" s="27" t="str">
        <f>IF(C3817&lt;='Investment Calculator'!$C$8*'Investment Calculator'!$F$4,'Investment Calculator'!$C$6,"")</f>
        <v/>
      </c>
      <c r="E3817" s="27" t="str">
        <f>IFERROR((F3816+D3817)*'Investment Calculator'!$C$7/'Investment Calculator'!$F$4,"")</f>
        <v/>
      </c>
      <c r="F3817" s="27" t="str">
        <f>IFERROR(ABS(FV('Investment Calculator'!$C$7/'Investment Calculator'!$F$4,'SIP Schedule'!C3817,'SIP Schedule'!D3817,,1)),"")</f>
        <v/>
      </c>
    </row>
    <row r="3818" spans="3:6" x14ac:dyDescent="0.3">
      <c r="C3818" s="1" t="str">
        <f>IF(C3817&lt;'Investment Calculator'!$C$8*'Investment Calculator'!$F$4,'SIP Schedule'!C3817+1,"")</f>
        <v/>
      </c>
      <c r="D3818" s="27" t="str">
        <f>IF(C3818&lt;='Investment Calculator'!$C$8*'Investment Calculator'!$F$4,'Investment Calculator'!$C$6,"")</f>
        <v/>
      </c>
      <c r="E3818" s="27" t="str">
        <f>IFERROR((F3817+D3818)*'Investment Calculator'!$C$7/'Investment Calculator'!$F$4,"")</f>
        <v/>
      </c>
      <c r="F3818" s="27" t="str">
        <f>IFERROR(ABS(FV('Investment Calculator'!$C$7/'Investment Calculator'!$F$4,'SIP Schedule'!C3818,'SIP Schedule'!D3818,,1)),"")</f>
        <v/>
      </c>
    </row>
    <row r="3819" spans="3:6" x14ac:dyDescent="0.3">
      <c r="C3819" s="1" t="str">
        <f>IF(C3818&lt;'Investment Calculator'!$C$8*'Investment Calculator'!$F$4,'SIP Schedule'!C3818+1,"")</f>
        <v/>
      </c>
      <c r="D3819" s="27" t="str">
        <f>IF(C3819&lt;='Investment Calculator'!$C$8*'Investment Calculator'!$F$4,'Investment Calculator'!$C$6,"")</f>
        <v/>
      </c>
      <c r="E3819" s="27" t="str">
        <f>IFERROR((F3818+D3819)*'Investment Calculator'!$C$7/'Investment Calculator'!$F$4,"")</f>
        <v/>
      </c>
      <c r="F3819" s="27" t="str">
        <f>IFERROR(ABS(FV('Investment Calculator'!$C$7/'Investment Calculator'!$F$4,'SIP Schedule'!C3819,'SIP Schedule'!D3819,,1)),"")</f>
        <v/>
      </c>
    </row>
    <row r="3820" spans="3:6" x14ac:dyDescent="0.3">
      <c r="C3820" s="1" t="str">
        <f>IF(C3819&lt;'Investment Calculator'!$C$8*'Investment Calculator'!$F$4,'SIP Schedule'!C3819+1,"")</f>
        <v/>
      </c>
      <c r="D3820" s="27" t="str">
        <f>IF(C3820&lt;='Investment Calculator'!$C$8*'Investment Calculator'!$F$4,'Investment Calculator'!$C$6,"")</f>
        <v/>
      </c>
      <c r="E3820" s="27" t="str">
        <f>IFERROR((F3819+D3820)*'Investment Calculator'!$C$7/'Investment Calculator'!$F$4,"")</f>
        <v/>
      </c>
      <c r="F3820" s="27" t="str">
        <f>IFERROR(ABS(FV('Investment Calculator'!$C$7/'Investment Calculator'!$F$4,'SIP Schedule'!C3820,'SIP Schedule'!D3820,,1)),"")</f>
        <v/>
      </c>
    </row>
    <row r="3821" spans="3:6" x14ac:dyDescent="0.3">
      <c r="C3821" s="1" t="str">
        <f>IF(C3820&lt;'Investment Calculator'!$C$8*'Investment Calculator'!$F$4,'SIP Schedule'!C3820+1,"")</f>
        <v/>
      </c>
      <c r="D3821" s="27" t="str">
        <f>IF(C3821&lt;='Investment Calculator'!$C$8*'Investment Calculator'!$F$4,'Investment Calculator'!$C$6,"")</f>
        <v/>
      </c>
      <c r="E3821" s="27" t="str">
        <f>IFERROR((F3820+D3821)*'Investment Calculator'!$C$7/'Investment Calculator'!$F$4,"")</f>
        <v/>
      </c>
      <c r="F3821" s="27" t="str">
        <f>IFERROR(ABS(FV('Investment Calculator'!$C$7/'Investment Calculator'!$F$4,'SIP Schedule'!C3821,'SIP Schedule'!D3821,,1)),"")</f>
        <v/>
      </c>
    </row>
    <row r="3822" spans="3:6" x14ac:dyDescent="0.3">
      <c r="C3822" s="1" t="str">
        <f>IF(C3821&lt;'Investment Calculator'!$C$8*'Investment Calculator'!$F$4,'SIP Schedule'!C3821+1,"")</f>
        <v/>
      </c>
      <c r="D3822" s="27" t="str">
        <f>IF(C3822&lt;='Investment Calculator'!$C$8*'Investment Calculator'!$F$4,'Investment Calculator'!$C$6,"")</f>
        <v/>
      </c>
      <c r="E3822" s="27" t="str">
        <f>IFERROR((F3821+D3822)*'Investment Calculator'!$C$7/'Investment Calculator'!$F$4,"")</f>
        <v/>
      </c>
      <c r="F3822" s="27" t="str">
        <f>IFERROR(ABS(FV('Investment Calculator'!$C$7/'Investment Calculator'!$F$4,'SIP Schedule'!C3822,'SIP Schedule'!D3822,,1)),"")</f>
        <v/>
      </c>
    </row>
    <row r="3823" spans="3:6" x14ac:dyDescent="0.3">
      <c r="C3823" s="1" t="str">
        <f>IF(C3822&lt;'Investment Calculator'!$C$8*'Investment Calculator'!$F$4,'SIP Schedule'!C3822+1,"")</f>
        <v/>
      </c>
      <c r="D3823" s="27" t="str">
        <f>IF(C3823&lt;='Investment Calculator'!$C$8*'Investment Calculator'!$F$4,'Investment Calculator'!$C$6,"")</f>
        <v/>
      </c>
      <c r="E3823" s="27" t="str">
        <f>IFERROR((F3822+D3823)*'Investment Calculator'!$C$7/'Investment Calculator'!$F$4,"")</f>
        <v/>
      </c>
      <c r="F3823" s="27" t="str">
        <f>IFERROR(ABS(FV('Investment Calculator'!$C$7/'Investment Calculator'!$F$4,'SIP Schedule'!C3823,'SIP Schedule'!D3823,,1)),"")</f>
        <v/>
      </c>
    </row>
    <row r="3824" spans="3:6" x14ac:dyDescent="0.3">
      <c r="C3824" s="1" t="str">
        <f>IF(C3823&lt;'Investment Calculator'!$C$8*'Investment Calculator'!$F$4,'SIP Schedule'!C3823+1,"")</f>
        <v/>
      </c>
      <c r="D3824" s="27" t="str">
        <f>IF(C3824&lt;='Investment Calculator'!$C$8*'Investment Calculator'!$F$4,'Investment Calculator'!$C$6,"")</f>
        <v/>
      </c>
      <c r="E3824" s="27" t="str">
        <f>IFERROR((F3823+D3824)*'Investment Calculator'!$C$7/'Investment Calculator'!$F$4,"")</f>
        <v/>
      </c>
      <c r="F3824" s="27" t="str">
        <f>IFERROR(ABS(FV('Investment Calculator'!$C$7/'Investment Calculator'!$F$4,'SIP Schedule'!C3824,'SIP Schedule'!D3824,,1)),"")</f>
        <v/>
      </c>
    </row>
    <row r="3825" spans="3:6" x14ac:dyDescent="0.3">
      <c r="C3825" s="1" t="str">
        <f>IF(C3824&lt;'Investment Calculator'!$C$8*'Investment Calculator'!$F$4,'SIP Schedule'!C3824+1,"")</f>
        <v/>
      </c>
      <c r="D3825" s="27" t="str">
        <f>IF(C3825&lt;='Investment Calculator'!$C$8*'Investment Calculator'!$F$4,'Investment Calculator'!$C$6,"")</f>
        <v/>
      </c>
      <c r="E3825" s="27" t="str">
        <f>IFERROR((F3824+D3825)*'Investment Calculator'!$C$7/'Investment Calculator'!$F$4,"")</f>
        <v/>
      </c>
      <c r="F3825" s="27" t="str">
        <f>IFERROR(ABS(FV('Investment Calculator'!$C$7/'Investment Calculator'!$F$4,'SIP Schedule'!C3825,'SIP Schedule'!D3825,,1)),"")</f>
        <v/>
      </c>
    </row>
    <row r="3826" spans="3:6" x14ac:dyDescent="0.3">
      <c r="C3826" s="1" t="str">
        <f>IF(C3825&lt;'Investment Calculator'!$C$8*'Investment Calculator'!$F$4,'SIP Schedule'!C3825+1,"")</f>
        <v/>
      </c>
      <c r="D3826" s="27" t="str">
        <f>IF(C3826&lt;='Investment Calculator'!$C$8*'Investment Calculator'!$F$4,'Investment Calculator'!$C$6,"")</f>
        <v/>
      </c>
      <c r="E3826" s="27" t="str">
        <f>IFERROR((F3825+D3826)*'Investment Calculator'!$C$7/'Investment Calculator'!$F$4,"")</f>
        <v/>
      </c>
      <c r="F3826" s="27" t="str">
        <f>IFERROR(ABS(FV('Investment Calculator'!$C$7/'Investment Calculator'!$F$4,'SIP Schedule'!C3826,'SIP Schedule'!D3826,,1)),"")</f>
        <v/>
      </c>
    </row>
    <row r="3827" spans="3:6" x14ac:dyDescent="0.3">
      <c r="C3827" s="1" t="str">
        <f>IF(C3826&lt;'Investment Calculator'!$C$8*'Investment Calculator'!$F$4,'SIP Schedule'!C3826+1,"")</f>
        <v/>
      </c>
      <c r="D3827" s="27" t="str">
        <f>IF(C3827&lt;='Investment Calculator'!$C$8*'Investment Calculator'!$F$4,'Investment Calculator'!$C$6,"")</f>
        <v/>
      </c>
      <c r="E3827" s="27" t="str">
        <f>IFERROR((F3826+D3827)*'Investment Calculator'!$C$7/'Investment Calculator'!$F$4,"")</f>
        <v/>
      </c>
      <c r="F3827" s="27" t="str">
        <f>IFERROR(ABS(FV('Investment Calculator'!$C$7/'Investment Calculator'!$F$4,'SIP Schedule'!C3827,'SIP Schedule'!D3827,,1)),"")</f>
        <v/>
      </c>
    </row>
    <row r="3828" spans="3:6" x14ac:dyDescent="0.3">
      <c r="C3828" s="1" t="str">
        <f>IF(C3827&lt;'Investment Calculator'!$C$8*'Investment Calculator'!$F$4,'SIP Schedule'!C3827+1,"")</f>
        <v/>
      </c>
      <c r="D3828" s="27" t="str">
        <f>IF(C3828&lt;='Investment Calculator'!$C$8*'Investment Calculator'!$F$4,'Investment Calculator'!$C$6,"")</f>
        <v/>
      </c>
      <c r="E3828" s="27" t="str">
        <f>IFERROR((F3827+D3828)*'Investment Calculator'!$C$7/'Investment Calculator'!$F$4,"")</f>
        <v/>
      </c>
      <c r="F3828" s="27" t="str">
        <f>IFERROR(ABS(FV('Investment Calculator'!$C$7/'Investment Calculator'!$F$4,'SIP Schedule'!C3828,'SIP Schedule'!D3828,,1)),"")</f>
        <v/>
      </c>
    </row>
    <row r="3829" spans="3:6" x14ac:dyDescent="0.3">
      <c r="C3829" s="1" t="str">
        <f>IF(C3828&lt;'Investment Calculator'!$C$8*'Investment Calculator'!$F$4,'SIP Schedule'!C3828+1,"")</f>
        <v/>
      </c>
      <c r="D3829" s="27" t="str">
        <f>IF(C3829&lt;='Investment Calculator'!$C$8*'Investment Calculator'!$F$4,'Investment Calculator'!$C$6,"")</f>
        <v/>
      </c>
      <c r="E3829" s="27" t="str">
        <f>IFERROR((F3828+D3829)*'Investment Calculator'!$C$7/'Investment Calculator'!$F$4,"")</f>
        <v/>
      </c>
      <c r="F3829" s="27" t="str">
        <f>IFERROR(ABS(FV('Investment Calculator'!$C$7/'Investment Calculator'!$F$4,'SIP Schedule'!C3829,'SIP Schedule'!D3829,,1)),"")</f>
        <v/>
      </c>
    </row>
    <row r="3830" spans="3:6" x14ac:dyDescent="0.3">
      <c r="C3830" s="1" t="str">
        <f>IF(C3829&lt;'Investment Calculator'!$C$8*'Investment Calculator'!$F$4,'SIP Schedule'!C3829+1,"")</f>
        <v/>
      </c>
      <c r="D3830" s="27" t="str">
        <f>IF(C3830&lt;='Investment Calculator'!$C$8*'Investment Calculator'!$F$4,'Investment Calculator'!$C$6,"")</f>
        <v/>
      </c>
      <c r="E3830" s="27" t="str">
        <f>IFERROR((F3829+D3830)*'Investment Calculator'!$C$7/'Investment Calculator'!$F$4,"")</f>
        <v/>
      </c>
      <c r="F3830" s="27" t="str">
        <f>IFERROR(ABS(FV('Investment Calculator'!$C$7/'Investment Calculator'!$F$4,'SIP Schedule'!C3830,'SIP Schedule'!D3830,,1)),"")</f>
        <v/>
      </c>
    </row>
    <row r="3831" spans="3:6" x14ac:dyDescent="0.3">
      <c r="C3831" s="1" t="str">
        <f>IF(C3830&lt;'Investment Calculator'!$C$8*'Investment Calculator'!$F$4,'SIP Schedule'!C3830+1,"")</f>
        <v/>
      </c>
      <c r="D3831" s="27" t="str">
        <f>IF(C3831&lt;='Investment Calculator'!$C$8*'Investment Calculator'!$F$4,'Investment Calculator'!$C$6,"")</f>
        <v/>
      </c>
      <c r="E3831" s="27" t="str">
        <f>IFERROR((F3830+D3831)*'Investment Calculator'!$C$7/'Investment Calculator'!$F$4,"")</f>
        <v/>
      </c>
      <c r="F3831" s="27" t="str">
        <f>IFERROR(ABS(FV('Investment Calculator'!$C$7/'Investment Calculator'!$F$4,'SIP Schedule'!C3831,'SIP Schedule'!D3831,,1)),"")</f>
        <v/>
      </c>
    </row>
    <row r="3832" spans="3:6" x14ac:dyDescent="0.3">
      <c r="C3832" s="1" t="str">
        <f>IF(C3831&lt;'Investment Calculator'!$C$8*'Investment Calculator'!$F$4,'SIP Schedule'!C3831+1,"")</f>
        <v/>
      </c>
      <c r="D3832" s="27" t="str">
        <f>IF(C3832&lt;='Investment Calculator'!$C$8*'Investment Calculator'!$F$4,'Investment Calculator'!$C$6,"")</f>
        <v/>
      </c>
      <c r="E3832" s="27" t="str">
        <f>IFERROR((F3831+D3832)*'Investment Calculator'!$C$7/'Investment Calculator'!$F$4,"")</f>
        <v/>
      </c>
      <c r="F3832" s="27" t="str">
        <f>IFERROR(ABS(FV('Investment Calculator'!$C$7/'Investment Calculator'!$F$4,'SIP Schedule'!C3832,'SIP Schedule'!D3832,,1)),"")</f>
        <v/>
      </c>
    </row>
    <row r="3833" spans="3:6" x14ac:dyDescent="0.3">
      <c r="C3833" s="1" t="str">
        <f>IF(C3832&lt;'Investment Calculator'!$C$8*'Investment Calculator'!$F$4,'SIP Schedule'!C3832+1,"")</f>
        <v/>
      </c>
      <c r="D3833" s="27" t="str">
        <f>IF(C3833&lt;='Investment Calculator'!$C$8*'Investment Calculator'!$F$4,'Investment Calculator'!$C$6,"")</f>
        <v/>
      </c>
      <c r="E3833" s="27" t="str">
        <f>IFERROR((F3832+D3833)*'Investment Calculator'!$C$7/'Investment Calculator'!$F$4,"")</f>
        <v/>
      </c>
      <c r="F3833" s="27" t="str">
        <f>IFERROR(ABS(FV('Investment Calculator'!$C$7/'Investment Calculator'!$F$4,'SIP Schedule'!C3833,'SIP Schedule'!D3833,,1)),"")</f>
        <v/>
      </c>
    </row>
    <row r="3834" spans="3:6" x14ac:dyDescent="0.3">
      <c r="C3834" s="1" t="str">
        <f>IF(C3833&lt;'Investment Calculator'!$C$8*'Investment Calculator'!$F$4,'SIP Schedule'!C3833+1,"")</f>
        <v/>
      </c>
      <c r="D3834" s="27" t="str">
        <f>IF(C3834&lt;='Investment Calculator'!$C$8*'Investment Calculator'!$F$4,'Investment Calculator'!$C$6,"")</f>
        <v/>
      </c>
      <c r="E3834" s="27" t="str">
        <f>IFERROR((F3833+D3834)*'Investment Calculator'!$C$7/'Investment Calculator'!$F$4,"")</f>
        <v/>
      </c>
      <c r="F3834" s="27" t="str">
        <f>IFERROR(ABS(FV('Investment Calculator'!$C$7/'Investment Calculator'!$F$4,'SIP Schedule'!C3834,'SIP Schedule'!D3834,,1)),"")</f>
        <v/>
      </c>
    </row>
    <row r="3835" spans="3:6" x14ac:dyDescent="0.3">
      <c r="C3835" s="1" t="str">
        <f>IF(C3834&lt;'Investment Calculator'!$C$8*'Investment Calculator'!$F$4,'SIP Schedule'!C3834+1,"")</f>
        <v/>
      </c>
      <c r="D3835" s="27" t="str">
        <f>IF(C3835&lt;='Investment Calculator'!$C$8*'Investment Calculator'!$F$4,'Investment Calculator'!$C$6,"")</f>
        <v/>
      </c>
      <c r="E3835" s="27" t="str">
        <f>IFERROR((F3834+D3835)*'Investment Calculator'!$C$7/'Investment Calculator'!$F$4,"")</f>
        <v/>
      </c>
      <c r="F3835" s="27" t="str">
        <f>IFERROR(ABS(FV('Investment Calculator'!$C$7/'Investment Calculator'!$F$4,'SIP Schedule'!C3835,'SIP Schedule'!D3835,,1)),"")</f>
        <v/>
      </c>
    </row>
    <row r="3836" spans="3:6" x14ac:dyDescent="0.3">
      <c r="C3836" s="1" t="str">
        <f>IF(C3835&lt;'Investment Calculator'!$C$8*'Investment Calculator'!$F$4,'SIP Schedule'!C3835+1,"")</f>
        <v/>
      </c>
      <c r="D3836" s="27" t="str">
        <f>IF(C3836&lt;='Investment Calculator'!$C$8*'Investment Calculator'!$F$4,'Investment Calculator'!$C$6,"")</f>
        <v/>
      </c>
      <c r="E3836" s="27" t="str">
        <f>IFERROR((F3835+D3836)*'Investment Calculator'!$C$7/'Investment Calculator'!$F$4,"")</f>
        <v/>
      </c>
      <c r="F3836" s="27" t="str">
        <f>IFERROR(ABS(FV('Investment Calculator'!$C$7/'Investment Calculator'!$F$4,'SIP Schedule'!C3836,'SIP Schedule'!D3836,,1)),"")</f>
        <v/>
      </c>
    </row>
    <row r="3837" spans="3:6" x14ac:dyDescent="0.3">
      <c r="C3837" s="1" t="str">
        <f>IF(C3836&lt;'Investment Calculator'!$C$8*'Investment Calculator'!$F$4,'SIP Schedule'!C3836+1,"")</f>
        <v/>
      </c>
      <c r="D3837" s="27" t="str">
        <f>IF(C3837&lt;='Investment Calculator'!$C$8*'Investment Calculator'!$F$4,'Investment Calculator'!$C$6,"")</f>
        <v/>
      </c>
      <c r="E3837" s="27" t="str">
        <f>IFERROR((F3836+D3837)*'Investment Calculator'!$C$7/'Investment Calculator'!$F$4,"")</f>
        <v/>
      </c>
      <c r="F3837" s="27" t="str">
        <f>IFERROR(ABS(FV('Investment Calculator'!$C$7/'Investment Calculator'!$F$4,'SIP Schedule'!C3837,'SIP Schedule'!D3837,,1)),"")</f>
        <v/>
      </c>
    </row>
    <row r="3838" spans="3:6" x14ac:dyDescent="0.3">
      <c r="C3838" s="1" t="str">
        <f>IF(C3837&lt;'Investment Calculator'!$C$8*'Investment Calculator'!$F$4,'SIP Schedule'!C3837+1,"")</f>
        <v/>
      </c>
      <c r="D3838" s="27" t="str">
        <f>IF(C3838&lt;='Investment Calculator'!$C$8*'Investment Calculator'!$F$4,'Investment Calculator'!$C$6,"")</f>
        <v/>
      </c>
      <c r="E3838" s="27" t="str">
        <f>IFERROR((F3837+D3838)*'Investment Calculator'!$C$7/'Investment Calculator'!$F$4,"")</f>
        <v/>
      </c>
      <c r="F3838" s="27" t="str">
        <f>IFERROR(ABS(FV('Investment Calculator'!$C$7/'Investment Calculator'!$F$4,'SIP Schedule'!C3838,'SIP Schedule'!D3838,,1)),"")</f>
        <v/>
      </c>
    </row>
    <row r="3839" spans="3:6" x14ac:dyDescent="0.3">
      <c r="C3839" s="1" t="str">
        <f>IF(C3838&lt;'Investment Calculator'!$C$8*'Investment Calculator'!$F$4,'SIP Schedule'!C3838+1,"")</f>
        <v/>
      </c>
      <c r="D3839" s="27" t="str">
        <f>IF(C3839&lt;='Investment Calculator'!$C$8*'Investment Calculator'!$F$4,'Investment Calculator'!$C$6,"")</f>
        <v/>
      </c>
      <c r="E3839" s="27" t="str">
        <f>IFERROR((F3838+D3839)*'Investment Calculator'!$C$7/'Investment Calculator'!$F$4,"")</f>
        <v/>
      </c>
      <c r="F3839" s="27" t="str">
        <f>IFERROR(ABS(FV('Investment Calculator'!$C$7/'Investment Calculator'!$F$4,'SIP Schedule'!C3839,'SIP Schedule'!D3839,,1)),"")</f>
        <v/>
      </c>
    </row>
    <row r="3840" spans="3:6" x14ac:dyDescent="0.3">
      <c r="C3840" s="1" t="str">
        <f>IF(C3839&lt;'Investment Calculator'!$C$8*'Investment Calculator'!$F$4,'SIP Schedule'!C3839+1,"")</f>
        <v/>
      </c>
      <c r="D3840" s="27" t="str">
        <f>IF(C3840&lt;='Investment Calculator'!$C$8*'Investment Calculator'!$F$4,'Investment Calculator'!$C$6,"")</f>
        <v/>
      </c>
      <c r="E3840" s="27" t="str">
        <f>IFERROR((F3839+D3840)*'Investment Calculator'!$C$7/'Investment Calculator'!$F$4,"")</f>
        <v/>
      </c>
      <c r="F3840" s="27" t="str">
        <f>IFERROR(ABS(FV('Investment Calculator'!$C$7/'Investment Calculator'!$F$4,'SIP Schedule'!C3840,'SIP Schedule'!D3840,,1)),"")</f>
        <v/>
      </c>
    </row>
    <row r="3841" spans="3:6" x14ac:dyDescent="0.3">
      <c r="C3841" s="1" t="str">
        <f>IF(C3840&lt;'Investment Calculator'!$C$8*'Investment Calculator'!$F$4,'SIP Schedule'!C3840+1,"")</f>
        <v/>
      </c>
      <c r="D3841" s="27" t="str">
        <f>IF(C3841&lt;='Investment Calculator'!$C$8*'Investment Calculator'!$F$4,'Investment Calculator'!$C$6,"")</f>
        <v/>
      </c>
      <c r="E3841" s="27" t="str">
        <f>IFERROR((F3840+D3841)*'Investment Calculator'!$C$7/'Investment Calculator'!$F$4,"")</f>
        <v/>
      </c>
      <c r="F3841" s="27" t="str">
        <f>IFERROR(ABS(FV('Investment Calculator'!$C$7/'Investment Calculator'!$F$4,'SIP Schedule'!C3841,'SIP Schedule'!D3841,,1)),"")</f>
        <v/>
      </c>
    </row>
    <row r="3842" spans="3:6" x14ac:dyDescent="0.3">
      <c r="C3842" s="1" t="str">
        <f>IF(C3841&lt;'Investment Calculator'!$C$8*'Investment Calculator'!$F$4,'SIP Schedule'!C3841+1,"")</f>
        <v/>
      </c>
      <c r="D3842" s="27" t="str">
        <f>IF(C3842&lt;='Investment Calculator'!$C$8*'Investment Calculator'!$F$4,'Investment Calculator'!$C$6,"")</f>
        <v/>
      </c>
      <c r="E3842" s="27" t="str">
        <f>IFERROR((F3841+D3842)*'Investment Calculator'!$C$7/'Investment Calculator'!$F$4,"")</f>
        <v/>
      </c>
      <c r="F3842" s="27" t="str">
        <f>IFERROR(ABS(FV('Investment Calculator'!$C$7/'Investment Calculator'!$F$4,'SIP Schedule'!C3842,'SIP Schedule'!D3842,,1)),"")</f>
        <v/>
      </c>
    </row>
    <row r="3843" spans="3:6" x14ac:dyDescent="0.3">
      <c r="C3843" s="1" t="str">
        <f>IF(C3842&lt;'Investment Calculator'!$C$8*'Investment Calculator'!$F$4,'SIP Schedule'!C3842+1,"")</f>
        <v/>
      </c>
      <c r="D3843" s="27" t="str">
        <f>IF(C3843&lt;='Investment Calculator'!$C$8*'Investment Calculator'!$F$4,'Investment Calculator'!$C$6,"")</f>
        <v/>
      </c>
      <c r="E3843" s="27" t="str">
        <f>IFERROR((F3842+D3843)*'Investment Calculator'!$C$7/'Investment Calculator'!$F$4,"")</f>
        <v/>
      </c>
      <c r="F3843" s="27" t="str">
        <f>IFERROR(ABS(FV('Investment Calculator'!$C$7/'Investment Calculator'!$F$4,'SIP Schedule'!C3843,'SIP Schedule'!D3843,,1)),"")</f>
        <v/>
      </c>
    </row>
    <row r="3844" spans="3:6" x14ac:dyDescent="0.3">
      <c r="C3844" s="1" t="str">
        <f>IF(C3843&lt;'Investment Calculator'!$C$8*'Investment Calculator'!$F$4,'SIP Schedule'!C3843+1,"")</f>
        <v/>
      </c>
      <c r="D3844" s="27" t="str">
        <f>IF(C3844&lt;='Investment Calculator'!$C$8*'Investment Calculator'!$F$4,'Investment Calculator'!$C$6,"")</f>
        <v/>
      </c>
      <c r="E3844" s="27" t="str">
        <f>IFERROR((F3843+D3844)*'Investment Calculator'!$C$7/'Investment Calculator'!$F$4,"")</f>
        <v/>
      </c>
      <c r="F3844" s="27" t="str">
        <f>IFERROR(ABS(FV('Investment Calculator'!$C$7/'Investment Calculator'!$F$4,'SIP Schedule'!C3844,'SIP Schedule'!D3844,,1)),"")</f>
        <v/>
      </c>
    </row>
    <row r="3845" spans="3:6" x14ac:dyDescent="0.3">
      <c r="C3845" s="1" t="str">
        <f>IF(C3844&lt;'Investment Calculator'!$C$8*'Investment Calculator'!$F$4,'SIP Schedule'!C3844+1,"")</f>
        <v/>
      </c>
      <c r="D3845" s="27" t="str">
        <f>IF(C3845&lt;='Investment Calculator'!$C$8*'Investment Calculator'!$F$4,'Investment Calculator'!$C$6,"")</f>
        <v/>
      </c>
      <c r="E3845" s="27" t="str">
        <f>IFERROR((F3844+D3845)*'Investment Calculator'!$C$7/'Investment Calculator'!$F$4,"")</f>
        <v/>
      </c>
      <c r="F3845" s="27" t="str">
        <f>IFERROR(ABS(FV('Investment Calculator'!$C$7/'Investment Calculator'!$F$4,'SIP Schedule'!C3845,'SIP Schedule'!D3845,,1)),"")</f>
        <v/>
      </c>
    </row>
    <row r="3846" spans="3:6" x14ac:dyDescent="0.3">
      <c r="C3846" s="1" t="str">
        <f>IF(C3845&lt;'Investment Calculator'!$C$8*'Investment Calculator'!$F$4,'SIP Schedule'!C3845+1,"")</f>
        <v/>
      </c>
      <c r="D3846" s="27" t="str">
        <f>IF(C3846&lt;='Investment Calculator'!$C$8*'Investment Calculator'!$F$4,'Investment Calculator'!$C$6,"")</f>
        <v/>
      </c>
      <c r="E3846" s="27" t="str">
        <f>IFERROR((F3845+D3846)*'Investment Calculator'!$C$7/'Investment Calculator'!$F$4,"")</f>
        <v/>
      </c>
      <c r="F3846" s="27" t="str">
        <f>IFERROR(ABS(FV('Investment Calculator'!$C$7/'Investment Calculator'!$F$4,'SIP Schedule'!C3846,'SIP Schedule'!D3846,,1)),"")</f>
        <v/>
      </c>
    </row>
    <row r="3847" spans="3:6" x14ac:dyDescent="0.3">
      <c r="C3847" s="1" t="str">
        <f>IF(C3846&lt;'Investment Calculator'!$C$8*'Investment Calculator'!$F$4,'SIP Schedule'!C3846+1,"")</f>
        <v/>
      </c>
      <c r="D3847" s="27" t="str">
        <f>IF(C3847&lt;='Investment Calculator'!$C$8*'Investment Calculator'!$F$4,'Investment Calculator'!$C$6,"")</f>
        <v/>
      </c>
      <c r="E3847" s="27" t="str">
        <f>IFERROR((F3846+D3847)*'Investment Calculator'!$C$7/'Investment Calculator'!$F$4,"")</f>
        <v/>
      </c>
      <c r="F3847" s="27" t="str">
        <f>IFERROR(ABS(FV('Investment Calculator'!$C$7/'Investment Calculator'!$F$4,'SIP Schedule'!C3847,'SIP Schedule'!D3847,,1)),"")</f>
        <v/>
      </c>
    </row>
    <row r="3848" spans="3:6" x14ac:dyDescent="0.3">
      <c r="C3848" s="1" t="str">
        <f>IF(C3847&lt;'Investment Calculator'!$C$8*'Investment Calculator'!$F$4,'SIP Schedule'!C3847+1,"")</f>
        <v/>
      </c>
      <c r="D3848" s="27" t="str">
        <f>IF(C3848&lt;='Investment Calculator'!$C$8*'Investment Calculator'!$F$4,'Investment Calculator'!$C$6,"")</f>
        <v/>
      </c>
      <c r="E3848" s="27" t="str">
        <f>IFERROR((F3847+D3848)*'Investment Calculator'!$C$7/'Investment Calculator'!$F$4,"")</f>
        <v/>
      </c>
      <c r="F3848" s="27" t="str">
        <f>IFERROR(ABS(FV('Investment Calculator'!$C$7/'Investment Calculator'!$F$4,'SIP Schedule'!C3848,'SIP Schedule'!D3848,,1)),"")</f>
        <v/>
      </c>
    </row>
    <row r="3849" spans="3:6" x14ac:dyDescent="0.3">
      <c r="C3849" s="1" t="str">
        <f>IF(C3848&lt;'Investment Calculator'!$C$8*'Investment Calculator'!$F$4,'SIP Schedule'!C3848+1,"")</f>
        <v/>
      </c>
      <c r="D3849" s="27" t="str">
        <f>IF(C3849&lt;='Investment Calculator'!$C$8*'Investment Calculator'!$F$4,'Investment Calculator'!$C$6,"")</f>
        <v/>
      </c>
      <c r="E3849" s="27" t="str">
        <f>IFERROR((F3848+D3849)*'Investment Calculator'!$C$7/'Investment Calculator'!$F$4,"")</f>
        <v/>
      </c>
      <c r="F3849" s="27" t="str">
        <f>IFERROR(ABS(FV('Investment Calculator'!$C$7/'Investment Calculator'!$F$4,'SIP Schedule'!C3849,'SIP Schedule'!D3849,,1)),"")</f>
        <v/>
      </c>
    </row>
    <row r="3850" spans="3:6" x14ac:dyDescent="0.3">
      <c r="C3850" s="1" t="str">
        <f>IF(C3849&lt;'Investment Calculator'!$C$8*'Investment Calculator'!$F$4,'SIP Schedule'!C3849+1,"")</f>
        <v/>
      </c>
      <c r="D3850" s="27" t="str">
        <f>IF(C3850&lt;='Investment Calculator'!$C$8*'Investment Calculator'!$F$4,'Investment Calculator'!$C$6,"")</f>
        <v/>
      </c>
      <c r="E3850" s="27" t="str">
        <f>IFERROR((F3849+D3850)*'Investment Calculator'!$C$7/'Investment Calculator'!$F$4,"")</f>
        <v/>
      </c>
      <c r="F3850" s="27" t="str">
        <f>IFERROR(ABS(FV('Investment Calculator'!$C$7/'Investment Calculator'!$F$4,'SIP Schedule'!C3850,'SIP Schedule'!D3850,,1)),"")</f>
        <v/>
      </c>
    </row>
    <row r="3851" spans="3:6" x14ac:dyDescent="0.3">
      <c r="C3851" s="1" t="str">
        <f>IF(C3850&lt;'Investment Calculator'!$C$8*'Investment Calculator'!$F$4,'SIP Schedule'!C3850+1,"")</f>
        <v/>
      </c>
      <c r="D3851" s="27" t="str">
        <f>IF(C3851&lt;='Investment Calculator'!$C$8*'Investment Calculator'!$F$4,'Investment Calculator'!$C$6,"")</f>
        <v/>
      </c>
      <c r="E3851" s="27" t="str">
        <f>IFERROR((F3850+D3851)*'Investment Calculator'!$C$7/'Investment Calculator'!$F$4,"")</f>
        <v/>
      </c>
      <c r="F3851" s="27" t="str">
        <f>IFERROR(ABS(FV('Investment Calculator'!$C$7/'Investment Calculator'!$F$4,'SIP Schedule'!C3851,'SIP Schedule'!D3851,,1)),"")</f>
        <v/>
      </c>
    </row>
    <row r="3852" spans="3:6" x14ac:dyDescent="0.3">
      <c r="C3852" s="1" t="str">
        <f>IF(C3851&lt;'Investment Calculator'!$C$8*'Investment Calculator'!$F$4,'SIP Schedule'!C3851+1,"")</f>
        <v/>
      </c>
      <c r="D3852" s="27" t="str">
        <f>IF(C3852&lt;='Investment Calculator'!$C$8*'Investment Calculator'!$F$4,'Investment Calculator'!$C$6,"")</f>
        <v/>
      </c>
      <c r="E3852" s="27" t="str">
        <f>IFERROR((F3851+D3852)*'Investment Calculator'!$C$7/'Investment Calculator'!$F$4,"")</f>
        <v/>
      </c>
      <c r="F3852" s="27" t="str">
        <f>IFERROR(ABS(FV('Investment Calculator'!$C$7/'Investment Calculator'!$F$4,'SIP Schedule'!C3852,'SIP Schedule'!D3852,,1)),"")</f>
        <v/>
      </c>
    </row>
    <row r="3853" spans="3:6" x14ac:dyDescent="0.3">
      <c r="C3853" s="1" t="str">
        <f>IF(C3852&lt;'Investment Calculator'!$C$8*'Investment Calculator'!$F$4,'SIP Schedule'!C3852+1,"")</f>
        <v/>
      </c>
      <c r="D3853" s="27" t="str">
        <f>IF(C3853&lt;='Investment Calculator'!$C$8*'Investment Calculator'!$F$4,'Investment Calculator'!$C$6,"")</f>
        <v/>
      </c>
      <c r="E3853" s="27" t="str">
        <f>IFERROR((F3852+D3853)*'Investment Calculator'!$C$7/'Investment Calculator'!$F$4,"")</f>
        <v/>
      </c>
      <c r="F3853" s="27" t="str">
        <f>IFERROR(ABS(FV('Investment Calculator'!$C$7/'Investment Calculator'!$F$4,'SIP Schedule'!C3853,'SIP Schedule'!D3853,,1)),"")</f>
        <v/>
      </c>
    </row>
    <row r="3854" spans="3:6" x14ac:dyDescent="0.3">
      <c r="C3854" s="1" t="str">
        <f>IF(C3853&lt;'Investment Calculator'!$C$8*'Investment Calculator'!$F$4,'SIP Schedule'!C3853+1,"")</f>
        <v/>
      </c>
      <c r="D3854" s="27" t="str">
        <f>IF(C3854&lt;='Investment Calculator'!$C$8*'Investment Calculator'!$F$4,'Investment Calculator'!$C$6,"")</f>
        <v/>
      </c>
      <c r="E3854" s="27" t="str">
        <f>IFERROR((F3853+D3854)*'Investment Calculator'!$C$7/'Investment Calculator'!$F$4,"")</f>
        <v/>
      </c>
      <c r="F3854" s="27" t="str">
        <f>IFERROR(ABS(FV('Investment Calculator'!$C$7/'Investment Calculator'!$F$4,'SIP Schedule'!C3854,'SIP Schedule'!D3854,,1)),"")</f>
        <v/>
      </c>
    </row>
    <row r="3855" spans="3:6" x14ac:dyDescent="0.3">
      <c r="C3855" s="1" t="str">
        <f>IF(C3854&lt;'Investment Calculator'!$C$8*'Investment Calculator'!$F$4,'SIP Schedule'!C3854+1,"")</f>
        <v/>
      </c>
      <c r="D3855" s="27" t="str">
        <f>IF(C3855&lt;='Investment Calculator'!$C$8*'Investment Calculator'!$F$4,'Investment Calculator'!$C$6,"")</f>
        <v/>
      </c>
      <c r="E3855" s="27" t="str">
        <f>IFERROR((F3854+D3855)*'Investment Calculator'!$C$7/'Investment Calculator'!$F$4,"")</f>
        <v/>
      </c>
      <c r="F3855" s="27" t="str">
        <f>IFERROR(ABS(FV('Investment Calculator'!$C$7/'Investment Calculator'!$F$4,'SIP Schedule'!C3855,'SIP Schedule'!D3855,,1)),"")</f>
        <v/>
      </c>
    </row>
    <row r="3856" spans="3:6" x14ac:dyDescent="0.3">
      <c r="C3856" s="1" t="str">
        <f>IF(C3855&lt;'Investment Calculator'!$C$8*'Investment Calculator'!$F$4,'SIP Schedule'!C3855+1,"")</f>
        <v/>
      </c>
      <c r="D3856" s="27" t="str">
        <f>IF(C3856&lt;='Investment Calculator'!$C$8*'Investment Calculator'!$F$4,'Investment Calculator'!$C$6,"")</f>
        <v/>
      </c>
      <c r="E3856" s="27" t="str">
        <f>IFERROR((F3855+D3856)*'Investment Calculator'!$C$7/'Investment Calculator'!$F$4,"")</f>
        <v/>
      </c>
      <c r="F3856" s="27" t="str">
        <f>IFERROR(ABS(FV('Investment Calculator'!$C$7/'Investment Calculator'!$F$4,'SIP Schedule'!C3856,'SIP Schedule'!D3856,,1)),"")</f>
        <v/>
      </c>
    </row>
    <row r="3857" spans="3:6" x14ac:dyDescent="0.3">
      <c r="C3857" s="1" t="str">
        <f>IF(C3856&lt;'Investment Calculator'!$C$8*'Investment Calculator'!$F$4,'SIP Schedule'!C3856+1,"")</f>
        <v/>
      </c>
      <c r="D3857" s="27" t="str">
        <f>IF(C3857&lt;='Investment Calculator'!$C$8*'Investment Calculator'!$F$4,'Investment Calculator'!$C$6,"")</f>
        <v/>
      </c>
      <c r="E3857" s="27" t="str">
        <f>IFERROR((F3856+D3857)*'Investment Calculator'!$C$7/'Investment Calculator'!$F$4,"")</f>
        <v/>
      </c>
      <c r="F3857" s="27" t="str">
        <f>IFERROR(ABS(FV('Investment Calculator'!$C$7/'Investment Calculator'!$F$4,'SIP Schedule'!C3857,'SIP Schedule'!D3857,,1)),"")</f>
        <v/>
      </c>
    </row>
    <row r="3858" spans="3:6" x14ac:dyDescent="0.3">
      <c r="C3858" s="1" t="str">
        <f>IF(C3857&lt;'Investment Calculator'!$C$8*'Investment Calculator'!$F$4,'SIP Schedule'!C3857+1,"")</f>
        <v/>
      </c>
      <c r="D3858" s="27" t="str">
        <f>IF(C3858&lt;='Investment Calculator'!$C$8*'Investment Calculator'!$F$4,'Investment Calculator'!$C$6,"")</f>
        <v/>
      </c>
      <c r="E3858" s="27" t="str">
        <f>IFERROR((F3857+D3858)*'Investment Calculator'!$C$7/'Investment Calculator'!$F$4,"")</f>
        <v/>
      </c>
      <c r="F3858" s="27" t="str">
        <f>IFERROR(ABS(FV('Investment Calculator'!$C$7/'Investment Calculator'!$F$4,'SIP Schedule'!C3858,'SIP Schedule'!D3858,,1)),"")</f>
        <v/>
      </c>
    </row>
    <row r="3859" spans="3:6" x14ac:dyDescent="0.3">
      <c r="C3859" s="1" t="str">
        <f>IF(C3858&lt;'Investment Calculator'!$C$8*'Investment Calculator'!$F$4,'SIP Schedule'!C3858+1,"")</f>
        <v/>
      </c>
      <c r="D3859" s="27" t="str">
        <f>IF(C3859&lt;='Investment Calculator'!$C$8*'Investment Calculator'!$F$4,'Investment Calculator'!$C$6,"")</f>
        <v/>
      </c>
      <c r="E3859" s="27" t="str">
        <f>IFERROR((F3858+D3859)*'Investment Calculator'!$C$7/'Investment Calculator'!$F$4,"")</f>
        <v/>
      </c>
      <c r="F3859" s="27" t="str">
        <f>IFERROR(ABS(FV('Investment Calculator'!$C$7/'Investment Calculator'!$F$4,'SIP Schedule'!C3859,'SIP Schedule'!D3859,,1)),"")</f>
        <v/>
      </c>
    </row>
    <row r="3860" spans="3:6" x14ac:dyDescent="0.3">
      <c r="C3860" s="1" t="str">
        <f>IF(C3859&lt;'Investment Calculator'!$C$8*'Investment Calculator'!$F$4,'SIP Schedule'!C3859+1,"")</f>
        <v/>
      </c>
      <c r="D3860" s="27" t="str">
        <f>IF(C3860&lt;='Investment Calculator'!$C$8*'Investment Calculator'!$F$4,'Investment Calculator'!$C$6,"")</f>
        <v/>
      </c>
      <c r="E3860" s="27" t="str">
        <f>IFERROR((F3859+D3860)*'Investment Calculator'!$C$7/'Investment Calculator'!$F$4,"")</f>
        <v/>
      </c>
      <c r="F3860" s="27" t="str">
        <f>IFERROR(ABS(FV('Investment Calculator'!$C$7/'Investment Calculator'!$F$4,'SIP Schedule'!C3860,'SIP Schedule'!D3860,,1)),"")</f>
        <v/>
      </c>
    </row>
    <row r="3861" spans="3:6" x14ac:dyDescent="0.3">
      <c r="C3861" s="1" t="str">
        <f>IF(C3860&lt;'Investment Calculator'!$C$8*'Investment Calculator'!$F$4,'SIP Schedule'!C3860+1,"")</f>
        <v/>
      </c>
      <c r="D3861" s="27" t="str">
        <f>IF(C3861&lt;='Investment Calculator'!$C$8*'Investment Calculator'!$F$4,'Investment Calculator'!$C$6,"")</f>
        <v/>
      </c>
      <c r="E3861" s="27" t="str">
        <f>IFERROR((F3860+D3861)*'Investment Calculator'!$C$7/'Investment Calculator'!$F$4,"")</f>
        <v/>
      </c>
      <c r="F3861" s="27" t="str">
        <f>IFERROR(ABS(FV('Investment Calculator'!$C$7/'Investment Calculator'!$F$4,'SIP Schedule'!C3861,'SIP Schedule'!D3861,,1)),"")</f>
        <v/>
      </c>
    </row>
    <row r="3862" spans="3:6" x14ac:dyDescent="0.3">
      <c r="C3862" s="1" t="str">
        <f>IF(C3861&lt;'Investment Calculator'!$C$8*'Investment Calculator'!$F$4,'SIP Schedule'!C3861+1,"")</f>
        <v/>
      </c>
      <c r="D3862" s="27" t="str">
        <f>IF(C3862&lt;='Investment Calculator'!$C$8*'Investment Calculator'!$F$4,'Investment Calculator'!$C$6,"")</f>
        <v/>
      </c>
      <c r="E3862" s="27" t="str">
        <f>IFERROR((F3861+D3862)*'Investment Calculator'!$C$7/'Investment Calculator'!$F$4,"")</f>
        <v/>
      </c>
      <c r="F3862" s="27" t="str">
        <f>IFERROR(ABS(FV('Investment Calculator'!$C$7/'Investment Calculator'!$F$4,'SIP Schedule'!C3862,'SIP Schedule'!D3862,,1)),"")</f>
        <v/>
      </c>
    </row>
    <row r="3863" spans="3:6" x14ac:dyDescent="0.3">
      <c r="C3863" s="1" t="str">
        <f>IF(C3862&lt;'Investment Calculator'!$C$8*'Investment Calculator'!$F$4,'SIP Schedule'!C3862+1,"")</f>
        <v/>
      </c>
      <c r="D3863" s="27" t="str">
        <f>IF(C3863&lt;='Investment Calculator'!$C$8*'Investment Calculator'!$F$4,'Investment Calculator'!$C$6,"")</f>
        <v/>
      </c>
      <c r="E3863" s="27" t="str">
        <f>IFERROR((F3862+D3863)*'Investment Calculator'!$C$7/'Investment Calculator'!$F$4,"")</f>
        <v/>
      </c>
      <c r="F3863" s="27" t="str">
        <f>IFERROR(ABS(FV('Investment Calculator'!$C$7/'Investment Calculator'!$F$4,'SIP Schedule'!C3863,'SIP Schedule'!D3863,,1)),"")</f>
        <v/>
      </c>
    </row>
    <row r="3864" spans="3:6" x14ac:dyDescent="0.3">
      <c r="C3864" s="1" t="str">
        <f>IF(C3863&lt;'Investment Calculator'!$C$8*'Investment Calculator'!$F$4,'SIP Schedule'!C3863+1,"")</f>
        <v/>
      </c>
      <c r="D3864" s="27" t="str">
        <f>IF(C3864&lt;='Investment Calculator'!$C$8*'Investment Calculator'!$F$4,'Investment Calculator'!$C$6,"")</f>
        <v/>
      </c>
      <c r="E3864" s="27" t="str">
        <f>IFERROR((F3863+D3864)*'Investment Calculator'!$C$7/'Investment Calculator'!$F$4,"")</f>
        <v/>
      </c>
      <c r="F3864" s="27" t="str">
        <f>IFERROR(ABS(FV('Investment Calculator'!$C$7/'Investment Calculator'!$F$4,'SIP Schedule'!C3864,'SIP Schedule'!D3864,,1)),"")</f>
        <v/>
      </c>
    </row>
    <row r="3865" spans="3:6" x14ac:dyDescent="0.3">
      <c r="C3865" s="1" t="str">
        <f>IF(C3864&lt;'Investment Calculator'!$C$8*'Investment Calculator'!$F$4,'SIP Schedule'!C3864+1,"")</f>
        <v/>
      </c>
      <c r="D3865" s="27" t="str">
        <f>IF(C3865&lt;='Investment Calculator'!$C$8*'Investment Calculator'!$F$4,'Investment Calculator'!$C$6,"")</f>
        <v/>
      </c>
      <c r="E3865" s="27" t="str">
        <f>IFERROR((F3864+D3865)*'Investment Calculator'!$C$7/'Investment Calculator'!$F$4,"")</f>
        <v/>
      </c>
      <c r="F3865" s="27" t="str">
        <f>IFERROR(ABS(FV('Investment Calculator'!$C$7/'Investment Calculator'!$F$4,'SIP Schedule'!C3865,'SIP Schedule'!D3865,,1)),"")</f>
        <v/>
      </c>
    </row>
    <row r="3866" spans="3:6" x14ac:dyDescent="0.3">
      <c r="C3866" s="1" t="str">
        <f>IF(C3865&lt;'Investment Calculator'!$C$8*'Investment Calculator'!$F$4,'SIP Schedule'!C3865+1,"")</f>
        <v/>
      </c>
      <c r="D3866" s="27" t="str">
        <f>IF(C3866&lt;='Investment Calculator'!$C$8*'Investment Calculator'!$F$4,'Investment Calculator'!$C$6,"")</f>
        <v/>
      </c>
      <c r="E3866" s="27" t="str">
        <f>IFERROR((F3865+D3866)*'Investment Calculator'!$C$7/'Investment Calculator'!$F$4,"")</f>
        <v/>
      </c>
      <c r="F3866" s="27" t="str">
        <f>IFERROR(ABS(FV('Investment Calculator'!$C$7/'Investment Calculator'!$F$4,'SIP Schedule'!C3866,'SIP Schedule'!D3866,,1)),"")</f>
        <v/>
      </c>
    </row>
    <row r="3867" spans="3:6" x14ac:dyDescent="0.3">
      <c r="C3867" s="1" t="str">
        <f>IF(C3866&lt;'Investment Calculator'!$C$8*'Investment Calculator'!$F$4,'SIP Schedule'!C3866+1,"")</f>
        <v/>
      </c>
      <c r="D3867" s="27" t="str">
        <f>IF(C3867&lt;='Investment Calculator'!$C$8*'Investment Calculator'!$F$4,'Investment Calculator'!$C$6,"")</f>
        <v/>
      </c>
      <c r="E3867" s="27" t="str">
        <f>IFERROR((F3866+D3867)*'Investment Calculator'!$C$7/'Investment Calculator'!$F$4,"")</f>
        <v/>
      </c>
      <c r="F3867" s="27" t="str">
        <f>IFERROR(ABS(FV('Investment Calculator'!$C$7/'Investment Calculator'!$F$4,'SIP Schedule'!C3867,'SIP Schedule'!D3867,,1)),"")</f>
        <v/>
      </c>
    </row>
    <row r="3868" spans="3:6" x14ac:dyDescent="0.3">
      <c r="C3868" s="1" t="str">
        <f>IF(C3867&lt;'Investment Calculator'!$C$8*'Investment Calculator'!$F$4,'SIP Schedule'!C3867+1,"")</f>
        <v/>
      </c>
      <c r="D3868" s="27" t="str">
        <f>IF(C3868&lt;='Investment Calculator'!$C$8*'Investment Calculator'!$F$4,'Investment Calculator'!$C$6,"")</f>
        <v/>
      </c>
      <c r="E3868" s="27" t="str">
        <f>IFERROR((F3867+D3868)*'Investment Calculator'!$C$7/'Investment Calculator'!$F$4,"")</f>
        <v/>
      </c>
      <c r="F3868" s="27" t="str">
        <f>IFERROR(ABS(FV('Investment Calculator'!$C$7/'Investment Calculator'!$F$4,'SIP Schedule'!C3868,'SIP Schedule'!D3868,,1)),"")</f>
        <v/>
      </c>
    </row>
    <row r="3869" spans="3:6" x14ac:dyDescent="0.3">
      <c r="C3869" s="1" t="str">
        <f>IF(C3868&lt;'Investment Calculator'!$C$8*'Investment Calculator'!$F$4,'SIP Schedule'!C3868+1,"")</f>
        <v/>
      </c>
      <c r="D3869" s="27" t="str">
        <f>IF(C3869&lt;='Investment Calculator'!$C$8*'Investment Calculator'!$F$4,'Investment Calculator'!$C$6,"")</f>
        <v/>
      </c>
      <c r="E3869" s="27" t="str">
        <f>IFERROR((F3868+D3869)*'Investment Calculator'!$C$7/'Investment Calculator'!$F$4,"")</f>
        <v/>
      </c>
      <c r="F3869" s="27" t="str">
        <f>IFERROR(ABS(FV('Investment Calculator'!$C$7/'Investment Calculator'!$F$4,'SIP Schedule'!C3869,'SIP Schedule'!D3869,,1)),"")</f>
        <v/>
      </c>
    </row>
    <row r="3870" spans="3:6" x14ac:dyDescent="0.3">
      <c r="C3870" s="1" t="str">
        <f>IF(C3869&lt;'Investment Calculator'!$C$8*'Investment Calculator'!$F$4,'SIP Schedule'!C3869+1,"")</f>
        <v/>
      </c>
      <c r="D3870" s="27" t="str">
        <f>IF(C3870&lt;='Investment Calculator'!$C$8*'Investment Calculator'!$F$4,'Investment Calculator'!$C$6,"")</f>
        <v/>
      </c>
      <c r="E3870" s="27" t="str">
        <f>IFERROR((F3869+D3870)*'Investment Calculator'!$C$7/'Investment Calculator'!$F$4,"")</f>
        <v/>
      </c>
      <c r="F3870" s="27" t="str">
        <f>IFERROR(ABS(FV('Investment Calculator'!$C$7/'Investment Calculator'!$F$4,'SIP Schedule'!C3870,'SIP Schedule'!D3870,,1)),"")</f>
        <v/>
      </c>
    </row>
    <row r="3871" spans="3:6" x14ac:dyDescent="0.3">
      <c r="C3871" s="1" t="str">
        <f>IF(C3870&lt;'Investment Calculator'!$C$8*'Investment Calculator'!$F$4,'SIP Schedule'!C3870+1,"")</f>
        <v/>
      </c>
      <c r="D3871" s="27" t="str">
        <f>IF(C3871&lt;='Investment Calculator'!$C$8*'Investment Calculator'!$F$4,'Investment Calculator'!$C$6,"")</f>
        <v/>
      </c>
      <c r="E3871" s="27" t="str">
        <f>IFERROR((F3870+D3871)*'Investment Calculator'!$C$7/'Investment Calculator'!$F$4,"")</f>
        <v/>
      </c>
      <c r="F3871" s="27" t="str">
        <f>IFERROR(ABS(FV('Investment Calculator'!$C$7/'Investment Calculator'!$F$4,'SIP Schedule'!C3871,'SIP Schedule'!D3871,,1)),"")</f>
        <v/>
      </c>
    </row>
    <row r="3872" spans="3:6" x14ac:dyDescent="0.3">
      <c r="C3872" s="1" t="str">
        <f>IF(C3871&lt;'Investment Calculator'!$C$8*'Investment Calculator'!$F$4,'SIP Schedule'!C3871+1,"")</f>
        <v/>
      </c>
      <c r="D3872" s="27" t="str">
        <f>IF(C3872&lt;='Investment Calculator'!$C$8*'Investment Calculator'!$F$4,'Investment Calculator'!$C$6,"")</f>
        <v/>
      </c>
      <c r="E3872" s="27" t="str">
        <f>IFERROR((F3871+D3872)*'Investment Calculator'!$C$7/'Investment Calculator'!$F$4,"")</f>
        <v/>
      </c>
      <c r="F3872" s="27" t="str">
        <f>IFERROR(ABS(FV('Investment Calculator'!$C$7/'Investment Calculator'!$F$4,'SIP Schedule'!C3872,'SIP Schedule'!D3872,,1)),"")</f>
        <v/>
      </c>
    </row>
    <row r="3873" spans="3:6" x14ac:dyDescent="0.3">
      <c r="C3873" s="1" t="str">
        <f>IF(C3872&lt;'Investment Calculator'!$C$8*'Investment Calculator'!$F$4,'SIP Schedule'!C3872+1,"")</f>
        <v/>
      </c>
      <c r="D3873" s="27" t="str">
        <f>IF(C3873&lt;='Investment Calculator'!$C$8*'Investment Calculator'!$F$4,'Investment Calculator'!$C$6,"")</f>
        <v/>
      </c>
      <c r="E3873" s="27" t="str">
        <f>IFERROR((F3872+D3873)*'Investment Calculator'!$C$7/'Investment Calculator'!$F$4,"")</f>
        <v/>
      </c>
      <c r="F3873" s="27" t="str">
        <f>IFERROR(ABS(FV('Investment Calculator'!$C$7/'Investment Calculator'!$F$4,'SIP Schedule'!C3873,'SIP Schedule'!D3873,,1)),"")</f>
        <v/>
      </c>
    </row>
    <row r="3874" spans="3:6" x14ac:dyDescent="0.3">
      <c r="C3874" s="1" t="str">
        <f>IF(C3873&lt;'Investment Calculator'!$C$8*'Investment Calculator'!$F$4,'SIP Schedule'!C3873+1,"")</f>
        <v/>
      </c>
      <c r="D3874" s="27" t="str">
        <f>IF(C3874&lt;='Investment Calculator'!$C$8*'Investment Calculator'!$F$4,'Investment Calculator'!$C$6,"")</f>
        <v/>
      </c>
      <c r="E3874" s="27" t="str">
        <f>IFERROR((F3873+D3874)*'Investment Calculator'!$C$7/'Investment Calculator'!$F$4,"")</f>
        <v/>
      </c>
      <c r="F3874" s="27" t="str">
        <f>IFERROR(ABS(FV('Investment Calculator'!$C$7/'Investment Calculator'!$F$4,'SIP Schedule'!C3874,'SIP Schedule'!D3874,,1)),"")</f>
        <v/>
      </c>
    </row>
    <row r="3875" spans="3:6" x14ac:dyDescent="0.3">
      <c r="C3875" s="1" t="str">
        <f>IF(C3874&lt;'Investment Calculator'!$C$8*'Investment Calculator'!$F$4,'SIP Schedule'!C3874+1,"")</f>
        <v/>
      </c>
      <c r="D3875" s="27" t="str">
        <f>IF(C3875&lt;='Investment Calculator'!$C$8*'Investment Calculator'!$F$4,'Investment Calculator'!$C$6,"")</f>
        <v/>
      </c>
      <c r="E3875" s="27" t="str">
        <f>IFERROR((F3874+D3875)*'Investment Calculator'!$C$7/'Investment Calculator'!$F$4,"")</f>
        <v/>
      </c>
      <c r="F3875" s="27" t="str">
        <f>IFERROR(ABS(FV('Investment Calculator'!$C$7/'Investment Calculator'!$F$4,'SIP Schedule'!C3875,'SIP Schedule'!D3875,,1)),"")</f>
        <v/>
      </c>
    </row>
    <row r="3876" spans="3:6" x14ac:dyDescent="0.3">
      <c r="C3876" s="1" t="str">
        <f>IF(C3875&lt;'Investment Calculator'!$C$8*'Investment Calculator'!$F$4,'SIP Schedule'!C3875+1,"")</f>
        <v/>
      </c>
      <c r="D3876" s="27" t="str">
        <f>IF(C3876&lt;='Investment Calculator'!$C$8*'Investment Calculator'!$F$4,'Investment Calculator'!$C$6,"")</f>
        <v/>
      </c>
      <c r="E3876" s="27" t="str">
        <f>IFERROR((F3875+D3876)*'Investment Calculator'!$C$7/'Investment Calculator'!$F$4,"")</f>
        <v/>
      </c>
      <c r="F3876" s="27" t="str">
        <f>IFERROR(ABS(FV('Investment Calculator'!$C$7/'Investment Calculator'!$F$4,'SIP Schedule'!C3876,'SIP Schedule'!D3876,,1)),"")</f>
        <v/>
      </c>
    </row>
    <row r="3877" spans="3:6" x14ac:dyDescent="0.3">
      <c r="C3877" s="1" t="str">
        <f>IF(C3876&lt;'Investment Calculator'!$C$8*'Investment Calculator'!$F$4,'SIP Schedule'!C3876+1,"")</f>
        <v/>
      </c>
      <c r="D3877" s="27" t="str">
        <f>IF(C3877&lt;='Investment Calculator'!$C$8*'Investment Calculator'!$F$4,'Investment Calculator'!$C$6,"")</f>
        <v/>
      </c>
      <c r="E3877" s="27" t="str">
        <f>IFERROR((F3876+D3877)*'Investment Calculator'!$C$7/'Investment Calculator'!$F$4,"")</f>
        <v/>
      </c>
      <c r="F3877" s="27" t="str">
        <f>IFERROR(ABS(FV('Investment Calculator'!$C$7/'Investment Calculator'!$F$4,'SIP Schedule'!C3877,'SIP Schedule'!D3877,,1)),"")</f>
        <v/>
      </c>
    </row>
    <row r="3878" spans="3:6" x14ac:dyDescent="0.3">
      <c r="C3878" s="1" t="str">
        <f>IF(C3877&lt;'Investment Calculator'!$C$8*'Investment Calculator'!$F$4,'SIP Schedule'!C3877+1,"")</f>
        <v/>
      </c>
      <c r="D3878" s="27" t="str">
        <f>IF(C3878&lt;='Investment Calculator'!$C$8*'Investment Calculator'!$F$4,'Investment Calculator'!$C$6,"")</f>
        <v/>
      </c>
      <c r="E3878" s="27" t="str">
        <f>IFERROR((F3877+D3878)*'Investment Calculator'!$C$7/'Investment Calculator'!$F$4,"")</f>
        <v/>
      </c>
      <c r="F3878" s="27" t="str">
        <f>IFERROR(ABS(FV('Investment Calculator'!$C$7/'Investment Calculator'!$F$4,'SIP Schedule'!C3878,'SIP Schedule'!D3878,,1)),"")</f>
        <v/>
      </c>
    </row>
    <row r="3879" spans="3:6" x14ac:dyDescent="0.3">
      <c r="C3879" s="1" t="str">
        <f>IF(C3878&lt;'Investment Calculator'!$C$8*'Investment Calculator'!$F$4,'SIP Schedule'!C3878+1,"")</f>
        <v/>
      </c>
      <c r="D3879" s="27" t="str">
        <f>IF(C3879&lt;='Investment Calculator'!$C$8*'Investment Calculator'!$F$4,'Investment Calculator'!$C$6,"")</f>
        <v/>
      </c>
      <c r="E3879" s="27" t="str">
        <f>IFERROR((F3878+D3879)*'Investment Calculator'!$C$7/'Investment Calculator'!$F$4,"")</f>
        <v/>
      </c>
      <c r="F3879" s="27" t="str">
        <f>IFERROR(ABS(FV('Investment Calculator'!$C$7/'Investment Calculator'!$F$4,'SIP Schedule'!C3879,'SIP Schedule'!D3879,,1)),"")</f>
        <v/>
      </c>
    </row>
    <row r="3880" spans="3:6" x14ac:dyDescent="0.3">
      <c r="C3880" s="1" t="str">
        <f>IF(C3879&lt;'Investment Calculator'!$C$8*'Investment Calculator'!$F$4,'SIP Schedule'!C3879+1,"")</f>
        <v/>
      </c>
      <c r="D3880" s="27" t="str">
        <f>IF(C3880&lt;='Investment Calculator'!$C$8*'Investment Calculator'!$F$4,'Investment Calculator'!$C$6,"")</f>
        <v/>
      </c>
      <c r="E3880" s="27" t="str">
        <f>IFERROR((F3879+D3880)*'Investment Calculator'!$C$7/'Investment Calculator'!$F$4,"")</f>
        <v/>
      </c>
      <c r="F3880" s="27" t="str">
        <f>IFERROR(ABS(FV('Investment Calculator'!$C$7/'Investment Calculator'!$F$4,'SIP Schedule'!C3880,'SIP Schedule'!D3880,,1)),"")</f>
        <v/>
      </c>
    </row>
    <row r="3881" spans="3:6" x14ac:dyDescent="0.3">
      <c r="C3881" s="1" t="str">
        <f>IF(C3880&lt;'Investment Calculator'!$C$8*'Investment Calculator'!$F$4,'SIP Schedule'!C3880+1,"")</f>
        <v/>
      </c>
      <c r="D3881" s="27" t="str">
        <f>IF(C3881&lt;='Investment Calculator'!$C$8*'Investment Calculator'!$F$4,'Investment Calculator'!$C$6,"")</f>
        <v/>
      </c>
      <c r="E3881" s="27" t="str">
        <f>IFERROR((F3880+D3881)*'Investment Calculator'!$C$7/'Investment Calculator'!$F$4,"")</f>
        <v/>
      </c>
      <c r="F3881" s="27" t="str">
        <f>IFERROR(ABS(FV('Investment Calculator'!$C$7/'Investment Calculator'!$F$4,'SIP Schedule'!C3881,'SIP Schedule'!D3881,,1)),"")</f>
        <v/>
      </c>
    </row>
    <row r="3882" spans="3:6" x14ac:dyDescent="0.3">
      <c r="C3882" s="1" t="str">
        <f>IF(C3881&lt;'Investment Calculator'!$C$8*'Investment Calculator'!$F$4,'SIP Schedule'!C3881+1,"")</f>
        <v/>
      </c>
      <c r="D3882" s="27" t="str">
        <f>IF(C3882&lt;='Investment Calculator'!$C$8*'Investment Calculator'!$F$4,'Investment Calculator'!$C$6,"")</f>
        <v/>
      </c>
      <c r="E3882" s="27" t="str">
        <f>IFERROR((F3881+D3882)*'Investment Calculator'!$C$7/'Investment Calculator'!$F$4,"")</f>
        <v/>
      </c>
      <c r="F3882" s="27" t="str">
        <f>IFERROR(ABS(FV('Investment Calculator'!$C$7/'Investment Calculator'!$F$4,'SIP Schedule'!C3882,'SIP Schedule'!D3882,,1)),"")</f>
        <v/>
      </c>
    </row>
    <row r="3883" spans="3:6" x14ac:dyDescent="0.3">
      <c r="C3883" s="1" t="str">
        <f>IF(C3882&lt;'Investment Calculator'!$C$8*'Investment Calculator'!$F$4,'SIP Schedule'!C3882+1,"")</f>
        <v/>
      </c>
      <c r="D3883" s="27" t="str">
        <f>IF(C3883&lt;='Investment Calculator'!$C$8*'Investment Calculator'!$F$4,'Investment Calculator'!$C$6,"")</f>
        <v/>
      </c>
      <c r="E3883" s="27" t="str">
        <f>IFERROR((F3882+D3883)*'Investment Calculator'!$C$7/'Investment Calculator'!$F$4,"")</f>
        <v/>
      </c>
      <c r="F3883" s="27" t="str">
        <f>IFERROR(ABS(FV('Investment Calculator'!$C$7/'Investment Calculator'!$F$4,'SIP Schedule'!C3883,'SIP Schedule'!D3883,,1)),"")</f>
        <v/>
      </c>
    </row>
    <row r="3884" spans="3:6" x14ac:dyDescent="0.3">
      <c r="C3884" s="1" t="str">
        <f>IF(C3883&lt;'Investment Calculator'!$C$8*'Investment Calculator'!$F$4,'SIP Schedule'!C3883+1,"")</f>
        <v/>
      </c>
      <c r="D3884" s="27" t="str">
        <f>IF(C3884&lt;='Investment Calculator'!$C$8*'Investment Calculator'!$F$4,'Investment Calculator'!$C$6,"")</f>
        <v/>
      </c>
      <c r="E3884" s="27" t="str">
        <f>IFERROR((F3883+D3884)*'Investment Calculator'!$C$7/'Investment Calculator'!$F$4,"")</f>
        <v/>
      </c>
      <c r="F3884" s="27" t="str">
        <f>IFERROR(ABS(FV('Investment Calculator'!$C$7/'Investment Calculator'!$F$4,'SIP Schedule'!C3884,'SIP Schedule'!D3884,,1)),"")</f>
        <v/>
      </c>
    </row>
    <row r="3885" spans="3:6" x14ac:dyDescent="0.3">
      <c r="C3885" s="1" t="str">
        <f>IF(C3884&lt;'Investment Calculator'!$C$8*'Investment Calculator'!$F$4,'SIP Schedule'!C3884+1,"")</f>
        <v/>
      </c>
      <c r="D3885" s="27" t="str">
        <f>IF(C3885&lt;='Investment Calculator'!$C$8*'Investment Calculator'!$F$4,'Investment Calculator'!$C$6,"")</f>
        <v/>
      </c>
      <c r="E3885" s="27" t="str">
        <f>IFERROR((F3884+D3885)*'Investment Calculator'!$C$7/'Investment Calculator'!$F$4,"")</f>
        <v/>
      </c>
      <c r="F3885" s="27" t="str">
        <f>IFERROR(ABS(FV('Investment Calculator'!$C$7/'Investment Calculator'!$F$4,'SIP Schedule'!C3885,'SIP Schedule'!D3885,,1)),"")</f>
        <v/>
      </c>
    </row>
    <row r="3886" spans="3:6" x14ac:dyDescent="0.3">
      <c r="C3886" s="1" t="str">
        <f>IF(C3885&lt;'Investment Calculator'!$C$8*'Investment Calculator'!$F$4,'SIP Schedule'!C3885+1,"")</f>
        <v/>
      </c>
      <c r="D3886" s="27" t="str">
        <f>IF(C3886&lt;='Investment Calculator'!$C$8*'Investment Calculator'!$F$4,'Investment Calculator'!$C$6,"")</f>
        <v/>
      </c>
      <c r="E3886" s="27" t="str">
        <f>IFERROR((F3885+D3886)*'Investment Calculator'!$C$7/'Investment Calculator'!$F$4,"")</f>
        <v/>
      </c>
      <c r="F3886" s="27" t="str">
        <f>IFERROR(ABS(FV('Investment Calculator'!$C$7/'Investment Calculator'!$F$4,'SIP Schedule'!C3886,'SIP Schedule'!D3886,,1)),"")</f>
        <v/>
      </c>
    </row>
    <row r="3887" spans="3:6" x14ac:dyDescent="0.3">
      <c r="C3887" s="1" t="str">
        <f>IF(C3886&lt;'Investment Calculator'!$C$8*'Investment Calculator'!$F$4,'SIP Schedule'!C3886+1,"")</f>
        <v/>
      </c>
      <c r="D3887" s="27" t="str">
        <f>IF(C3887&lt;='Investment Calculator'!$C$8*'Investment Calculator'!$F$4,'Investment Calculator'!$C$6,"")</f>
        <v/>
      </c>
      <c r="E3887" s="27" t="str">
        <f>IFERROR((F3886+D3887)*'Investment Calculator'!$C$7/'Investment Calculator'!$F$4,"")</f>
        <v/>
      </c>
      <c r="F3887" s="27" t="str">
        <f>IFERROR(ABS(FV('Investment Calculator'!$C$7/'Investment Calculator'!$F$4,'SIP Schedule'!C3887,'SIP Schedule'!D3887,,1)),"")</f>
        <v/>
      </c>
    </row>
    <row r="3888" spans="3:6" x14ac:dyDescent="0.3">
      <c r="C3888" s="1" t="str">
        <f>IF(C3887&lt;'Investment Calculator'!$C$8*'Investment Calculator'!$F$4,'SIP Schedule'!C3887+1,"")</f>
        <v/>
      </c>
      <c r="D3888" s="27" t="str">
        <f>IF(C3888&lt;='Investment Calculator'!$C$8*'Investment Calculator'!$F$4,'Investment Calculator'!$C$6,"")</f>
        <v/>
      </c>
      <c r="E3888" s="27" t="str">
        <f>IFERROR((F3887+D3888)*'Investment Calculator'!$C$7/'Investment Calculator'!$F$4,"")</f>
        <v/>
      </c>
      <c r="F3888" s="27" t="str">
        <f>IFERROR(ABS(FV('Investment Calculator'!$C$7/'Investment Calculator'!$F$4,'SIP Schedule'!C3888,'SIP Schedule'!D3888,,1)),"")</f>
        <v/>
      </c>
    </row>
    <row r="3889" spans="3:6" x14ac:dyDescent="0.3">
      <c r="C3889" s="1" t="str">
        <f>IF(C3888&lt;'Investment Calculator'!$C$8*'Investment Calculator'!$F$4,'SIP Schedule'!C3888+1,"")</f>
        <v/>
      </c>
      <c r="D3889" s="27" t="str">
        <f>IF(C3889&lt;='Investment Calculator'!$C$8*'Investment Calculator'!$F$4,'Investment Calculator'!$C$6,"")</f>
        <v/>
      </c>
      <c r="E3889" s="27" t="str">
        <f>IFERROR((F3888+D3889)*'Investment Calculator'!$C$7/'Investment Calculator'!$F$4,"")</f>
        <v/>
      </c>
      <c r="F3889" s="27" t="str">
        <f>IFERROR(ABS(FV('Investment Calculator'!$C$7/'Investment Calculator'!$F$4,'SIP Schedule'!C3889,'SIP Schedule'!D3889,,1)),"")</f>
        <v/>
      </c>
    </row>
    <row r="3890" spans="3:6" x14ac:dyDescent="0.3">
      <c r="C3890" s="1" t="str">
        <f>IF(C3889&lt;'Investment Calculator'!$C$8*'Investment Calculator'!$F$4,'SIP Schedule'!C3889+1,"")</f>
        <v/>
      </c>
      <c r="D3890" s="27" t="str">
        <f>IF(C3890&lt;='Investment Calculator'!$C$8*'Investment Calculator'!$F$4,'Investment Calculator'!$C$6,"")</f>
        <v/>
      </c>
      <c r="E3890" s="27" t="str">
        <f>IFERROR((F3889+D3890)*'Investment Calculator'!$C$7/'Investment Calculator'!$F$4,"")</f>
        <v/>
      </c>
      <c r="F3890" s="27" t="str">
        <f>IFERROR(ABS(FV('Investment Calculator'!$C$7/'Investment Calculator'!$F$4,'SIP Schedule'!C3890,'SIP Schedule'!D3890,,1)),"")</f>
        <v/>
      </c>
    </row>
    <row r="3891" spans="3:6" x14ac:dyDescent="0.3">
      <c r="C3891" s="1" t="str">
        <f>IF(C3890&lt;'Investment Calculator'!$C$8*'Investment Calculator'!$F$4,'SIP Schedule'!C3890+1,"")</f>
        <v/>
      </c>
      <c r="D3891" s="27" t="str">
        <f>IF(C3891&lt;='Investment Calculator'!$C$8*'Investment Calculator'!$F$4,'Investment Calculator'!$C$6,"")</f>
        <v/>
      </c>
      <c r="E3891" s="27" t="str">
        <f>IFERROR((F3890+D3891)*'Investment Calculator'!$C$7/'Investment Calculator'!$F$4,"")</f>
        <v/>
      </c>
      <c r="F3891" s="27" t="str">
        <f>IFERROR(ABS(FV('Investment Calculator'!$C$7/'Investment Calculator'!$F$4,'SIP Schedule'!C3891,'SIP Schedule'!D3891,,1)),"")</f>
        <v/>
      </c>
    </row>
    <row r="3892" spans="3:6" x14ac:dyDescent="0.3">
      <c r="C3892" s="1" t="str">
        <f>IF(C3891&lt;'Investment Calculator'!$C$8*'Investment Calculator'!$F$4,'SIP Schedule'!C3891+1,"")</f>
        <v/>
      </c>
      <c r="D3892" s="27" t="str">
        <f>IF(C3892&lt;='Investment Calculator'!$C$8*'Investment Calculator'!$F$4,'Investment Calculator'!$C$6,"")</f>
        <v/>
      </c>
      <c r="E3892" s="27" t="str">
        <f>IFERROR((F3891+D3892)*'Investment Calculator'!$C$7/'Investment Calculator'!$F$4,"")</f>
        <v/>
      </c>
      <c r="F3892" s="27" t="str">
        <f>IFERROR(ABS(FV('Investment Calculator'!$C$7/'Investment Calculator'!$F$4,'SIP Schedule'!C3892,'SIP Schedule'!D3892,,1)),"")</f>
        <v/>
      </c>
    </row>
    <row r="3893" spans="3:6" x14ac:dyDescent="0.3">
      <c r="C3893" s="1" t="str">
        <f>IF(C3892&lt;'Investment Calculator'!$C$8*'Investment Calculator'!$F$4,'SIP Schedule'!C3892+1,"")</f>
        <v/>
      </c>
      <c r="D3893" s="27" t="str">
        <f>IF(C3893&lt;='Investment Calculator'!$C$8*'Investment Calculator'!$F$4,'Investment Calculator'!$C$6,"")</f>
        <v/>
      </c>
      <c r="E3893" s="27" t="str">
        <f>IFERROR((F3892+D3893)*'Investment Calculator'!$C$7/'Investment Calculator'!$F$4,"")</f>
        <v/>
      </c>
      <c r="F3893" s="27" t="str">
        <f>IFERROR(ABS(FV('Investment Calculator'!$C$7/'Investment Calculator'!$F$4,'SIP Schedule'!C3893,'SIP Schedule'!D3893,,1)),"")</f>
        <v/>
      </c>
    </row>
    <row r="3894" spans="3:6" x14ac:dyDescent="0.3">
      <c r="C3894" s="1" t="str">
        <f>IF(C3893&lt;'Investment Calculator'!$C$8*'Investment Calculator'!$F$4,'SIP Schedule'!C3893+1,"")</f>
        <v/>
      </c>
      <c r="D3894" s="27" t="str">
        <f>IF(C3894&lt;='Investment Calculator'!$C$8*'Investment Calculator'!$F$4,'Investment Calculator'!$C$6,"")</f>
        <v/>
      </c>
      <c r="E3894" s="27" t="str">
        <f>IFERROR((F3893+D3894)*'Investment Calculator'!$C$7/'Investment Calculator'!$F$4,"")</f>
        <v/>
      </c>
      <c r="F3894" s="27" t="str">
        <f>IFERROR(ABS(FV('Investment Calculator'!$C$7/'Investment Calculator'!$F$4,'SIP Schedule'!C3894,'SIP Schedule'!D3894,,1)),"")</f>
        <v/>
      </c>
    </row>
    <row r="3895" spans="3:6" x14ac:dyDescent="0.3">
      <c r="C3895" s="1" t="str">
        <f>IF(C3894&lt;'Investment Calculator'!$C$8*'Investment Calculator'!$F$4,'SIP Schedule'!C3894+1,"")</f>
        <v/>
      </c>
      <c r="D3895" s="27" t="str">
        <f>IF(C3895&lt;='Investment Calculator'!$C$8*'Investment Calculator'!$F$4,'Investment Calculator'!$C$6,"")</f>
        <v/>
      </c>
      <c r="E3895" s="27" t="str">
        <f>IFERROR((F3894+D3895)*'Investment Calculator'!$C$7/'Investment Calculator'!$F$4,"")</f>
        <v/>
      </c>
      <c r="F3895" s="27" t="str">
        <f>IFERROR(ABS(FV('Investment Calculator'!$C$7/'Investment Calculator'!$F$4,'SIP Schedule'!C3895,'SIP Schedule'!D3895,,1)),"")</f>
        <v/>
      </c>
    </row>
    <row r="3896" spans="3:6" x14ac:dyDescent="0.3">
      <c r="C3896" s="1" t="str">
        <f>IF(C3895&lt;'Investment Calculator'!$C$8*'Investment Calculator'!$F$4,'SIP Schedule'!C3895+1,"")</f>
        <v/>
      </c>
      <c r="D3896" s="27" t="str">
        <f>IF(C3896&lt;='Investment Calculator'!$C$8*'Investment Calculator'!$F$4,'Investment Calculator'!$C$6,"")</f>
        <v/>
      </c>
      <c r="E3896" s="27" t="str">
        <f>IFERROR((F3895+D3896)*'Investment Calculator'!$C$7/'Investment Calculator'!$F$4,"")</f>
        <v/>
      </c>
      <c r="F3896" s="27" t="str">
        <f>IFERROR(ABS(FV('Investment Calculator'!$C$7/'Investment Calculator'!$F$4,'SIP Schedule'!C3896,'SIP Schedule'!D3896,,1)),"")</f>
        <v/>
      </c>
    </row>
    <row r="3897" spans="3:6" x14ac:dyDescent="0.3">
      <c r="C3897" s="1" t="str">
        <f>IF(C3896&lt;'Investment Calculator'!$C$8*'Investment Calculator'!$F$4,'SIP Schedule'!C3896+1,"")</f>
        <v/>
      </c>
      <c r="D3897" s="27" t="str">
        <f>IF(C3897&lt;='Investment Calculator'!$C$8*'Investment Calculator'!$F$4,'Investment Calculator'!$C$6,"")</f>
        <v/>
      </c>
      <c r="E3897" s="27" t="str">
        <f>IFERROR((F3896+D3897)*'Investment Calculator'!$C$7/'Investment Calculator'!$F$4,"")</f>
        <v/>
      </c>
      <c r="F3897" s="27" t="str">
        <f>IFERROR(ABS(FV('Investment Calculator'!$C$7/'Investment Calculator'!$F$4,'SIP Schedule'!C3897,'SIP Schedule'!D3897,,1)),"")</f>
        <v/>
      </c>
    </row>
    <row r="3898" spans="3:6" x14ac:dyDescent="0.3">
      <c r="C3898" s="1" t="str">
        <f>IF(C3897&lt;'Investment Calculator'!$C$8*'Investment Calculator'!$F$4,'SIP Schedule'!C3897+1,"")</f>
        <v/>
      </c>
      <c r="D3898" s="27" t="str">
        <f>IF(C3898&lt;='Investment Calculator'!$C$8*'Investment Calculator'!$F$4,'Investment Calculator'!$C$6,"")</f>
        <v/>
      </c>
      <c r="E3898" s="27" t="str">
        <f>IFERROR((F3897+D3898)*'Investment Calculator'!$C$7/'Investment Calculator'!$F$4,"")</f>
        <v/>
      </c>
      <c r="F3898" s="27" t="str">
        <f>IFERROR(ABS(FV('Investment Calculator'!$C$7/'Investment Calculator'!$F$4,'SIP Schedule'!C3898,'SIP Schedule'!D3898,,1)),"")</f>
        <v/>
      </c>
    </row>
    <row r="3899" spans="3:6" x14ac:dyDescent="0.3">
      <c r="C3899" s="1" t="str">
        <f>IF(C3898&lt;'Investment Calculator'!$C$8*'Investment Calculator'!$F$4,'SIP Schedule'!C3898+1,"")</f>
        <v/>
      </c>
      <c r="D3899" s="27" t="str">
        <f>IF(C3899&lt;='Investment Calculator'!$C$8*'Investment Calculator'!$F$4,'Investment Calculator'!$C$6,"")</f>
        <v/>
      </c>
      <c r="E3899" s="27" t="str">
        <f>IFERROR((F3898+D3899)*'Investment Calculator'!$C$7/'Investment Calculator'!$F$4,"")</f>
        <v/>
      </c>
      <c r="F3899" s="27" t="str">
        <f>IFERROR(ABS(FV('Investment Calculator'!$C$7/'Investment Calculator'!$F$4,'SIP Schedule'!C3899,'SIP Schedule'!D3899,,1)),"")</f>
        <v/>
      </c>
    </row>
    <row r="3900" spans="3:6" x14ac:dyDescent="0.3">
      <c r="C3900" s="1" t="str">
        <f>IF(C3899&lt;'Investment Calculator'!$C$8*'Investment Calculator'!$F$4,'SIP Schedule'!C3899+1,"")</f>
        <v/>
      </c>
      <c r="D3900" s="27" t="str">
        <f>IF(C3900&lt;='Investment Calculator'!$C$8*'Investment Calculator'!$F$4,'Investment Calculator'!$C$6,"")</f>
        <v/>
      </c>
      <c r="E3900" s="27" t="str">
        <f>IFERROR((F3899+D3900)*'Investment Calculator'!$C$7/'Investment Calculator'!$F$4,"")</f>
        <v/>
      </c>
      <c r="F3900" s="27" t="str">
        <f>IFERROR(ABS(FV('Investment Calculator'!$C$7/'Investment Calculator'!$F$4,'SIP Schedule'!C3900,'SIP Schedule'!D3900,,1)),"")</f>
        <v/>
      </c>
    </row>
    <row r="3901" spans="3:6" x14ac:dyDescent="0.3">
      <c r="C3901" s="1" t="str">
        <f>IF(C3900&lt;'Investment Calculator'!$C$8*'Investment Calculator'!$F$4,'SIP Schedule'!C3900+1,"")</f>
        <v/>
      </c>
      <c r="D3901" s="27" t="str">
        <f>IF(C3901&lt;='Investment Calculator'!$C$8*'Investment Calculator'!$F$4,'Investment Calculator'!$C$6,"")</f>
        <v/>
      </c>
      <c r="E3901" s="27" t="str">
        <f>IFERROR((F3900+D3901)*'Investment Calculator'!$C$7/'Investment Calculator'!$F$4,"")</f>
        <v/>
      </c>
      <c r="F3901" s="27" t="str">
        <f>IFERROR(ABS(FV('Investment Calculator'!$C$7/'Investment Calculator'!$F$4,'SIP Schedule'!C3901,'SIP Schedule'!D3901,,1)),"")</f>
        <v/>
      </c>
    </row>
    <row r="3902" spans="3:6" x14ac:dyDescent="0.3">
      <c r="C3902" s="1" t="str">
        <f>IF(C3901&lt;'Investment Calculator'!$C$8*'Investment Calculator'!$F$4,'SIP Schedule'!C3901+1,"")</f>
        <v/>
      </c>
      <c r="D3902" s="27" t="str">
        <f>IF(C3902&lt;='Investment Calculator'!$C$8*'Investment Calculator'!$F$4,'Investment Calculator'!$C$6,"")</f>
        <v/>
      </c>
      <c r="E3902" s="27" t="str">
        <f>IFERROR((F3901+D3902)*'Investment Calculator'!$C$7/'Investment Calculator'!$F$4,"")</f>
        <v/>
      </c>
      <c r="F3902" s="27" t="str">
        <f>IFERROR(ABS(FV('Investment Calculator'!$C$7/'Investment Calculator'!$F$4,'SIP Schedule'!C3902,'SIP Schedule'!D3902,,1)),"")</f>
        <v/>
      </c>
    </row>
    <row r="3903" spans="3:6" x14ac:dyDescent="0.3">
      <c r="C3903" s="1" t="str">
        <f>IF(C3902&lt;'Investment Calculator'!$C$8*'Investment Calculator'!$F$4,'SIP Schedule'!C3902+1,"")</f>
        <v/>
      </c>
      <c r="D3903" s="27" t="str">
        <f>IF(C3903&lt;='Investment Calculator'!$C$8*'Investment Calculator'!$F$4,'Investment Calculator'!$C$6,"")</f>
        <v/>
      </c>
      <c r="E3903" s="27" t="str">
        <f>IFERROR((F3902+D3903)*'Investment Calculator'!$C$7/'Investment Calculator'!$F$4,"")</f>
        <v/>
      </c>
      <c r="F3903" s="27" t="str">
        <f>IFERROR(ABS(FV('Investment Calculator'!$C$7/'Investment Calculator'!$F$4,'SIP Schedule'!C3903,'SIP Schedule'!D3903,,1)),"")</f>
        <v/>
      </c>
    </row>
    <row r="3904" spans="3:6" x14ac:dyDescent="0.3">
      <c r="C3904" s="1" t="str">
        <f>IF(C3903&lt;'Investment Calculator'!$C$8*'Investment Calculator'!$F$4,'SIP Schedule'!C3903+1,"")</f>
        <v/>
      </c>
      <c r="D3904" s="27" t="str">
        <f>IF(C3904&lt;='Investment Calculator'!$C$8*'Investment Calculator'!$F$4,'Investment Calculator'!$C$6,"")</f>
        <v/>
      </c>
      <c r="E3904" s="27" t="str">
        <f>IFERROR((F3903+D3904)*'Investment Calculator'!$C$7/'Investment Calculator'!$F$4,"")</f>
        <v/>
      </c>
      <c r="F3904" s="27" t="str">
        <f>IFERROR(ABS(FV('Investment Calculator'!$C$7/'Investment Calculator'!$F$4,'SIP Schedule'!C3904,'SIP Schedule'!D3904,,1)),"")</f>
        <v/>
      </c>
    </row>
    <row r="3905" spans="3:6" x14ac:dyDescent="0.3">
      <c r="C3905" s="1" t="str">
        <f>IF(C3904&lt;'Investment Calculator'!$C$8*'Investment Calculator'!$F$4,'SIP Schedule'!C3904+1,"")</f>
        <v/>
      </c>
      <c r="D3905" s="27" t="str">
        <f>IF(C3905&lt;='Investment Calculator'!$C$8*'Investment Calculator'!$F$4,'Investment Calculator'!$C$6,"")</f>
        <v/>
      </c>
      <c r="E3905" s="27" t="str">
        <f>IFERROR((F3904+D3905)*'Investment Calculator'!$C$7/'Investment Calculator'!$F$4,"")</f>
        <v/>
      </c>
      <c r="F3905" s="27" t="str">
        <f>IFERROR(ABS(FV('Investment Calculator'!$C$7/'Investment Calculator'!$F$4,'SIP Schedule'!C3905,'SIP Schedule'!D3905,,1)),"")</f>
        <v/>
      </c>
    </row>
    <row r="3906" spans="3:6" x14ac:dyDescent="0.3">
      <c r="C3906" s="1" t="str">
        <f>IF(C3905&lt;'Investment Calculator'!$C$8*'Investment Calculator'!$F$4,'SIP Schedule'!C3905+1,"")</f>
        <v/>
      </c>
      <c r="D3906" s="27" t="str">
        <f>IF(C3906&lt;='Investment Calculator'!$C$8*'Investment Calculator'!$F$4,'Investment Calculator'!$C$6,"")</f>
        <v/>
      </c>
      <c r="E3906" s="27" t="str">
        <f>IFERROR((F3905+D3906)*'Investment Calculator'!$C$7/'Investment Calculator'!$F$4,"")</f>
        <v/>
      </c>
      <c r="F3906" s="27" t="str">
        <f>IFERROR(ABS(FV('Investment Calculator'!$C$7/'Investment Calculator'!$F$4,'SIP Schedule'!C3906,'SIP Schedule'!D3906,,1)),"")</f>
        <v/>
      </c>
    </row>
    <row r="3907" spans="3:6" x14ac:dyDescent="0.3">
      <c r="C3907" s="1" t="str">
        <f>IF(C3906&lt;'Investment Calculator'!$C$8*'Investment Calculator'!$F$4,'SIP Schedule'!C3906+1,"")</f>
        <v/>
      </c>
      <c r="D3907" s="27" t="str">
        <f>IF(C3907&lt;='Investment Calculator'!$C$8*'Investment Calculator'!$F$4,'Investment Calculator'!$C$6,"")</f>
        <v/>
      </c>
      <c r="E3907" s="27" t="str">
        <f>IFERROR((F3906+D3907)*'Investment Calculator'!$C$7/'Investment Calculator'!$F$4,"")</f>
        <v/>
      </c>
      <c r="F3907" s="27" t="str">
        <f>IFERROR(ABS(FV('Investment Calculator'!$C$7/'Investment Calculator'!$F$4,'SIP Schedule'!C3907,'SIP Schedule'!D3907,,1)),"")</f>
        <v/>
      </c>
    </row>
    <row r="3908" spans="3:6" x14ac:dyDescent="0.3">
      <c r="C3908" s="1" t="str">
        <f>IF(C3907&lt;'Investment Calculator'!$C$8*'Investment Calculator'!$F$4,'SIP Schedule'!C3907+1,"")</f>
        <v/>
      </c>
      <c r="D3908" s="27" t="str">
        <f>IF(C3908&lt;='Investment Calculator'!$C$8*'Investment Calculator'!$F$4,'Investment Calculator'!$C$6,"")</f>
        <v/>
      </c>
      <c r="E3908" s="27" t="str">
        <f>IFERROR((F3907+D3908)*'Investment Calculator'!$C$7/'Investment Calculator'!$F$4,"")</f>
        <v/>
      </c>
      <c r="F3908" s="27" t="str">
        <f>IFERROR(ABS(FV('Investment Calculator'!$C$7/'Investment Calculator'!$F$4,'SIP Schedule'!C3908,'SIP Schedule'!D3908,,1)),"")</f>
        <v/>
      </c>
    </row>
    <row r="3909" spans="3:6" x14ac:dyDescent="0.3">
      <c r="C3909" s="1" t="str">
        <f>IF(C3908&lt;'Investment Calculator'!$C$8*'Investment Calculator'!$F$4,'SIP Schedule'!C3908+1,"")</f>
        <v/>
      </c>
      <c r="D3909" s="27" t="str">
        <f>IF(C3909&lt;='Investment Calculator'!$C$8*'Investment Calculator'!$F$4,'Investment Calculator'!$C$6,"")</f>
        <v/>
      </c>
      <c r="E3909" s="27" t="str">
        <f>IFERROR((F3908+D3909)*'Investment Calculator'!$C$7/'Investment Calculator'!$F$4,"")</f>
        <v/>
      </c>
      <c r="F3909" s="27" t="str">
        <f>IFERROR(ABS(FV('Investment Calculator'!$C$7/'Investment Calculator'!$F$4,'SIP Schedule'!C3909,'SIP Schedule'!D3909,,1)),"")</f>
        <v/>
      </c>
    </row>
    <row r="3910" spans="3:6" x14ac:dyDescent="0.3">
      <c r="C3910" s="1" t="str">
        <f>IF(C3909&lt;'Investment Calculator'!$C$8*'Investment Calculator'!$F$4,'SIP Schedule'!C3909+1,"")</f>
        <v/>
      </c>
      <c r="D3910" s="27" t="str">
        <f>IF(C3910&lt;='Investment Calculator'!$C$8*'Investment Calculator'!$F$4,'Investment Calculator'!$C$6,"")</f>
        <v/>
      </c>
      <c r="E3910" s="27" t="str">
        <f>IFERROR((F3909+D3910)*'Investment Calculator'!$C$7/'Investment Calculator'!$F$4,"")</f>
        <v/>
      </c>
      <c r="F3910" s="27" t="str">
        <f>IFERROR(ABS(FV('Investment Calculator'!$C$7/'Investment Calculator'!$F$4,'SIP Schedule'!C3910,'SIP Schedule'!D3910,,1)),"")</f>
        <v/>
      </c>
    </row>
    <row r="3911" spans="3:6" x14ac:dyDescent="0.3">
      <c r="C3911" s="1" t="str">
        <f>IF(C3910&lt;'Investment Calculator'!$C$8*'Investment Calculator'!$F$4,'SIP Schedule'!C3910+1,"")</f>
        <v/>
      </c>
      <c r="D3911" s="27" t="str">
        <f>IF(C3911&lt;='Investment Calculator'!$C$8*'Investment Calculator'!$F$4,'Investment Calculator'!$C$6,"")</f>
        <v/>
      </c>
      <c r="E3911" s="27" t="str">
        <f>IFERROR((F3910+D3911)*'Investment Calculator'!$C$7/'Investment Calculator'!$F$4,"")</f>
        <v/>
      </c>
      <c r="F3911" s="27" t="str">
        <f>IFERROR(ABS(FV('Investment Calculator'!$C$7/'Investment Calculator'!$F$4,'SIP Schedule'!C3911,'SIP Schedule'!D3911,,1)),"")</f>
        <v/>
      </c>
    </row>
    <row r="3912" spans="3:6" x14ac:dyDescent="0.3">
      <c r="C3912" s="1" t="str">
        <f>IF(C3911&lt;'Investment Calculator'!$C$8*'Investment Calculator'!$F$4,'SIP Schedule'!C3911+1,"")</f>
        <v/>
      </c>
      <c r="D3912" s="27" t="str">
        <f>IF(C3912&lt;='Investment Calculator'!$C$8*'Investment Calculator'!$F$4,'Investment Calculator'!$C$6,"")</f>
        <v/>
      </c>
      <c r="E3912" s="27" t="str">
        <f>IFERROR((F3911+D3912)*'Investment Calculator'!$C$7/'Investment Calculator'!$F$4,"")</f>
        <v/>
      </c>
      <c r="F3912" s="27" t="str">
        <f>IFERROR(ABS(FV('Investment Calculator'!$C$7/'Investment Calculator'!$F$4,'SIP Schedule'!C3912,'SIP Schedule'!D3912,,1)),"")</f>
        <v/>
      </c>
    </row>
    <row r="3913" spans="3:6" x14ac:dyDescent="0.3">
      <c r="C3913" s="1" t="str">
        <f>IF(C3912&lt;'Investment Calculator'!$C$8*'Investment Calculator'!$F$4,'SIP Schedule'!C3912+1,"")</f>
        <v/>
      </c>
      <c r="D3913" s="27" t="str">
        <f>IF(C3913&lt;='Investment Calculator'!$C$8*'Investment Calculator'!$F$4,'Investment Calculator'!$C$6,"")</f>
        <v/>
      </c>
      <c r="E3913" s="27" t="str">
        <f>IFERROR((F3912+D3913)*'Investment Calculator'!$C$7/'Investment Calculator'!$F$4,"")</f>
        <v/>
      </c>
      <c r="F3913" s="27" t="str">
        <f>IFERROR(ABS(FV('Investment Calculator'!$C$7/'Investment Calculator'!$F$4,'SIP Schedule'!C3913,'SIP Schedule'!D3913,,1)),"")</f>
        <v/>
      </c>
    </row>
    <row r="3914" spans="3:6" x14ac:dyDescent="0.3">
      <c r="C3914" s="1" t="str">
        <f>IF(C3913&lt;'Investment Calculator'!$C$8*'Investment Calculator'!$F$4,'SIP Schedule'!C3913+1,"")</f>
        <v/>
      </c>
      <c r="D3914" s="27" t="str">
        <f>IF(C3914&lt;='Investment Calculator'!$C$8*'Investment Calculator'!$F$4,'Investment Calculator'!$C$6,"")</f>
        <v/>
      </c>
      <c r="E3914" s="27" t="str">
        <f>IFERROR((F3913+D3914)*'Investment Calculator'!$C$7/'Investment Calculator'!$F$4,"")</f>
        <v/>
      </c>
      <c r="F3914" s="27" t="str">
        <f>IFERROR(ABS(FV('Investment Calculator'!$C$7/'Investment Calculator'!$F$4,'SIP Schedule'!C3914,'SIP Schedule'!D3914,,1)),"")</f>
        <v/>
      </c>
    </row>
    <row r="3915" spans="3:6" x14ac:dyDescent="0.3">
      <c r="C3915" s="1" t="str">
        <f>IF(C3914&lt;'Investment Calculator'!$C$8*'Investment Calculator'!$F$4,'SIP Schedule'!C3914+1,"")</f>
        <v/>
      </c>
      <c r="D3915" s="27" t="str">
        <f>IF(C3915&lt;='Investment Calculator'!$C$8*'Investment Calculator'!$F$4,'Investment Calculator'!$C$6,"")</f>
        <v/>
      </c>
      <c r="E3915" s="27" t="str">
        <f>IFERROR((F3914+D3915)*'Investment Calculator'!$C$7/'Investment Calculator'!$F$4,"")</f>
        <v/>
      </c>
      <c r="F3915" s="27" t="str">
        <f>IFERROR(ABS(FV('Investment Calculator'!$C$7/'Investment Calculator'!$F$4,'SIP Schedule'!C3915,'SIP Schedule'!D3915,,1)),"")</f>
        <v/>
      </c>
    </row>
    <row r="3916" spans="3:6" x14ac:dyDescent="0.3">
      <c r="C3916" s="1" t="str">
        <f>IF(C3915&lt;'Investment Calculator'!$C$8*'Investment Calculator'!$F$4,'SIP Schedule'!C3915+1,"")</f>
        <v/>
      </c>
      <c r="D3916" s="27" t="str">
        <f>IF(C3916&lt;='Investment Calculator'!$C$8*'Investment Calculator'!$F$4,'Investment Calculator'!$C$6,"")</f>
        <v/>
      </c>
      <c r="E3916" s="27" t="str">
        <f>IFERROR((F3915+D3916)*'Investment Calculator'!$C$7/'Investment Calculator'!$F$4,"")</f>
        <v/>
      </c>
      <c r="F3916" s="27" t="str">
        <f>IFERROR(ABS(FV('Investment Calculator'!$C$7/'Investment Calculator'!$F$4,'SIP Schedule'!C3916,'SIP Schedule'!D3916,,1)),"")</f>
        <v/>
      </c>
    </row>
    <row r="3917" spans="3:6" x14ac:dyDescent="0.3">
      <c r="C3917" s="1" t="str">
        <f>IF(C3916&lt;'Investment Calculator'!$C$8*'Investment Calculator'!$F$4,'SIP Schedule'!C3916+1,"")</f>
        <v/>
      </c>
      <c r="D3917" s="27" t="str">
        <f>IF(C3917&lt;='Investment Calculator'!$C$8*'Investment Calculator'!$F$4,'Investment Calculator'!$C$6,"")</f>
        <v/>
      </c>
      <c r="E3917" s="27" t="str">
        <f>IFERROR((F3916+D3917)*'Investment Calculator'!$C$7/'Investment Calculator'!$F$4,"")</f>
        <v/>
      </c>
      <c r="F3917" s="27" t="str">
        <f>IFERROR(ABS(FV('Investment Calculator'!$C$7/'Investment Calculator'!$F$4,'SIP Schedule'!C3917,'SIP Schedule'!D3917,,1)),"")</f>
        <v/>
      </c>
    </row>
    <row r="3918" spans="3:6" x14ac:dyDescent="0.3">
      <c r="C3918" s="1" t="str">
        <f>IF(C3917&lt;'Investment Calculator'!$C$8*'Investment Calculator'!$F$4,'SIP Schedule'!C3917+1,"")</f>
        <v/>
      </c>
      <c r="D3918" s="27" t="str">
        <f>IF(C3918&lt;='Investment Calculator'!$C$8*'Investment Calculator'!$F$4,'Investment Calculator'!$C$6,"")</f>
        <v/>
      </c>
      <c r="E3918" s="27" t="str">
        <f>IFERROR((F3917+D3918)*'Investment Calculator'!$C$7/'Investment Calculator'!$F$4,"")</f>
        <v/>
      </c>
      <c r="F3918" s="27" t="str">
        <f>IFERROR(ABS(FV('Investment Calculator'!$C$7/'Investment Calculator'!$F$4,'SIP Schedule'!C3918,'SIP Schedule'!D3918,,1)),"")</f>
        <v/>
      </c>
    </row>
    <row r="3919" spans="3:6" x14ac:dyDescent="0.3">
      <c r="C3919" s="1" t="str">
        <f>IF(C3918&lt;'Investment Calculator'!$C$8*'Investment Calculator'!$F$4,'SIP Schedule'!C3918+1,"")</f>
        <v/>
      </c>
      <c r="D3919" s="27" t="str">
        <f>IF(C3919&lt;='Investment Calculator'!$C$8*'Investment Calculator'!$F$4,'Investment Calculator'!$C$6,"")</f>
        <v/>
      </c>
      <c r="E3919" s="27" t="str">
        <f>IFERROR((F3918+D3919)*'Investment Calculator'!$C$7/'Investment Calculator'!$F$4,"")</f>
        <v/>
      </c>
      <c r="F3919" s="27" t="str">
        <f>IFERROR(ABS(FV('Investment Calculator'!$C$7/'Investment Calculator'!$F$4,'SIP Schedule'!C3919,'SIP Schedule'!D3919,,1)),"")</f>
        <v/>
      </c>
    </row>
    <row r="3920" spans="3:6" x14ac:dyDescent="0.3">
      <c r="C3920" s="1" t="str">
        <f>IF(C3919&lt;'Investment Calculator'!$C$8*'Investment Calculator'!$F$4,'SIP Schedule'!C3919+1,"")</f>
        <v/>
      </c>
      <c r="D3920" s="27" t="str">
        <f>IF(C3920&lt;='Investment Calculator'!$C$8*'Investment Calculator'!$F$4,'Investment Calculator'!$C$6,"")</f>
        <v/>
      </c>
      <c r="E3920" s="27" t="str">
        <f>IFERROR((F3919+D3920)*'Investment Calculator'!$C$7/'Investment Calculator'!$F$4,"")</f>
        <v/>
      </c>
      <c r="F3920" s="27" t="str">
        <f>IFERROR(ABS(FV('Investment Calculator'!$C$7/'Investment Calculator'!$F$4,'SIP Schedule'!C3920,'SIP Schedule'!D3920,,1)),"")</f>
        <v/>
      </c>
    </row>
    <row r="3921" spans="3:6" x14ac:dyDescent="0.3">
      <c r="C3921" s="1" t="str">
        <f>IF(C3920&lt;'Investment Calculator'!$C$8*'Investment Calculator'!$F$4,'SIP Schedule'!C3920+1,"")</f>
        <v/>
      </c>
      <c r="D3921" s="27" t="str">
        <f>IF(C3921&lt;='Investment Calculator'!$C$8*'Investment Calculator'!$F$4,'Investment Calculator'!$C$6,"")</f>
        <v/>
      </c>
      <c r="E3921" s="27" t="str">
        <f>IFERROR((F3920+D3921)*'Investment Calculator'!$C$7/'Investment Calculator'!$F$4,"")</f>
        <v/>
      </c>
      <c r="F3921" s="27" t="str">
        <f>IFERROR(ABS(FV('Investment Calculator'!$C$7/'Investment Calculator'!$F$4,'SIP Schedule'!C3921,'SIP Schedule'!D3921,,1)),"")</f>
        <v/>
      </c>
    </row>
    <row r="3922" spans="3:6" x14ac:dyDescent="0.3">
      <c r="C3922" s="1" t="str">
        <f>IF(C3921&lt;'Investment Calculator'!$C$8*'Investment Calculator'!$F$4,'SIP Schedule'!C3921+1,"")</f>
        <v/>
      </c>
      <c r="D3922" s="27" t="str">
        <f>IF(C3922&lt;='Investment Calculator'!$C$8*'Investment Calculator'!$F$4,'Investment Calculator'!$C$6,"")</f>
        <v/>
      </c>
      <c r="E3922" s="27" t="str">
        <f>IFERROR((F3921+D3922)*'Investment Calculator'!$C$7/'Investment Calculator'!$F$4,"")</f>
        <v/>
      </c>
      <c r="F3922" s="27" t="str">
        <f>IFERROR(ABS(FV('Investment Calculator'!$C$7/'Investment Calculator'!$F$4,'SIP Schedule'!C3922,'SIP Schedule'!D3922,,1)),"")</f>
        <v/>
      </c>
    </row>
    <row r="3923" spans="3:6" x14ac:dyDescent="0.3">
      <c r="C3923" s="1" t="str">
        <f>IF(C3922&lt;'Investment Calculator'!$C$8*'Investment Calculator'!$F$4,'SIP Schedule'!C3922+1,"")</f>
        <v/>
      </c>
      <c r="D3923" s="27" t="str">
        <f>IF(C3923&lt;='Investment Calculator'!$C$8*'Investment Calculator'!$F$4,'Investment Calculator'!$C$6,"")</f>
        <v/>
      </c>
      <c r="E3923" s="27" t="str">
        <f>IFERROR((F3922+D3923)*'Investment Calculator'!$C$7/'Investment Calculator'!$F$4,"")</f>
        <v/>
      </c>
      <c r="F3923" s="27" t="str">
        <f>IFERROR(ABS(FV('Investment Calculator'!$C$7/'Investment Calculator'!$F$4,'SIP Schedule'!C3923,'SIP Schedule'!D3923,,1)),"")</f>
        <v/>
      </c>
    </row>
    <row r="3924" spans="3:6" x14ac:dyDescent="0.3">
      <c r="C3924" s="1" t="str">
        <f>IF(C3923&lt;'Investment Calculator'!$C$8*'Investment Calculator'!$F$4,'SIP Schedule'!C3923+1,"")</f>
        <v/>
      </c>
      <c r="D3924" s="27" t="str">
        <f>IF(C3924&lt;='Investment Calculator'!$C$8*'Investment Calculator'!$F$4,'Investment Calculator'!$C$6,"")</f>
        <v/>
      </c>
      <c r="E3924" s="27" t="str">
        <f>IFERROR((F3923+D3924)*'Investment Calculator'!$C$7/'Investment Calculator'!$F$4,"")</f>
        <v/>
      </c>
      <c r="F3924" s="27" t="str">
        <f>IFERROR(ABS(FV('Investment Calculator'!$C$7/'Investment Calculator'!$F$4,'SIP Schedule'!C3924,'SIP Schedule'!D3924,,1)),"")</f>
        <v/>
      </c>
    </row>
    <row r="3925" spans="3:6" x14ac:dyDescent="0.3">
      <c r="C3925" s="1" t="str">
        <f>IF(C3924&lt;'Investment Calculator'!$C$8*'Investment Calculator'!$F$4,'SIP Schedule'!C3924+1,"")</f>
        <v/>
      </c>
      <c r="D3925" s="27" t="str">
        <f>IF(C3925&lt;='Investment Calculator'!$C$8*'Investment Calculator'!$F$4,'Investment Calculator'!$C$6,"")</f>
        <v/>
      </c>
      <c r="E3925" s="27" t="str">
        <f>IFERROR((F3924+D3925)*'Investment Calculator'!$C$7/'Investment Calculator'!$F$4,"")</f>
        <v/>
      </c>
      <c r="F3925" s="27" t="str">
        <f>IFERROR(ABS(FV('Investment Calculator'!$C$7/'Investment Calculator'!$F$4,'SIP Schedule'!C3925,'SIP Schedule'!D3925,,1)),"")</f>
        <v/>
      </c>
    </row>
    <row r="3926" spans="3:6" x14ac:dyDescent="0.3">
      <c r="C3926" s="1" t="str">
        <f>IF(C3925&lt;'Investment Calculator'!$C$8*'Investment Calculator'!$F$4,'SIP Schedule'!C3925+1,"")</f>
        <v/>
      </c>
      <c r="D3926" s="27" t="str">
        <f>IF(C3926&lt;='Investment Calculator'!$C$8*'Investment Calculator'!$F$4,'Investment Calculator'!$C$6,"")</f>
        <v/>
      </c>
      <c r="E3926" s="27" t="str">
        <f>IFERROR((F3925+D3926)*'Investment Calculator'!$C$7/'Investment Calculator'!$F$4,"")</f>
        <v/>
      </c>
      <c r="F3926" s="27" t="str">
        <f>IFERROR(ABS(FV('Investment Calculator'!$C$7/'Investment Calculator'!$F$4,'SIP Schedule'!C3926,'SIP Schedule'!D3926,,1)),"")</f>
        <v/>
      </c>
    </row>
    <row r="3927" spans="3:6" x14ac:dyDescent="0.3">
      <c r="C3927" s="1" t="str">
        <f>IF(C3926&lt;'Investment Calculator'!$C$8*'Investment Calculator'!$F$4,'SIP Schedule'!C3926+1,"")</f>
        <v/>
      </c>
      <c r="D3927" s="27" t="str">
        <f>IF(C3927&lt;='Investment Calculator'!$C$8*'Investment Calculator'!$F$4,'Investment Calculator'!$C$6,"")</f>
        <v/>
      </c>
      <c r="E3927" s="27" t="str">
        <f>IFERROR((F3926+D3927)*'Investment Calculator'!$C$7/'Investment Calculator'!$F$4,"")</f>
        <v/>
      </c>
      <c r="F3927" s="27" t="str">
        <f>IFERROR(ABS(FV('Investment Calculator'!$C$7/'Investment Calculator'!$F$4,'SIP Schedule'!C3927,'SIP Schedule'!D3927,,1)),"")</f>
        <v/>
      </c>
    </row>
    <row r="3928" spans="3:6" x14ac:dyDescent="0.3">
      <c r="C3928" s="1" t="str">
        <f>IF(C3927&lt;'Investment Calculator'!$C$8*'Investment Calculator'!$F$4,'SIP Schedule'!C3927+1,"")</f>
        <v/>
      </c>
      <c r="D3928" s="27" t="str">
        <f>IF(C3928&lt;='Investment Calculator'!$C$8*'Investment Calculator'!$F$4,'Investment Calculator'!$C$6,"")</f>
        <v/>
      </c>
      <c r="E3928" s="27" t="str">
        <f>IFERROR((F3927+D3928)*'Investment Calculator'!$C$7/'Investment Calculator'!$F$4,"")</f>
        <v/>
      </c>
      <c r="F3928" s="27" t="str">
        <f>IFERROR(ABS(FV('Investment Calculator'!$C$7/'Investment Calculator'!$F$4,'SIP Schedule'!C3928,'SIP Schedule'!D3928,,1)),"")</f>
        <v/>
      </c>
    </row>
    <row r="3929" spans="3:6" x14ac:dyDescent="0.3">
      <c r="C3929" s="1" t="str">
        <f>IF(C3928&lt;'Investment Calculator'!$C$8*'Investment Calculator'!$F$4,'SIP Schedule'!C3928+1,"")</f>
        <v/>
      </c>
      <c r="D3929" s="27" t="str">
        <f>IF(C3929&lt;='Investment Calculator'!$C$8*'Investment Calculator'!$F$4,'Investment Calculator'!$C$6,"")</f>
        <v/>
      </c>
      <c r="E3929" s="27" t="str">
        <f>IFERROR((F3928+D3929)*'Investment Calculator'!$C$7/'Investment Calculator'!$F$4,"")</f>
        <v/>
      </c>
      <c r="F3929" s="27" t="str">
        <f>IFERROR(ABS(FV('Investment Calculator'!$C$7/'Investment Calculator'!$F$4,'SIP Schedule'!C3929,'SIP Schedule'!D3929,,1)),"")</f>
        <v/>
      </c>
    </row>
    <row r="3930" spans="3:6" x14ac:dyDescent="0.3">
      <c r="C3930" s="1" t="str">
        <f>IF(C3929&lt;'Investment Calculator'!$C$8*'Investment Calculator'!$F$4,'SIP Schedule'!C3929+1,"")</f>
        <v/>
      </c>
      <c r="D3930" s="27" t="str">
        <f>IF(C3930&lt;='Investment Calculator'!$C$8*'Investment Calculator'!$F$4,'Investment Calculator'!$C$6,"")</f>
        <v/>
      </c>
      <c r="E3930" s="27" t="str">
        <f>IFERROR((F3929+D3930)*'Investment Calculator'!$C$7/'Investment Calculator'!$F$4,"")</f>
        <v/>
      </c>
      <c r="F3930" s="27" t="str">
        <f>IFERROR(ABS(FV('Investment Calculator'!$C$7/'Investment Calculator'!$F$4,'SIP Schedule'!C3930,'SIP Schedule'!D3930,,1)),"")</f>
        <v/>
      </c>
    </row>
    <row r="3931" spans="3:6" x14ac:dyDescent="0.3">
      <c r="C3931" s="1" t="str">
        <f>IF(C3930&lt;'Investment Calculator'!$C$8*'Investment Calculator'!$F$4,'SIP Schedule'!C3930+1,"")</f>
        <v/>
      </c>
      <c r="D3931" s="27" t="str">
        <f>IF(C3931&lt;='Investment Calculator'!$C$8*'Investment Calculator'!$F$4,'Investment Calculator'!$C$6,"")</f>
        <v/>
      </c>
      <c r="E3931" s="27" t="str">
        <f>IFERROR((F3930+D3931)*'Investment Calculator'!$C$7/'Investment Calculator'!$F$4,"")</f>
        <v/>
      </c>
      <c r="F3931" s="27" t="str">
        <f>IFERROR(ABS(FV('Investment Calculator'!$C$7/'Investment Calculator'!$F$4,'SIP Schedule'!C3931,'SIP Schedule'!D3931,,1)),"")</f>
        <v/>
      </c>
    </row>
    <row r="3932" spans="3:6" x14ac:dyDescent="0.3">
      <c r="C3932" s="1" t="str">
        <f>IF(C3931&lt;'Investment Calculator'!$C$8*'Investment Calculator'!$F$4,'SIP Schedule'!C3931+1,"")</f>
        <v/>
      </c>
      <c r="D3932" s="27" t="str">
        <f>IF(C3932&lt;='Investment Calculator'!$C$8*'Investment Calculator'!$F$4,'Investment Calculator'!$C$6,"")</f>
        <v/>
      </c>
      <c r="E3932" s="27" t="str">
        <f>IFERROR((F3931+D3932)*'Investment Calculator'!$C$7/'Investment Calculator'!$F$4,"")</f>
        <v/>
      </c>
      <c r="F3932" s="27" t="str">
        <f>IFERROR(ABS(FV('Investment Calculator'!$C$7/'Investment Calculator'!$F$4,'SIP Schedule'!C3932,'SIP Schedule'!D3932,,1)),"")</f>
        <v/>
      </c>
    </row>
    <row r="3933" spans="3:6" x14ac:dyDescent="0.3">
      <c r="C3933" s="1" t="str">
        <f>IF(C3932&lt;'Investment Calculator'!$C$8*'Investment Calculator'!$F$4,'SIP Schedule'!C3932+1,"")</f>
        <v/>
      </c>
      <c r="D3933" s="27" t="str">
        <f>IF(C3933&lt;='Investment Calculator'!$C$8*'Investment Calculator'!$F$4,'Investment Calculator'!$C$6,"")</f>
        <v/>
      </c>
      <c r="E3933" s="27" t="str">
        <f>IFERROR((F3932+D3933)*'Investment Calculator'!$C$7/'Investment Calculator'!$F$4,"")</f>
        <v/>
      </c>
      <c r="F3933" s="27" t="str">
        <f>IFERROR(ABS(FV('Investment Calculator'!$C$7/'Investment Calculator'!$F$4,'SIP Schedule'!C3933,'SIP Schedule'!D3933,,1)),"")</f>
        <v/>
      </c>
    </row>
    <row r="3934" spans="3:6" x14ac:dyDescent="0.3">
      <c r="C3934" s="1" t="str">
        <f>IF(C3933&lt;'Investment Calculator'!$C$8*'Investment Calculator'!$F$4,'SIP Schedule'!C3933+1,"")</f>
        <v/>
      </c>
      <c r="D3934" s="27" t="str">
        <f>IF(C3934&lt;='Investment Calculator'!$C$8*'Investment Calculator'!$F$4,'Investment Calculator'!$C$6,"")</f>
        <v/>
      </c>
      <c r="E3934" s="27" t="str">
        <f>IFERROR((F3933+D3934)*'Investment Calculator'!$C$7/'Investment Calculator'!$F$4,"")</f>
        <v/>
      </c>
      <c r="F3934" s="27" t="str">
        <f>IFERROR(ABS(FV('Investment Calculator'!$C$7/'Investment Calculator'!$F$4,'SIP Schedule'!C3934,'SIP Schedule'!D3934,,1)),"")</f>
        <v/>
      </c>
    </row>
    <row r="3935" spans="3:6" x14ac:dyDescent="0.3">
      <c r="C3935" s="1" t="str">
        <f>IF(C3934&lt;'Investment Calculator'!$C$8*'Investment Calculator'!$F$4,'SIP Schedule'!C3934+1,"")</f>
        <v/>
      </c>
      <c r="D3935" s="27" t="str">
        <f>IF(C3935&lt;='Investment Calculator'!$C$8*'Investment Calculator'!$F$4,'Investment Calculator'!$C$6,"")</f>
        <v/>
      </c>
      <c r="E3935" s="27" t="str">
        <f>IFERROR((F3934+D3935)*'Investment Calculator'!$C$7/'Investment Calculator'!$F$4,"")</f>
        <v/>
      </c>
      <c r="F3935" s="27" t="str">
        <f>IFERROR(ABS(FV('Investment Calculator'!$C$7/'Investment Calculator'!$F$4,'SIP Schedule'!C3935,'SIP Schedule'!D3935,,1)),"")</f>
        <v/>
      </c>
    </row>
    <row r="3936" spans="3:6" x14ac:dyDescent="0.3">
      <c r="C3936" s="1" t="str">
        <f>IF(C3935&lt;'Investment Calculator'!$C$8*'Investment Calculator'!$F$4,'SIP Schedule'!C3935+1,"")</f>
        <v/>
      </c>
      <c r="D3936" s="27" t="str">
        <f>IF(C3936&lt;='Investment Calculator'!$C$8*'Investment Calculator'!$F$4,'Investment Calculator'!$C$6,"")</f>
        <v/>
      </c>
      <c r="E3936" s="27" t="str">
        <f>IFERROR((F3935+D3936)*'Investment Calculator'!$C$7/'Investment Calculator'!$F$4,"")</f>
        <v/>
      </c>
      <c r="F3936" s="27" t="str">
        <f>IFERROR(ABS(FV('Investment Calculator'!$C$7/'Investment Calculator'!$F$4,'SIP Schedule'!C3936,'SIP Schedule'!D3936,,1)),"")</f>
        <v/>
      </c>
    </row>
    <row r="3937" spans="3:6" x14ac:dyDescent="0.3">
      <c r="C3937" s="1" t="str">
        <f>IF(C3936&lt;'Investment Calculator'!$C$8*'Investment Calculator'!$F$4,'SIP Schedule'!C3936+1,"")</f>
        <v/>
      </c>
      <c r="D3937" s="27" t="str">
        <f>IF(C3937&lt;='Investment Calculator'!$C$8*'Investment Calculator'!$F$4,'Investment Calculator'!$C$6,"")</f>
        <v/>
      </c>
      <c r="E3937" s="27" t="str">
        <f>IFERROR((F3936+D3937)*'Investment Calculator'!$C$7/'Investment Calculator'!$F$4,"")</f>
        <v/>
      </c>
      <c r="F3937" s="27" t="str">
        <f>IFERROR(ABS(FV('Investment Calculator'!$C$7/'Investment Calculator'!$F$4,'SIP Schedule'!C3937,'SIP Schedule'!D3937,,1)),"")</f>
        <v/>
      </c>
    </row>
    <row r="3938" spans="3:6" x14ac:dyDescent="0.3">
      <c r="C3938" s="1" t="str">
        <f>IF(C3937&lt;'Investment Calculator'!$C$8*'Investment Calculator'!$F$4,'SIP Schedule'!C3937+1,"")</f>
        <v/>
      </c>
      <c r="D3938" s="27" t="str">
        <f>IF(C3938&lt;='Investment Calculator'!$C$8*'Investment Calculator'!$F$4,'Investment Calculator'!$C$6,"")</f>
        <v/>
      </c>
      <c r="E3938" s="27" t="str">
        <f>IFERROR((F3937+D3938)*'Investment Calculator'!$C$7/'Investment Calculator'!$F$4,"")</f>
        <v/>
      </c>
      <c r="F3938" s="27" t="str">
        <f>IFERROR(ABS(FV('Investment Calculator'!$C$7/'Investment Calculator'!$F$4,'SIP Schedule'!C3938,'SIP Schedule'!D3938,,1)),"")</f>
        <v/>
      </c>
    </row>
    <row r="3939" spans="3:6" x14ac:dyDescent="0.3">
      <c r="C3939" s="1" t="str">
        <f>IF(C3938&lt;'Investment Calculator'!$C$8*'Investment Calculator'!$F$4,'SIP Schedule'!C3938+1,"")</f>
        <v/>
      </c>
      <c r="D3939" s="27" t="str">
        <f>IF(C3939&lt;='Investment Calculator'!$C$8*'Investment Calculator'!$F$4,'Investment Calculator'!$C$6,"")</f>
        <v/>
      </c>
      <c r="E3939" s="27" t="str">
        <f>IFERROR((F3938+D3939)*'Investment Calculator'!$C$7/'Investment Calculator'!$F$4,"")</f>
        <v/>
      </c>
      <c r="F3939" s="27" t="str">
        <f>IFERROR(ABS(FV('Investment Calculator'!$C$7/'Investment Calculator'!$F$4,'SIP Schedule'!C3939,'SIP Schedule'!D3939,,1)),"")</f>
        <v/>
      </c>
    </row>
    <row r="3940" spans="3:6" x14ac:dyDescent="0.3">
      <c r="C3940" s="1" t="str">
        <f>IF(C3939&lt;'Investment Calculator'!$C$8*'Investment Calculator'!$F$4,'SIP Schedule'!C3939+1,"")</f>
        <v/>
      </c>
      <c r="D3940" s="27" t="str">
        <f>IF(C3940&lt;='Investment Calculator'!$C$8*'Investment Calculator'!$F$4,'Investment Calculator'!$C$6,"")</f>
        <v/>
      </c>
      <c r="E3940" s="27" t="str">
        <f>IFERROR((F3939+D3940)*'Investment Calculator'!$C$7/'Investment Calculator'!$F$4,"")</f>
        <v/>
      </c>
      <c r="F3940" s="27" t="str">
        <f>IFERROR(ABS(FV('Investment Calculator'!$C$7/'Investment Calculator'!$F$4,'SIP Schedule'!C3940,'SIP Schedule'!D3940,,1)),"")</f>
        <v/>
      </c>
    </row>
    <row r="3941" spans="3:6" x14ac:dyDescent="0.3">
      <c r="C3941" s="1" t="str">
        <f>IF(C3940&lt;'Investment Calculator'!$C$8*'Investment Calculator'!$F$4,'SIP Schedule'!C3940+1,"")</f>
        <v/>
      </c>
      <c r="D3941" s="27" t="str">
        <f>IF(C3941&lt;='Investment Calculator'!$C$8*'Investment Calculator'!$F$4,'Investment Calculator'!$C$6,"")</f>
        <v/>
      </c>
      <c r="E3941" s="27" t="str">
        <f>IFERROR((F3940+D3941)*'Investment Calculator'!$C$7/'Investment Calculator'!$F$4,"")</f>
        <v/>
      </c>
      <c r="F3941" s="27" t="str">
        <f>IFERROR(ABS(FV('Investment Calculator'!$C$7/'Investment Calculator'!$F$4,'SIP Schedule'!C3941,'SIP Schedule'!D3941,,1)),"")</f>
        <v/>
      </c>
    </row>
    <row r="3942" spans="3:6" x14ac:dyDescent="0.3">
      <c r="C3942" s="1" t="str">
        <f>IF(C3941&lt;'Investment Calculator'!$C$8*'Investment Calculator'!$F$4,'SIP Schedule'!C3941+1,"")</f>
        <v/>
      </c>
      <c r="D3942" s="27" t="str">
        <f>IF(C3942&lt;='Investment Calculator'!$C$8*'Investment Calculator'!$F$4,'Investment Calculator'!$C$6,"")</f>
        <v/>
      </c>
      <c r="E3942" s="27" t="str">
        <f>IFERROR((F3941+D3942)*'Investment Calculator'!$C$7/'Investment Calculator'!$F$4,"")</f>
        <v/>
      </c>
      <c r="F3942" s="27" t="str">
        <f>IFERROR(ABS(FV('Investment Calculator'!$C$7/'Investment Calculator'!$F$4,'SIP Schedule'!C3942,'SIP Schedule'!D3942,,1)),"")</f>
        <v/>
      </c>
    </row>
    <row r="3943" spans="3:6" x14ac:dyDescent="0.3">
      <c r="C3943" s="1" t="str">
        <f>IF(C3942&lt;'Investment Calculator'!$C$8*'Investment Calculator'!$F$4,'SIP Schedule'!C3942+1,"")</f>
        <v/>
      </c>
      <c r="D3943" s="27" t="str">
        <f>IF(C3943&lt;='Investment Calculator'!$C$8*'Investment Calculator'!$F$4,'Investment Calculator'!$C$6,"")</f>
        <v/>
      </c>
      <c r="E3943" s="27" t="str">
        <f>IFERROR((F3942+D3943)*'Investment Calculator'!$C$7/'Investment Calculator'!$F$4,"")</f>
        <v/>
      </c>
      <c r="F3943" s="27" t="str">
        <f>IFERROR(ABS(FV('Investment Calculator'!$C$7/'Investment Calculator'!$F$4,'SIP Schedule'!C3943,'SIP Schedule'!D3943,,1)),"")</f>
        <v/>
      </c>
    </row>
    <row r="3944" spans="3:6" x14ac:dyDescent="0.3">
      <c r="C3944" s="1" t="str">
        <f>IF(C3943&lt;'Investment Calculator'!$C$8*'Investment Calculator'!$F$4,'SIP Schedule'!C3943+1,"")</f>
        <v/>
      </c>
      <c r="D3944" s="27" t="str">
        <f>IF(C3944&lt;='Investment Calculator'!$C$8*'Investment Calculator'!$F$4,'Investment Calculator'!$C$6,"")</f>
        <v/>
      </c>
      <c r="E3944" s="27" t="str">
        <f>IFERROR((F3943+D3944)*'Investment Calculator'!$C$7/'Investment Calculator'!$F$4,"")</f>
        <v/>
      </c>
      <c r="F3944" s="27" t="str">
        <f>IFERROR(ABS(FV('Investment Calculator'!$C$7/'Investment Calculator'!$F$4,'SIP Schedule'!C3944,'SIP Schedule'!D3944,,1)),"")</f>
        <v/>
      </c>
    </row>
    <row r="3945" spans="3:6" x14ac:dyDescent="0.3">
      <c r="C3945" s="1" t="str">
        <f>IF(C3944&lt;'Investment Calculator'!$C$8*'Investment Calculator'!$F$4,'SIP Schedule'!C3944+1,"")</f>
        <v/>
      </c>
      <c r="D3945" s="27" t="str">
        <f>IF(C3945&lt;='Investment Calculator'!$C$8*'Investment Calculator'!$F$4,'Investment Calculator'!$C$6,"")</f>
        <v/>
      </c>
      <c r="E3945" s="27" t="str">
        <f>IFERROR((F3944+D3945)*'Investment Calculator'!$C$7/'Investment Calculator'!$F$4,"")</f>
        <v/>
      </c>
      <c r="F3945" s="27" t="str">
        <f>IFERROR(ABS(FV('Investment Calculator'!$C$7/'Investment Calculator'!$F$4,'SIP Schedule'!C3945,'SIP Schedule'!D3945,,1)),"")</f>
        <v/>
      </c>
    </row>
    <row r="3946" spans="3:6" x14ac:dyDescent="0.3">
      <c r="C3946" s="1" t="str">
        <f>IF(C3945&lt;'Investment Calculator'!$C$8*'Investment Calculator'!$F$4,'SIP Schedule'!C3945+1,"")</f>
        <v/>
      </c>
      <c r="D3946" s="27" t="str">
        <f>IF(C3946&lt;='Investment Calculator'!$C$8*'Investment Calculator'!$F$4,'Investment Calculator'!$C$6,"")</f>
        <v/>
      </c>
      <c r="E3946" s="27" t="str">
        <f>IFERROR((F3945+D3946)*'Investment Calculator'!$C$7/'Investment Calculator'!$F$4,"")</f>
        <v/>
      </c>
      <c r="F3946" s="27" t="str">
        <f>IFERROR(ABS(FV('Investment Calculator'!$C$7/'Investment Calculator'!$F$4,'SIP Schedule'!C3946,'SIP Schedule'!D3946,,1)),"")</f>
        <v/>
      </c>
    </row>
    <row r="3947" spans="3:6" x14ac:dyDescent="0.3">
      <c r="C3947" s="1" t="str">
        <f>IF(C3946&lt;'Investment Calculator'!$C$8*'Investment Calculator'!$F$4,'SIP Schedule'!C3946+1,"")</f>
        <v/>
      </c>
      <c r="D3947" s="27" t="str">
        <f>IF(C3947&lt;='Investment Calculator'!$C$8*'Investment Calculator'!$F$4,'Investment Calculator'!$C$6,"")</f>
        <v/>
      </c>
      <c r="E3947" s="27" t="str">
        <f>IFERROR((F3946+D3947)*'Investment Calculator'!$C$7/'Investment Calculator'!$F$4,"")</f>
        <v/>
      </c>
      <c r="F3947" s="27" t="str">
        <f>IFERROR(ABS(FV('Investment Calculator'!$C$7/'Investment Calculator'!$F$4,'SIP Schedule'!C3947,'SIP Schedule'!D3947,,1)),"")</f>
        <v/>
      </c>
    </row>
    <row r="3948" spans="3:6" x14ac:dyDescent="0.3">
      <c r="C3948" s="1" t="str">
        <f>IF(C3947&lt;'Investment Calculator'!$C$8*'Investment Calculator'!$F$4,'SIP Schedule'!C3947+1,"")</f>
        <v/>
      </c>
      <c r="D3948" s="27" t="str">
        <f>IF(C3948&lt;='Investment Calculator'!$C$8*'Investment Calculator'!$F$4,'Investment Calculator'!$C$6,"")</f>
        <v/>
      </c>
      <c r="E3948" s="27" t="str">
        <f>IFERROR((F3947+D3948)*'Investment Calculator'!$C$7/'Investment Calculator'!$F$4,"")</f>
        <v/>
      </c>
      <c r="F3948" s="27" t="str">
        <f>IFERROR(ABS(FV('Investment Calculator'!$C$7/'Investment Calculator'!$F$4,'SIP Schedule'!C3948,'SIP Schedule'!D3948,,1)),"")</f>
        <v/>
      </c>
    </row>
    <row r="3949" spans="3:6" x14ac:dyDescent="0.3">
      <c r="C3949" s="1" t="str">
        <f>IF(C3948&lt;'Investment Calculator'!$C$8*'Investment Calculator'!$F$4,'SIP Schedule'!C3948+1,"")</f>
        <v/>
      </c>
      <c r="D3949" s="27" t="str">
        <f>IF(C3949&lt;='Investment Calculator'!$C$8*'Investment Calculator'!$F$4,'Investment Calculator'!$C$6,"")</f>
        <v/>
      </c>
      <c r="E3949" s="27" t="str">
        <f>IFERROR((F3948+D3949)*'Investment Calculator'!$C$7/'Investment Calculator'!$F$4,"")</f>
        <v/>
      </c>
      <c r="F3949" s="27" t="str">
        <f>IFERROR(ABS(FV('Investment Calculator'!$C$7/'Investment Calculator'!$F$4,'SIP Schedule'!C3949,'SIP Schedule'!D3949,,1)),"")</f>
        <v/>
      </c>
    </row>
    <row r="3950" spans="3:6" x14ac:dyDescent="0.3">
      <c r="C3950" s="1" t="str">
        <f>IF(C3949&lt;'Investment Calculator'!$C$8*'Investment Calculator'!$F$4,'SIP Schedule'!C3949+1,"")</f>
        <v/>
      </c>
      <c r="D3950" s="27" t="str">
        <f>IF(C3950&lt;='Investment Calculator'!$C$8*'Investment Calculator'!$F$4,'Investment Calculator'!$C$6,"")</f>
        <v/>
      </c>
      <c r="E3950" s="27" t="str">
        <f>IFERROR((F3949+D3950)*'Investment Calculator'!$C$7/'Investment Calculator'!$F$4,"")</f>
        <v/>
      </c>
      <c r="F3950" s="27" t="str">
        <f>IFERROR(ABS(FV('Investment Calculator'!$C$7/'Investment Calculator'!$F$4,'SIP Schedule'!C3950,'SIP Schedule'!D3950,,1)),"")</f>
        <v/>
      </c>
    </row>
    <row r="3951" spans="3:6" x14ac:dyDescent="0.3">
      <c r="C3951" s="1" t="str">
        <f>IF(C3950&lt;'Investment Calculator'!$C$8*'Investment Calculator'!$F$4,'SIP Schedule'!C3950+1,"")</f>
        <v/>
      </c>
      <c r="D3951" s="27" t="str">
        <f>IF(C3951&lt;='Investment Calculator'!$C$8*'Investment Calculator'!$F$4,'Investment Calculator'!$C$6,"")</f>
        <v/>
      </c>
      <c r="E3951" s="27" t="str">
        <f>IFERROR((F3950+D3951)*'Investment Calculator'!$C$7/'Investment Calculator'!$F$4,"")</f>
        <v/>
      </c>
      <c r="F3951" s="27" t="str">
        <f>IFERROR(ABS(FV('Investment Calculator'!$C$7/'Investment Calculator'!$F$4,'SIP Schedule'!C3951,'SIP Schedule'!D3951,,1)),"")</f>
        <v/>
      </c>
    </row>
    <row r="3952" spans="3:6" x14ac:dyDescent="0.3">
      <c r="C3952" s="1" t="str">
        <f>IF(C3951&lt;'Investment Calculator'!$C$8*'Investment Calculator'!$F$4,'SIP Schedule'!C3951+1,"")</f>
        <v/>
      </c>
      <c r="D3952" s="27" t="str">
        <f>IF(C3952&lt;='Investment Calculator'!$C$8*'Investment Calculator'!$F$4,'Investment Calculator'!$C$6,"")</f>
        <v/>
      </c>
      <c r="E3952" s="27" t="str">
        <f>IFERROR((F3951+D3952)*'Investment Calculator'!$C$7/'Investment Calculator'!$F$4,"")</f>
        <v/>
      </c>
      <c r="F3952" s="27" t="str">
        <f>IFERROR(ABS(FV('Investment Calculator'!$C$7/'Investment Calculator'!$F$4,'SIP Schedule'!C3952,'SIP Schedule'!D3952,,1)),"")</f>
        <v/>
      </c>
    </row>
    <row r="3953" spans="3:6" x14ac:dyDescent="0.3">
      <c r="C3953" s="1" t="str">
        <f>IF(C3952&lt;'Investment Calculator'!$C$8*'Investment Calculator'!$F$4,'SIP Schedule'!C3952+1,"")</f>
        <v/>
      </c>
      <c r="D3953" s="27" t="str">
        <f>IF(C3953&lt;='Investment Calculator'!$C$8*'Investment Calculator'!$F$4,'Investment Calculator'!$C$6,"")</f>
        <v/>
      </c>
      <c r="E3953" s="27" t="str">
        <f>IFERROR((F3952+D3953)*'Investment Calculator'!$C$7/'Investment Calculator'!$F$4,"")</f>
        <v/>
      </c>
      <c r="F3953" s="27" t="str">
        <f>IFERROR(ABS(FV('Investment Calculator'!$C$7/'Investment Calculator'!$F$4,'SIP Schedule'!C3953,'SIP Schedule'!D3953,,1)),"")</f>
        <v/>
      </c>
    </row>
    <row r="3954" spans="3:6" x14ac:dyDescent="0.3">
      <c r="C3954" s="1" t="str">
        <f>IF(C3953&lt;'Investment Calculator'!$C$8*'Investment Calculator'!$F$4,'SIP Schedule'!C3953+1,"")</f>
        <v/>
      </c>
      <c r="D3954" s="27" t="str">
        <f>IF(C3954&lt;='Investment Calculator'!$C$8*'Investment Calculator'!$F$4,'Investment Calculator'!$C$6,"")</f>
        <v/>
      </c>
      <c r="E3954" s="27" t="str">
        <f>IFERROR((F3953+D3954)*'Investment Calculator'!$C$7/'Investment Calculator'!$F$4,"")</f>
        <v/>
      </c>
      <c r="F3954" s="27" t="str">
        <f>IFERROR(ABS(FV('Investment Calculator'!$C$7/'Investment Calculator'!$F$4,'SIP Schedule'!C3954,'SIP Schedule'!D3954,,1)),"")</f>
        <v/>
      </c>
    </row>
    <row r="3955" spans="3:6" x14ac:dyDescent="0.3">
      <c r="C3955" s="1" t="str">
        <f>IF(C3954&lt;'Investment Calculator'!$C$8*'Investment Calculator'!$F$4,'SIP Schedule'!C3954+1,"")</f>
        <v/>
      </c>
      <c r="D3955" s="27" t="str">
        <f>IF(C3955&lt;='Investment Calculator'!$C$8*'Investment Calculator'!$F$4,'Investment Calculator'!$C$6,"")</f>
        <v/>
      </c>
      <c r="E3955" s="27" t="str">
        <f>IFERROR((F3954+D3955)*'Investment Calculator'!$C$7/'Investment Calculator'!$F$4,"")</f>
        <v/>
      </c>
      <c r="F3955" s="27" t="str">
        <f>IFERROR(ABS(FV('Investment Calculator'!$C$7/'Investment Calculator'!$F$4,'SIP Schedule'!C3955,'SIP Schedule'!D3955,,1)),"")</f>
        <v/>
      </c>
    </row>
    <row r="3956" spans="3:6" x14ac:dyDescent="0.3">
      <c r="C3956" s="1" t="str">
        <f>IF(C3955&lt;'Investment Calculator'!$C$8*'Investment Calculator'!$F$4,'SIP Schedule'!C3955+1,"")</f>
        <v/>
      </c>
      <c r="D3956" s="27" t="str">
        <f>IF(C3956&lt;='Investment Calculator'!$C$8*'Investment Calculator'!$F$4,'Investment Calculator'!$C$6,"")</f>
        <v/>
      </c>
      <c r="E3956" s="27" t="str">
        <f>IFERROR((F3955+D3956)*'Investment Calculator'!$C$7/'Investment Calculator'!$F$4,"")</f>
        <v/>
      </c>
      <c r="F3956" s="27" t="str">
        <f>IFERROR(ABS(FV('Investment Calculator'!$C$7/'Investment Calculator'!$F$4,'SIP Schedule'!C3956,'SIP Schedule'!D3956,,1)),"")</f>
        <v/>
      </c>
    </row>
    <row r="3957" spans="3:6" x14ac:dyDescent="0.3">
      <c r="C3957" s="1" t="str">
        <f>IF(C3956&lt;'Investment Calculator'!$C$8*'Investment Calculator'!$F$4,'SIP Schedule'!C3956+1,"")</f>
        <v/>
      </c>
      <c r="D3957" s="27" t="str">
        <f>IF(C3957&lt;='Investment Calculator'!$C$8*'Investment Calculator'!$F$4,'Investment Calculator'!$C$6,"")</f>
        <v/>
      </c>
      <c r="E3957" s="27" t="str">
        <f>IFERROR((F3956+D3957)*'Investment Calculator'!$C$7/'Investment Calculator'!$F$4,"")</f>
        <v/>
      </c>
      <c r="F3957" s="27" t="str">
        <f>IFERROR(ABS(FV('Investment Calculator'!$C$7/'Investment Calculator'!$F$4,'SIP Schedule'!C3957,'SIP Schedule'!D3957,,1)),"")</f>
        <v/>
      </c>
    </row>
    <row r="3958" spans="3:6" x14ac:dyDescent="0.3">
      <c r="C3958" s="1" t="str">
        <f>IF(C3957&lt;'Investment Calculator'!$C$8*'Investment Calculator'!$F$4,'SIP Schedule'!C3957+1,"")</f>
        <v/>
      </c>
      <c r="D3958" s="27" t="str">
        <f>IF(C3958&lt;='Investment Calculator'!$C$8*'Investment Calculator'!$F$4,'Investment Calculator'!$C$6,"")</f>
        <v/>
      </c>
      <c r="E3958" s="27" t="str">
        <f>IFERROR((F3957+D3958)*'Investment Calculator'!$C$7/'Investment Calculator'!$F$4,"")</f>
        <v/>
      </c>
      <c r="F3958" s="27" t="str">
        <f>IFERROR(ABS(FV('Investment Calculator'!$C$7/'Investment Calculator'!$F$4,'SIP Schedule'!C3958,'SIP Schedule'!D3958,,1)),"")</f>
        <v/>
      </c>
    </row>
    <row r="3959" spans="3:6" x14ac:dyDescent="0.3">
      <c r="C3959" s="1" t="str">
        <f>IF(C3958&lt;'Investment Calculator'!$C$8*'Investment Calculator'!$F$4,'SIP Schedule'!C3958+1,"")</f>
        <v/>
      </c>
      <c r="D3959" s="27" t="str">
        <f>IF(C3959&lt;='Investment Calculator'!$C$8*'Investment Calculator'!$F$4,'Investment Calculator'!$C$6,"")</f>
        <v/>
      </c>
      <c r="E3959" s="27" t="str">
        <f>IFERROR((F3958+D3959)*'Investment Calculator'!$C$7/'Investment Calculator'!$F$4,"")</f>
        <v/>
      </c>
      <c r="F3959" s="27" t="str">
        <f>IFERROR(ABS(FV('Investment Calculator'!$C$7/'Investment Calculator'!$F$4,'SIP Schedule'!C3959,'SIP Schedule'!D3959,,1)),"")</f>
        <v/>
      </c>
    </row>
    <row r="3960" spans="3:6" x14ac:dyDescent="0.3">
      <c r="C3960" s="1" t="str">
        <f>IF(C3959&lt;'Investment Calculator'!$C$8*'Investment Calculator'!$F$4,'SIP Schedule'!C3959+1,"")</f>
        <v/>
      </c>
      <c r="D3960" s="27" t="str">
        <f>IF(C3960&lt;='Investment Calculator'!$C$8*'Investment Calculator'!$F$4,'Investment Calculator'!$C$6,"")</f>
        <v/>
      </c>
      <c r="E3960" s="27" t="str">
        <f>IFERROR((F3959+D3960)*'Investment Calculator'!$C$7/'Investment Calculator'!$F$4,"")</f>
        <v/>
      </c>
      <c r="F3960" s="27" t="str">
        <f>IFERROR(ABS(FV('Investment Calculator'!$C$7/'Investment Calculator'!$F$4,'SIP Schedule'!C3960,'SIP Schedule'!D3960,,1)),"")</f>
        <v/>
      </c>
    </row>
    <row r="3961" spans="3:6" x14ac:dyDescent="0.3">
      <c r="C3961" s="1" t="str">
        <f>IF(C3960&lt;'Investment Calculator'!$C$8*'Investment Calculator'!$F$4,'SIP Schedule'!C3960+1,"")</f>
        <v/>
      </c>
      <c r="D3961" s="27" t="str">
        <f>IF(C3961&lt;='Investment Calculator'!$C$8*'Investment Calculator'!$F$4,'Investment Calculator'!$C$6,"")</f>
        <v/>
      </c>
      <c r="E3961" s="27" t="str">
        <f>IFERROR((F3960+D3961)*'Investment Calculator'!$C$7/'Investment Calculator'!$F$4,"")</f>
        <v/>
      </c>
      <c r="F3961" s="27" t="str">
        <f>IFERROR(ABS(FV('Investment Calculator'!$C$7/'Investment Calculator'!$F$4,'SIP Schedule'!C3961,'SIP Schedule'!D3961,,1)),"")</f>
        <v/>
      </c>
    </row>
    <row r="3962" spans="3:6" x14ac:dyDescent="0.3">
      <c r="C3962" s="1" t="str">
        <f>IF(C3961&lt;'Investment Calculator'!$C$8*'Investment Calculator'!$F$4,'SIP Schedule'!C3961+1,"")</f>
        <v/>
      </c>
      <c r="D3962" s="27" t="str">
        <f>IF(C3962&lt;='Investment Calculator'!$C$8*'Investment Calculator'!$F$4,'Investment Calculator'!$C$6,"")</f>
        <v/>
      </c>
      <c r="E3962" s="27" t="str">
        <f>IFERROR((F3961+D3962)*'Investment Calculator'!$C$7/'Investment Calculator'!$F$4,"")</f>
        <v/>
      </c>
      <c r="F3962" s="27" t="str">
        <f>IFERROR(ABS(FV('Investment Calculator'!$C$7/'Investment Calculator'!$F$4,'SIP Schedule'!C3962,'SIP Schedule'!D3962,,1)),"")</f>
        <v/>
      </c>
    </row>
    <row r="3963" spans="3:6" x14ac:dyDescent="0.3">
      <c r="C3963" s="1" t="str">
        <f>IF(C3962&lt;'Investment Calculator'!$C$8*'Investment Calculator'!$F$4,'SIP Schedule'!C3962+1,"")</f>
        <v/>
      </c>
      <c r="D3963" s="27" t="str">
        <f>IF(C3963&lt;='Investment Calculator'!$C$8*'Investment Calculator'!$F$4,'Investment Calculator'!$C$6,"")</f>
        <v/>
      </c>
      <c r="E3963" s="27" t="str">
        <f>IFERROR((F3962+D3963)*'Investment Calculator'!$C$7/'Investment Calculator'!$F$4,"")</f>
        <v/>
      </c>
      <c r="F3963" s="27" t="str">
        <f>IFERROR(ABS(FV('Investment Calculator'!$C$7/'Investment Calculator'!$F$4,'SIP Schedule'!C3963,'SIP Schedule'!D3963,,1)),"")</f>
        <v/>
      </c>
    </row>
    <row r="3964" spans="3:6" x14ac:dyDescent="0.3">
      <c r="C3964" s="1" t="str">
        <f>IF(C3963&lt;'Investment Calculator'!$C$8*'Investment Calculator'!$F$4,'SIP Schedule'!C3963+1,"")</f>
        <v/>
      </c>
      <c r="D3964" s="27" t="str">
        <f>IF(C3964&lt;='Investment Calculator'!$C$8*'Investment Calculator'!$F$4,'Investment Calculator'!$C$6,"")</f>
        <v/>
      </c>
      <c r="E3964" s="27" t="str">
        <f>IFERROR((F3963+D3964)*'Investment Calculator'!$C$7/'Investment Calculator'!$F$4,"")</f>
        <v/>
      </c>
      <c r="F3964" s="27" t="str">
        <f>IFERROR(ABS(FV('Investment Calculator'!$C$7/'Investment Calculator'!$F$4,'SIP Schedule'!C3964,'SIP Schedule'!D3964,,1)),"")</f>
        <v/>
      </c>
    </row>
    <row r="3965" spans="3:6" x14ac:dyDescent="0.3">
      <c r="C3965" s="1" t="str">
        <f>IF(C3964&lt;'Investment Calculator'!$C$8*'Investment Calculator'!$F$4,'SIP Schedule'!C3964+1,"")</f>
        <v/>
      </c>
      <c r="D3965" s="27" t="str">
        <f>IF(C3965&lt;='Investment Calculator'!$C$8*'Investment Calculator'!$F$4,'Investment Calculator'!$C$6,"")</f>
        <v/>
      </c>
      <c r="E3965" s="27" t="str">
        <f>IFERROR((F3964+D3965)*'Investment Calculator'!$C$7/'Investment Calculator'!$F$4,"")</f>
        <v/>
      </c>
      <c r="F3965" s="27" t="str">
        <f>IFERROR(ABS(FV('Investment Calculator'!$C$7/'Investment Calculator'!$F$4,'SIP Schedule'!C3965,'SIP Schedule'!D3965,,1)),"")</f>
        <v/>
      </c>
    </row>
    <row r="3966" spans="3:6" x14ac:dyDescent="0.3">
      <c r="C3966" s="1" t="str">
        <f>IF(C3965&lt;'Investment Calculator'!$C$8*'Investment Calculator'!$F$4,'SIP Schedule'!C3965+1,"")</f>
        <v/>
      </c>
      <c r="D3966" s="27" t="str">
        <f>IF(C3966&lt;='Investment Calculator'!$C$8*'Investment Calculator'!$F$4,'Investment Calculator'!$C$6,"")</f>
        <v/>
      </c>
      <c r="E3966" s="27" t="str">
        <f>IFERROR((F3965+D3966)*'Investment Calculator'!$C$7/'Investment Calculator'!$F$4,"")</f>
        <v/>
      </c>
      <c r="F3966" s="27" t="str">
        <f>IFERROR(ABS(FV('Investment Calculator'!$C$7/'Investment Calculator'!$F$4,'SIP Schedule'!C3966,'SIP Schedule'!D3966,,1)),"")</f>
        <v/>
      </c>
    </row>
    <row r="3967" spans="3:6" x14ac:dyDescent="0.3">
      <c r="C3967" s="1" t="str">
        <f>IF(C3966&lt;'Investment Calculator'!$C$8*'Investment Calculator'!$F$4,'SIP Schedule'!C3966+1,"")</f>
        <v/>
      </c>
      <c r="D3967" s="27" t="str">
        <f>IF(C3967&lt;='Investment Calculator'!$C$8*'Investment Calculator'!$F$4,'Investment Calculator'!$C$6,"")</f>
        <v/>
      </c>
      <c r="E3967" s="27" t="str">
        <f>IFERROR((F3966+D3967)*'Investment Calculator'!$C$7/'Investment Calculator'!$F$4,"")</f>
        <v/>
      </c>
      <c r="F3967" s="27" t="str">
        <f>IFERROR(ABS(FV('Investment Calculator'!$C$7/'Investment Calculator'!$F$4,'SIP Schedule'!C3967,'SIP Schedule'!D3967,,1)),"")</f>
        <v/>
      </c>
    </row>
    <row r="3968" spans="3:6" x14ac:dyDescent="0.3">
      <c r="C3968" s="1" t="str">
        <f>IF(C3967&lt;'Investment Calculator'!$C$8*'Investment Calculator'!$F$4,'SIP Schedule'!C3967+1,"")</f>
        <v/>
      </c>
      <c r="D3968" s="27" t="str">
        <f>IF(C3968&lt;='Investment Calculator'!$C$8*'Investment Calculator'!$F$4,'Investment Calculator'!$C$6,"")</f>
        <v/>
      </c>
      <c r="E3968" s="27" t="str">
        <f>IFERROR((F3967+D3968)*'Investment Calculator'!$C$7/'Investment Calculator'!$F$4,"")</f>
        <v/>
      </c>
      <c r="F3968" s="27" t="str">
        <f>IFERROR(ABS(FV('Investment Calculator'!$C$7/'Investment Calculator'!$F$4,'SIP Schedule'!C3968,'SIP Schedule'!D3968,,1)),"")</f>
        <v/>
      </c>
    </row>
    <row r="3969" spans="3:6" x14ac:dyDescent="0.3">
      <c r="C3969" s="1" t="str">
        <f>IF(C3968&lt;'Investment Calculator'!$C$8*'Investment Calculator'!$F$4,'SIP Schedule'!C3968+1,"")</f>
        <v/>
      </c>
      <c r="D3969" s="27" t="str">
        <f>IF(C3969&lt;='Investment Calculator'!$C$8*'Investment Calculator'!$F$4,'Investment Calculator'!$C$6,"")</f>
        <v/>
      </c>
      <c r="E3969" s="27" t="str">
        <f>IFERROR((F3968+D3969)*'Investment Calculator'!$C$7/'Investment Calculator'!$F$4,"")</f>
        <v/>
      </c>
      <c r="F3969" s="27" t="str">
        <f>IFERROR(ABS(FV('Investment Calculator'!$C$7/'Investment Calculator'!$F$4,'SIP Schedule'!C3969,'SIP Schedule'!D3969,,1)),"")</f>
        <v/>
      </c>
    </row>
    <row r="3970" spans="3:6" x14ac:dyDescent="0.3">
      <c r="C3970" s="1" t="str">
        <f>IF(C3969&lt;'Investment Calculator'!$C$8*'Investment Calculator'!$F$4,'SIP Schedule'!C3969+1,"")</f>
        <v/>
      </c>
      <c r="D3970" s="27" t="str">
        <f>IF(C3970&lt;='Investment Calculator'!$C$8*'Investment Calculator'!$F$4,'Investment Calculator'!$C$6,"")</f>
        <v/>
      </c>
      <c r="E3970" s="27" t="str">
        <f>IFERROR((F3969+D3970)*'Investment Calculator'!$C$7/'Investment Calculator'!$F$4,"")</f>
        <v/>
      </c>
      <c r="F3970" s="27" t="str">
        <f>IFERROR(ABS(FV('Investment Calculator'!$C$7/'Investment Calculator'!$F$4,'SIP Schedule'!C3970,'SIP Schedule'!D3970,,1)),"")</f>
        <v/>
      </c>
    </row>
    <row r="3971" spans="3:6" x14ac:dyDescent="0.3">
      <c r="C3971" s="1" t="str">
        <f>IF(C3970&lt;'Investment Calculator'!$C$8*'Investment Calculator'!$F$4,'SIP Schedule'!C3970+1,"")</f>
        <v/>
      </c>
      <c r="D3971" s="27" t="str">
        <f>IF(C3971&lt;='Investment Calculator'!$C$8*'Investment Calculator'!$F$4,'Investment Calculator'!$C$6,"")</f>
        <v/>
      </c>
      <c r="E3971" s="27" t="str">
        <f>IFERROR((F3970+D3971)*'Investment Calculator'!$C$7/'Investment Calculator'!$F$4,"")</f>
        <v/>
      </c>
      <c r="F3971" s="27" t="str">
        <f>IFERROR(ABS(FV('Investment Calculator'!$C$7/'Investment Calculator'!$F$4,'SIP Schedule'!C3971,'SIP Schedule'!D3971,,1)),"")</f>
        <v/>
      </c>
    </row>
    <row r="3972" spans="3:6" x14ac:dyDescent="0.3">
      <c r="C3972" s="1" t="str">
        <f>IF(C3971&lt;'Investment Calculator'!$C$8*'Investment Calculator'!$F$4,'SIP Schedule'!C3971+1,"")</f>
        <v/>
      </c>
      <c r="D3972" s="27" t="str">
        <f>IF(C3972&lt;='Investment Calculator'!$C$8*'Investment Calculator'!$F$4,'Investment Calculator'!$C$6,"")</f>
        <v/>
      </c>
      <c r="E3972" s="27" t="str">
        <f>IFERROR((F3971+D3972)*'Investment Calculator'!$C$7/'Investment Calculator'!$F$4,"")</f>
        <v/>
      </c>
      <c r="F3972" s="27" t="str">
        <f>IFERROR(ABS(FV('Investment Calculator'!$C$7/'Investment Calculator'!$F$4,'SIP Schedule'!C3972,'SIP Schedule'!D3972,,1)),"")</f>
        <v/>
      </c>
    </row>
    <row r="3973" spans="3:6" x14ac:dyDescent="0.3">
      <c r="C3973" s="1" t="str">
        <f>IF(C3972&lt;'Investment Calculator'!$C$8*'Investment Calculator'!$F$4,'SIP Schedule'!C3972+1,"")</f>
        <v/>
      </c>
      <c r="D3973" s="27" t="str">
        <f>IF(C3973&lt;='Investment Calculator'!$C$8*'Investment Calculator'!$F$4,'Investment Calculator'!$C$6,"")</f>
        <v/>
      </c>
      <c r="E3973" s="27" t="str">
        <f>IFERROR((F3972+D3973)*'Investment Calculator'!$C$7/'Investment Calculator'!$F$4,"")</f>
        <v/>
      </c>
      <c r="F3973" s="27" t="str">
        <f>IFERROR(ABS(FV('Investment Calculator'!$C$7/'Investment Calculator'!$F$4,'SIP Schedule'!C3973,'SIP Schedule'!D3973,,1)),"")</f>
        <v/>
      </c>
    </row>
    <row r="3974" spans="3:6" x14ac:dyDescent="0.3">
      <c r="C3974" s="1" t="str">
        <f>IF(C3973&lt;'Investment Calculator'!$C$8*'Investment Calculator'!$F$4,'SIP Schedule'!C3973+1,"")</f>
        <v/>
      </c>
      <c r="D3974" s="27" t="str">
        <f>IF(C3974&lt;='Investment Calculator'!$C$8*'Investment Calculator'!$F$4,'Investment Calculator'!$C$6,"")</f>
        <v/>
      </c>
      <c r="E3974" s="27" t="str">
        <f>IFERROR((F3973+D3974)*'Investment Calculator'!$C$7/'Investment Calculator'!$F$4,"")</f>
        <v/>
      </c>
      <c r="F3974" s="27" t="str">
        <f>IFERROR(ABS(FV('Investment Calculator'!$C$7/'Investment Calculator'!$F$4,'SIP Schedule'!C3974,'SIP Schedule'!D3974,,1)),"")</f>
        <v/>
      </c>
    </row>
    <row r="3975" spans="3:6" x14ac:dyDescent="0.3">
      <c r="C3975" s="1" t="str">
        <f>IF(C3974&lt;'Investment Calculator'!$C$8*'Investment Calculator'!$F$4,'SIP Schedule'!C3974+1,"")</f>
        <v/>
      </c>
      <c r="D3975" s="27" t="str">
        <f>IF(C3975&lt;='Investment Calculator'!$C$8*'Investment Calculator'!$F$4,'Investment Calculator'!$C$6,"")</f>
        <v/>
      </c>
      <c r="E3975" s="27" t="str">
        <f>IFERROR((F3974+D3975)*'Investment Calculator'!$C$7/'Investment Calculator'!$F$4,"")</f>
        <v/>
      </c>
      <c r="F3975" s="27" t="str">
        <f>IFERROR(ABS(FV('Investment Calculator'!$C$7/'Investment Calculator'!$F$4,'SIP Schedule'!C3975,'SIP Schedule'!D3975,,1)),"")</f>
        <v/>
      </c>
    </row>
    <row r="3976" spans="3:6" x14ac:dyDescent="0.3">
      <c r="C3976" s="1" t="str">
        <f>IF(C3975&lt;'Investment Calculator'!$C$8*'Investment Calculator'!$F$4,'SIP Schedule'!C3975+1,"")</f>
        <v/>
      </c>
      <c r="D3976" s="27" t="str">
        <f>IF(C3976&lt;='Investment Calculator'!$C$8*'Investment Calculator'!$F$4,'Investment Calculator'!$C$6,"")</f>
        <v/>
      </c>
      <c r="E3976" s="27" t="str">
        <f>IFERROR((F3975+D3976)*'Investment Calculator'!$C$7/'Investment Calculator'!$F$4,"")</f>
        <v/>
      </c>
      <c r="F3976" s="27" t="str">
        <f>IFERROR(ABS(FV('Investment Calculator'!$C$7/'Investment Calculator'!$F$4,'SIP Schedule'!C3976,'SIP Schedule'!D3976,,1)),"")</f>
        <v/>
      </c>
    </row>
    <row r="3977" spans="3:6" x14ac:dyDescent="0.3">
      <c r="C3977" s="1" t="str">
        <f>IF(C3976&lt;'Investment Calculator'!$C$8*'Investment Calculator'!$F$4,'SIP Schedule'!C3976+1,"")</f>
        <v/>
      </c>
      <c r="D3977" s="27" t="str">
        <f>IF(C3977&lt;='Investment Calculator'!$C$8*'Investment Calculator'!$F$4,'Investment Calculator'!$C$6,"")</f>
        <v/>
      </c>
      <c r="E3977" s="27" t="str">
        <f>IFERROR((F3976+D3977)*'Investment Calculator'!$C$7/'Investment Calculator'!$F$4,"")</f>
        <v/>
      </c>
      <c r="F3977" s="27" t="str">
        <f>IFERROR(ABS(FV('Investment Calculator'!$C$7/'Investment Calculator'!$F$4,'SIP Schedule'!C3977,'SIP Schedule'!D3977,,1)),"")</f>
        <v/>
      </c>
    </row>
    <row r="3978" spans="3:6" x14ac:dyDescent="0.3">
      <c r="C3978" s="1" t="str">
        <f>IF(C3977&lt;'Investment Calculator'!$C$8*'Investment Calculator'!$F$4,'SIP Schedule'!C3977+1,"")</f>
        <v/>
      </c>
      <c r="D3978" s="27" t="str">
        <f>IF(C3978&lt;='Investment Calculator'!$C$8*'Investment Calculator'!$F$4,'Investment Calculator'!$C$6,"")</f>
        <v/>
      </c>
      <c r="E3978" s="27" t="str">
        <f>IFERROR((F3977+D3978)*'Investment Calculator'!$C$7/'Investment Calculator'!$F$4,"")</f>
        <v/>
      </c>
      <c r="F3978" s="27" t="str">
        <f>IFERROR(ABS(FV('Investment Calculator'!$C$7/'Investment Calculator'!$F$4,'SIP Schedule'!C3978,'SIP Schedule'!D3978,,1)),"")</f>
        <v/>
      </c>
    </row>
    <row r="3979" spans="3:6" x14ac:dyDescent="0.3">
      <c r="C3979" s="1" t="str">
        <f>IF(C3978&lt;'Investment Calculator'!$C$8*'Investment Calculator'!$F$4,'SIP Schedule'!C3978+1,"")</f>
        <v/>
      </c>
      <c r="D3979" s="27" t="str">
        <f>IF(C3979&lt;='Investment Calculator'!$C$8*'Investment Calculator'!$F$4,'Investment Calculator'!$C$6,"")</f>
        <v/>
      </c>
      <c r="E3979" s="27" t="str">
        <f>IFERROR((F3978+D3979)*'Investment Calculator'!$C$7/'Investment Calculator'!$F$4,"")</f>
        <v/>
      </c>
      <c r="F3979" s="27" t="str">
        <f>IFERROR(ABS(FV('Investment Calculator'!$C$7/'Investment Calculator'!$F$4,'SIP Schedule'!C3979,'SIP Schedule'!D3979,,1)),"")</f>
        <v/>
      </c>
    </row>
    <row r="3980" spans="3:6" x14ac:dyDescent="0.3">
      <c r="C3980" s="1" t="str">
        <f>IF(C3979&lt;'Investment Calculator'!$C$8*'Investment Calculator'!$F$4,'SIP Schedule'!C3979+1,"")</f>
        <v/>
      </c>
      <c r="D3980" s="27" t="str">
        <f>IF(C3980&lt;='Investment Calculator'!$C$8*'Investment Calculator'!$F$4,'Investment Calculator'!$C$6,"")</f>
        <v/>
      </c>
      <c r="E3980" s="27" t="str">
        <f>IFERROR((F3979+D3980)*'Investment Calculator'!$C$7/'Investment Calculator'!$F$4,"")</f>
        <v/>
      </c>
      <c r="F3980" s="27" t="str">
        <f>IFERROR(ABS(FV('Investment Calculator'!$C$7/'Investment Calculator'!$F$4,'SIP Schedule'!C3980,'SIP Schedule'!D3980,,1)),"")</f>
        <v/>
      </c>
    </row>
    <row r="3981" spans="3:6" x14ac:dyDescent="0.3">
      <c r="C3981" s="1" t="str">
        <f>IF(C3980&lt;'Investment Calculator'!$C$8*'Investment Calculator'!$F$4,'SIP Schedule'!C3980+1,"")</f>
        <v/>
      </c>
      <c r="D3981" s="27" t="str">
        <f>IF(C3981&lt;='Investment Calculator'!$C$8*'Investment Calculator'!$F$4,'Investment Calculator'!$C$6,"")</f>
        <v/>
      </c>
      <c r="E3981" s="27" t="str">
        <f>IFERROR((F3980+D3981)*'Investment Calculator'!$C$7/'Investment Calculator'!$F$4,"")</f>
        <v/>
      </c>
      <c r="F3981" s="27" t="str">
        <f>IFERROR(ABS(FV('Investment Calculator'!$C$7/'Investment Calculator'!$F$4,'SIP Schedule'!C3981,'SIP Schedule'!D3981,,1)),"")</f>
        <v/>
      </c>
    </row>
    <row r="3982" spans="3:6" x14ac:dyDescent="0.3">
      <c r="C3982" s="1" t="str">
        <f>IF(C3981&lt;'Investment Calculator'!$C$8*'Investment Calculator'!$F$4,'SIP Schedule'!C3981+1,"")</f>
        <v/>
      </c>
      <c r="D3982" s="27" t="str">
        <f>IF(C3982&lt;='Investment Calculator'!$C$8*'Investment Calculator'!$F$4,'Investment Calculator'!$C$6,"")</f>
        <v/>
      </c>
      <c r="E3982" s="27" t="str">
        <f>IFERROR((F3981+D3982)*'Investment Calculator'!$C$7/'Investment Calculator'!$F$4,"")</f>
        <v/>
      </c>
      <c r="F3982" s="27" t="str">
        <f>IFERROR(ABS(FV('Investment Calculator'!$C$7/'Investment Calculator'!$F$4,'SIP Schedule'!C3982,'SIP Schedule'!D3982,,1)),"")</f>
        <v/>
      </c>
    </row>
    <row r="3983" spans="3:6" x14ac:dyDescent="0.3">
      <c r="C3983" s="1" t="str">
        <f>IF(C3982&lt;'Investment Calculator'!$C$8*'Investment Calculator'!$F$4,'SIP Schedule'!C3982+1,"")</f>
        <v/>
      </c>
      <c r="D3983" s="27" t="str">
        <f>IF(C3983&lt;='Investment Calculator'!$C$8*'Investment Calculator'!$F$4,'Investment Calculator'!$C$6,"")</f>
        <v/>
      </c>
      <c r="E3983" s="27" t="str">
        <f>IFERROR((F3982+D3983)*'Investment Calculator'!$C$7/'Investment Calculator'!$F$4,"")</f>
        <v/>
      </c>
      <c r="F3983" s="27" t="str">
        <f>IFERROR(ABS(FV('Investment Calculator'!$C$7/'Investment Calculator'!$F$4,'SIP Schedule'!C3983,'SIP Schedule'!D3983,,1)),"")</f>
        <v/>
      </c>
    </row>
    <row r="3984" spans="3:6" x14ac:dyDescent="0.3">
      <c r="C3984" s="1" t="str">
        <f>IF(C3983&lt;'Investment Calculator'!$C$8*'Investment Calculator'!$F$4,'SIP Schedule'!C3983+1,"")</f>
        <v/>
      </c>
      <c r="D3984" s="27" t="str">
        <f>IF(C3984&lt;='Investment Calculator'!$C$8*'Investment Calculator'!$F$4,'Investment Calculator'!$C$6,"")</f>
        <v/>
      </c>
      <c r="E3984" s="27" t="str">
        <f>IFERROR((F3983+D3984)*'Investment Calculator'!$C$7/'Investment Calculator'!$F$4,"")</f>
        <v/>
      </c>
      <c r="F3984" s="27" t="str">
        <f>IFERROR(ABS(FV('Investment Calculator'!$C$7/'Investment Calculator'!$F$4,'SIP Schedule'!C3984,'SIP Schedule'!D3984,,1)),"")</f>
        <v/>
      </c>
    </row>
    <row r="3985" spans="3:6" x14ac:dyDescent="0.3">
      <c r="C3985" s="1" t="str">
        <f>IF(C3984&lt;'Investment Calculator'!$C$8*'Investment Calculator'!$F$4,'SIP Schedule'!C3984+1,"")</f>
        <v/>
      </c>
      <c r="D3985" s="27" t="str">
        <f>IF(C3985&lt;='Investment Calculator'!$C$8*'Investment Calculator'!$F$4,'Investment Calculator'!$C$6,"")</f>
        <v/>
      </c>
      <c r="E3985" s="27" t="str">
        <f>IFERROR((F3984+D3985)*'Investment Calculator'!$C$7/'Investment Calculator'!$F$4,"")</f>
        <v/>
      </c>
      <c r="F3985" s="27" t="str">
        <f>IFERROR(ABS(FV('Investment Calculator'!$C$7/'Investment Calculator'!$F$4,'SIP Schedule'!C3985,'SIP Schedule'!D3985,,1)),"")</f>
        <v/>
      </c>
    </row>
    <row r="3986" spans="3:6" x14ac:dyDescent="0.3">
      <c r="C3986" s="1" t="str">
        <f>IF(C3985&lt;'Investment Calculator'!$C$8*'Investment Calculator'!$F$4,'SIP Schedule'!C3985+1,"")</f>
        <v/>
      </c>
      <c r="D3986" s="27" t="str">
        <f>IF(C3986&lt;='Investment Calculator'!$C$8*'Investment Calculator'!$F$4,'Investment Calculator'!$C$6,"")</f>
        <v/>
      </c>
      <c r="E3986" s="27" t="str">
        <f>IFERROR((F3985+D3986)*'Investment Calculator'!$C$7/'Investment Calculator'!$F$4,"")</f>
        <v/>
      </c>
      <c r="F3986" s="27" t="str">
        <f>IFERROR(ABS(FV('Investment Calculator'!$C$7/'Investment Calculator'!$F$4,'SIP Schedule'!C3986,'SIP Schedule'!D3986,,1)),"")</f>
        <v/>
      </c>
    </row>
    <row r="3987" spans="3:6" x14ac:dyDescent="0.3">
      <c r="C3987" s="1" t="str">
        <f>IF(C3986&lt;'Investment Calculator'!$C$8*'Investment Calculator'!$F$4,'SIP Schedule'!C3986+1,"")</f>
        <v/>
      </c>
      <c r="D3987" s="27" t="str">
        <f>IF(C3987&lt;='Investment Calculator'!$C$8*'Investment Calculator'!$F$4,'Investment Calculator'!$C$6,"")</f>
        <v/>
      </c>
      <c r="E3987" s="27" t="str">
        <f>IFERROR((F3986+D3987)*'Investment Calculator'!$C$7/'Investment Calculator'!$F$4,"")</f>
        <v/>
      </c>
      <c r="F3987" s="27" t="str">
        <f>IFERROR(ABS(FV('Investment Calculator'!$C$7/'Investment Calculator'!$F$4,'SIP Schedule'!C3987,'SIP Schedule'!D3987,,1)),"")</f>
        <v/>
      </c>
    </row>
    <row r="3988" spans="3:6" x14ac:dyDescent="0.3">
      <c r="C3988" s="1" t="str">
        <f>IF(C3987&lt;'Investment Calculator'!$C$8*'Investment Calculator'!$F$4,'SIP Schedule'!C3987+1,"")</f>
        <v/>
      </c>
      <c r="D3988" s="27" t="str">
        <f>IF(C3988&lt;='Investment Calculator'!$C$8*'Investment Calculator'!$F$4,'Investment Calculator'!$C$6,"")</f>
        <v/>
      </c>
      <c r="E3988" s="27" t="str">
        <f>IFERROR((F3987+D3988)*'Investment Calculator'!$C$7/'Investment Calculator'!$F$4,"")</f>
        <v/>
      </c>
      <c r="F3988" s="27" t="str">
        <f>IFERROR(ABS(FV('Investment Calculator'!$C$7/'Investment Calculator'!$F$4,'SIP Schedule'!C3988,'SIP Schedule'!D3988,,1)),"")</f>
        <v/>
      </c>
    </row>
    <row r="3989" spans="3:6" x14ac:dyDescent="0.3">
      <c r="C3989" s="1" t="str">
        <f>IF(C3988&lt;'Investment Calculator'!$C$8*'Investment Calculator'!$F$4,'SIP Schedule'!C3988+1,"")</f>
        <v/>
      </c>
      <c r="D3989" s="27" t="str">
        <f>IF(C3989&lt;='Investment Calculator'!$C$8*'Investment Calculator'!$F$4,'Investment Calculator'!$C$6,"")</f>
        <v/>
      </c>
      <c r="E3989" s="27" t="str">
        <f>IFERROR((F3988+D3989)*'Investment Calculator'!$C$7/'Investment Calculator'!$F$4,"")</f>
        <v/>
      </c>
      <c r="F3989" s="27" t="str">
        <f>IFERROR(ABS(FV('Investment Calculator'!$C$7/'Investment Calculator'!$F$4,'SIP Schedule'!C3989,'SIP Schedule'!D3989,,1)),"")</f>
        <v/>
      </c>
    </row>
    <row r="3990" spans="3:6" x14ac:dyDescent="0.3">
      <c r="C3990" s="1" t="str">
        <f>IF(C3989&lt;'Investment Calculator'!$C$8*'Investment Calculator'!$F$4,'SIP Schedule'!C3989+1,"")</f>
        <v/>
      </c>
      <c r="D3990" s="27" t="str">
        <f>IF(C3990&lt;='Investment Calculator'!$C$8*'Investment Calculator'!$F$4,'Investment Calculator'!$C$6,"")</f>
        <v/>
      </c>
      <c r="E3990" s="27" t="str">
        <f>IFERROR((F3989+D3990)*'Investment Calculator'!$C$7/'Investment Calculator'!$F$4,"")</f>
        <v/>
      </c>
      <c r="F3990" s="27" t="str">
        <f>IFERROR(ABS(FV('Investment Calculator'!$C$7/'Investment Calculator'!$F$4,'SIP Schedule'!C3990,'SIP Schedule'!D3990,,1)),"")</f>
        <v/>
      </c>
    </row>
    <row r="3991" spans="3:6" x14ac:dyDescent="0.3">
      <c r="C3991" s="1" t="str">
        <f>IF(C3990&lt;'Investment Calculator'!$C$8*'Investment Calculator'!$F$4,'SIP Schedule'!C3990+1,"")</f>
        <v/>
      </c>
      <c r="D3991" s="27" t="str">
        <f>IF(C3991&lt;='Investment Calculator'!$C$8*'Investment Calculator'!$F$4,'Investment Calculator'!$C$6,"")</f>
        <v/>
      </c>
      <c r="E3991" s="27" t="str">
        <f>IFERROR((F3990+D3991)*'Investment Calculator'!$C$7/'Investment Calculator'!$F$4,"")</f>
        <v/>
      </c>
      <c r="F3991" s="27" t="str">
        <f>IFERROR(ABS(FV('Investment Calculator'!$C$7/'Investment Calculator'!$F$4,'SIP Schedule'!C3991,'SIP Schedule'!D3991,,1)),"")</f>
        <v/>
      </c>
    </row>
    <row r="3992" spans="3:6" x14ac:dyDescent="0.3">
      <c r="C3992" s="1" t="str">
        <f>IF(C3991&lt;'Investment Calculator'!$C$8*'Investment Calculator'!$F$4,'SIP Schedule'!C3991+1,"")</f>
        <v/>
      </c>
      <c r="D3992" s="27" t="str">
        <f>IF(C3992&lt;='Investment Calculator'!$C$8*'Investment Calculator'!$F$4,'Investment Calculator'!$C$6,"")</f>
        <v/>
      </c>
      <c r="E3992" s="27" t="str">
        <f>IFERROR((F3991+D3992)*'Investment Calculator'!$C$7/'Investment Calculator'!$F$4,"")</f>
        <v/>
      </c>
      <c r="F3992" s="27" t="str">
        <f>IFERROR(ABS(FV('Investment Calculator'!$C$7/'Investment Calculator'!$F$4,'SIP Schedule'!C3992,'SIP Schedule'!D3992,,1)),"")</f>
        <v/>
      </c>
    </row>
    <row r="3993" spans="3:6" x14ac:dyDescent="0.3">
      <c r="C3993" s="1" t="str">
        <f>IF(C3992&lt;'Investment Calculator'!$C$8*'Investment Calculator'!$F$4,'SIP Schedule'!C3992+1,"")</f>
        <v/>
      </c>
      <c r="D3993" s="27" t="str">
        <f>IF(C3993&lt;='Investment Calculator'!$C$8*'Investment Calculator'!$F$4,'Investment Calculator'!$C$6,"")</f>
        <v/>
      </c>
      <c r="E3993" s="27" t="str">
        <f>IFERROR((F3992+D3993)*'Investment Calculator'!$C$7/'Investment Calculator'!$F$4,"")</f>
        <v/>
      </c>
      <c r="F3993" s="27" t="str">
        <f>IFERROR(ABS(FV('Investment Calculator'!$C$7/'Investment Calculator'!$F$4,'SIP Schedule'!C3993,'SIP Schedule'!D3993,,1)),"")</f>
        <v/>
      </c>
    </row>
    <row r="3994" spans="3:6" x14ac:dyDescent="0.3">
      <c r="C3994" s="1" t="str">
        <f>IF(C3993&lt;'Investment Calculator'!$C$8*'Investment Calculator'!$F$4,'SIP Schedule'!C3993+1,"")</f>
        <v/>
      </c>
      <c r="D3994" s="27" t="str">
        <f>IF(C3994&lt;='Investment Calculator'!$C$8*'Investment Calculator'!$F$4,'Investment Calculator'!$C$6,"")</f>
        <v/>
      </c>
      <c r="E3994" s="27" t="str">
        <f>IFERROR((F3993+D3994)*'Investment Calculator'!$C$7/'Investment Calculator'!$F$4,"")</f>
        <v/>
      </c>
      <c r="F3994" s="27" t="str">
        <f>IFERROR(ABS(FV('Investment Calculator'!$C$7/'Investment Calculator'!$F$4,'SIP Schedule'!C3994,'SIP Schedule'!D3994,,1)),"")</f>
        <v/>
      </c>
    </row>
    <row r="3995" spans="3:6" x14ac:dyDescent="0.3">
      <c r="C3995" s="1" t="str">
        <f>IF(C3994&lt;'Investment Calculator'!$C$8*'Investment Calculator'!$F$4,'SIP Schedule'!C3994+1,"")</f>
        <v/>
      </c>
      <c r="D3995" s="27" t="str">
        <f>IF(C3995&lt;='Investment Calculator'!$C$8*'Investment Calculator'!$F$4,'Investment Calculator'!$C$6,"")</f>
        <v/>
      </c>
      <c r="E3995" s="27" t="str">
        <f>IFERROR((F3994+D3995)*'Investment Calculator'!$C$7/'Investment Calculator'!$F$4,"")</f>
        <v/>
      </c>
      <c r="F3995" s="27" t="str">
        <f>IFERROR(ABS(FV('Investment Calculator'!$C$7/'Investment Calculator'!$F$4,'SIP Schedule'!C3995,'SIP Schedule'!D3995,,1)),"")</f>
        <v/>
      </c>
    </row>
    <row r="3996" spans="3:6" x14ac:dyDescent="0.3">
      <c r="C3996" s="1" t="str">
        <f>IF(C3995&lt;'Investment Calculator'!$C$8*'Investment Calculator'!$F$4,'SIP Schedule'!C3995+1,"")</f>
        <v/>
      </c>
      <c r="D3996" s="27" t="str">
        <f>IF(C3996&lt;='Investment Calculator'!$C$8*'Investment Calculator'!$F$4,'Investment Calculator'!$C$6,"")</f>
        <v/>
      </c>
      <c r="E3996" s="27" t="str">
        <f>IFERROR((F3995+D3996)*'Investment Calculator'!$C$7/'Investment Calculator'!$F$4,"")</f>
        <v/>
      </c>
      <c r="F3996" s="27" t="str">
        <f>IFERROR(ABS(FV('Investment Calculator'!$C$7/'Investment Calculator'!$F$4,'SIP Schedule'!C3996,'SIP Schedule'!D3996,,1)),"")</f>
        <v/>
      </c>
    </row>
    <row r="3997" spans="3:6" x14ac:dyDescent="0.3">
      <c r="C3997" s="1" t="str">
        <f>IF(C3996&lt;'Investment Calculator'!$C$8*'Investment Calculator'!$F$4,'SIP Schedule'!C3996+1,"")</f>
        <v/>
      </c>
      <c r="D3997" s="27" t="str">
        <f>IF(C3997&lt;='Investment Calculator'!$C$8*'Investment Calculator'!$F$4,'Investment Calculator'!$C$6,"")</f>
        <v/>
      </c>
      <c r="E3997" s="27" t="str">
        <f>IFERROR((F3996+D3997)*'Investment Calculator'!$C$7/'Investment Calculator'!$F$4,"")</f>
        <v/>
      </c>
      <c r="F3997" s="27" t="str">
        <f>IFERROR(ABS(FV('Investment Calculator'!$C$7/'Investment Calculator'!$F$4,'SIP Schedule'!C3997,'SIP Schedule'!D3997,,1)),"")</f>
        <v/>
      </c>
    </row>
    <row r="3998" spans="3:6" x14ac:dyDescent="0.3">
      <c r="C3998" s="1" t="str">
        <f>IF(C3997&lt;'Investment Calculator'!$C$8*'Investment Calculator'!$F$4,'SIP Schedule'!C3997+1,"")</f>
        <v/>
      </c>
      <c r="D3998" s="27" t="str">
        <f>IF(C3998&lt;='Investment Calculator'!$C$8*'Investment Calculator'!$F$4,'Investment Calculator'!$C$6,"")</f>
        <v/>
      </c>
      <c r="E3998" s="27" t="str">
        <f>IFERROR((F3997+D3998)*'Investment Calculator'!$C$7/'Investment Calculator'!$F$4,"")</f>
        <v/>
      </c>
      <c r="F3998" s="27" t="str">
        <f>IFERROR(ABS(FV('Investment Calculator'!$C$7/'Investment Calculator'!$F$4,'SIP Schedule'!C3998,'SIP Schedule'!D3998,,1)),"")</f>
        <v/>
      </c>
    </row>
    <row r="3999" spans="3:6" x14ac:dyDescent="0.3">
      <c r="C3999" s="1" t="str">
        <f>IF(C3998&lt;'Investment Calculator'!$C$8*'Investment Calculator'!$F$4,'SIP Schedule'!C3998+1,"")</f>
        <v/>
      </c>
      <c r="D3999" s="27" t="str">
        <f>IF(C3999&lt;='Investment Calculator'!$C$8*'Investment Calculator'!$F$4,'Investment Calculator'!$C$6,"")</f>
        <v/>
      </c>
      <c r="E3999" s="27" t="str">
        <f>IFERROR((F3998+D3999)*'Investment Calculator'!$C$7/'Investment Calculator'!$F$4,"")</f>
        <v/>
      </c>
      <c r="F3999" s="27" t="str">
        <f>IFERROR(ABS(FV('Investment Calculator'!$C$7/'Investment Calculator'!$F$4,'SIP Schedule'!C3999,'SIP Schedule'!D3999,,1)),"")</f>
        <v/>
      </c>
    </row>
    <row r="4000" spans="3:6" x14ac:dyDescent="0.3">
      <c r="C4000" s="1" t="str">
        <f>IF(C3999&lt;'Investment Calculator'!$C$8*'Investment Calculator'!$F$4,'SIP Schedule'!C3999+1,"")</f>
        <v/>
      </c>
      <c r="D4000" s="27" t="str">
        <f>IF(C4000&lt;='Investment Calculator'!$C$8*'Investment Calculator'!$F$4,'Investment Calculator'!$C$6,"")</f>
        <v/>
      </c>
      <c r="E4000" s="27" t="str">
        <f>IFERROR((F3999+D4000)*'Investment Calculator'!$C$7/'Investment Calculator'!$F$4,"")</f>
        <v/>
      </c>
      <c r="F4000" s="27" t="str">
        <f>IFERROR(ABS(FV('Investment Calculator'!$C$7/'Investment Calculator'!$F$4,'SIP Schedule'!C4000,'SIP Schedule'!D4000,,1)),"")</f>
        <v/>
      </c>
    </row>
    <row r="4001" spans="3:6" x14ac:dyDescent="0.3">
      <c r="C4001" s="1" t="str">
        <f>IF(C4000&lt;'Investment Calculator'!$C$8*'Investment Calculator'!$F$4,'SIP Schedule'!C4000+1,"")</f>
        <v/>
      </c>
      <c r="D4001" s="27" t="str">
        <f>IF(C4001&lt;='Investment Calculator'!$C$8*'Investment Calculator'!$F$4,'Investment Calculator'!$C$6,"")</f>
        <v/>
      </c>
      <c r="E4001" s="27" t="str">
        <f>IFERROR((F4000+D4001)*'Investment Calculator'!$C$7/'Investment Calculator'!$F$4,"")</f>
        <v/>
      </c>
      <c r="F4001" s="27" t="str">
        <f>IFERROR(ABS(FV('Investment Calculator'!$C$7/'Investment Calculator'!$F$4,'SIP Schedule'!C4001,'SIP Schedule'!D4001,,1)),"")</f>
        <v/>
      </c>
    </row>
    <row r="4002" spans="3:6" x14ac:dyDescent="0.3">
      <c r="C4002" s="1" t="str">
        <f>IF(C4001&lt;'Investment Calculator'!$C$8*'Investment Calculator'!$F$4,'SIP Schedule'!C4001+1,"")</f>
        <v/>
      </c>
      <c r="D4002" s="27" t="str">
        <f>IF(C4002&lt;='Investment Calculator'!$C$8*'Investment Calculator'!$F$4,'Investment Calculator'!$C$6,"")</f>
        <v/>
      </c>
      <c r="E4002" s="27" t="str">
        <f>IFERROR((F4001+D4002)*'Investment Calculator'!$C$7/'Investment Calculator'!$F$4,"")</f>
        <v/>
      </c>
      <c r="F4002" s="27" t="str">
        <f>IFERROR(ABS(FV('Investment Calculator'!$C$7/'Investment Calculator'!$F$4,'SIP Schedule'!C4002,'SIP Schedule'!D4002,,1)),"")</f>
        <v/>
      </c>
    </row>
    <row r="4003" spans="3:6" x14ac:dyDescent="0.3">
      <c r="C4003" s="1" t="str">
        <f>IF(C4002&lt;'Investment Calculator'!$C$8*'Investment Calculator'!$F$4,'SIP Schedule'!C4002+1,"")</f>
        <v/>
      </c>
      <c r="D4003" s="27" t="str">
        <f>IF(C4003&lt;='Investment Calculator'!$C$8*'Investment Calculator'!$F$4,'Investment Calculator'!$C$6,"")</f>
        <v/>
      </c>
      <c r="E4003" s="27" t="str">
        <f>IFERROR((F4002+D4003)*'Investment Calculator'!$C$7/'Investment Calculator'!$F$4,"")</f>
        <v/>
      </c>
      <c r="F4003" s="27" t="str">
        <f>IFERROR(ABS(FV('Investment Calculator'!$C$7/'Investment Calculator'!$F$4,'SIP Schedule'!C4003,'SIP Schedule'!D4003,,1)),"")</f>
        <v/>
      </c>
    </row>
    <row r="4004" spans="3:6" x14ac:dyDescent="0.3">
      <c r="C4004" s="1" t="str">
        <f>IF(C4003&lt;'Investment Calculator'!$C$8*'Investment Calculator'!$F$4,'SIP Schedule'!C4003+1,"")</f>
        <v/>
      </c>
      <c r="D4004" s="27" t="str">
        <f>IF(C4004&lt;='Investment Calculator'!$C$8*'Investment Calculator'!$F$4,'Investment Calculator'!$C$6,"")</f>
        <v/>
      </c>
      <c r="E4004" s="27" t="str">
        <f>IFERROR((F4003+D4004)*'Investment Calculator'!$C$7/'Investment Calculator'!$F$4,"")</f>
        <v/>
      </c>
      <c r="F4004" s="27" t="str">
        <f>IFERROR(ABS(FV('Investment Calculator'!$C$7/'Investment Calculator'!$F$4,'SIP Schedule'!C4004,'SIP Schedule'!D4004,,1)),"")</f>
        <v/>
      </c>
    </row>
    <row r="4005" spans="3:6" x14ac:dyDescent="0.3">
      <c r="C4005" s="1" t="str">
        <f>IF(C4004&lt;'Investment Calculator'!$C$8*'Investment Calculator'!$F$4,'SIP Schedule'!C4004+1,"")</f>
        <v/>
      </c>
      <c r="D4005" s="27" t="str">
        <f>IF(C4005&lt;='Investment Calculator'!$C$8*'Investment Calculator'!$F$4,'Investment Calculator'!$C$6,"")</f>
        <v/>
      </c>
      <c r="E4005" s="27" t="str">
        <f>IFERROR((F4004+D4005)*'Investment Calculator'!$C$7/'Investment Calculator'!$F$4,"")</f>
        <v/>
      </c>
      <c r="F4005" s="27" t="str">
        <f>IFERROR(ABS(FV('Investment Calculator'!$C$7/'Investment Calculator'!$F$4,'SIP Schedule'!C4005,'SIP Schedule'!D4005,,1)),"")</f>
        <v/>
      </c>
    </row>
    <row r="4006" spans="3:6" x14ac:dyDescent="0.3">
      <c r="C4006" s="1" t="str">
        <f>IF(C4005&lt;'Investment Calculator'!$C$8*'Investment Calculator'!$F$4,'SIP Schedule'!C4005+1,"")</f>
        <v/>
      </c>
      <c r="D4006" s="27" t="str">
        <f>IF(C4006&lt;='Investment Calculator'!$C$8*'Investment Calculator'!$F$4,'Investment Calculator'!$C$6,"")</f>
        <v/>
      </c>
      <c r="E4006" s="27" t="str">
        <f>IFERROR((F4005+D4006)*'Investment Calculator'!$C$7/'Investment Calculator'!$F$4,"")</f>
        <v/>
      </c>
      <c r="F4006" s="27" t="str">
        <f>IFERROR(ABS(FV('Investment Calculator'!$C$7/'Investment Calculator'!$F$4,'SIP Schedule'!C4006,'SIP Schedule'!D4006,,1)),"")</f>
        <v/>
      </c>
    </row>
    <row r="4007" spans="3:6" x14ac:dyDescent="0.3">
      <c r="C4007" s="1" t="str">
        <f>IF(C4006&lt;'Investment Calculator'!$C$8*'Investment Calculator'!$F$4,'SIP Schedule'!C4006+1,"")</f>
        <v/>
      </c>
      <c r="D4007" s="27" t="str">
        <f>IF(C4007&lt;='Investment Calculator'!$C$8*'Investment Calculator'!$F$4,'Investment Calculator'!$C$6,"")</f>
        <v/>
      </c>
      <c r="E4007" s="27" t="str">
        <f>IFERROR((F4006+D4007)*'Investment Calculator'!$C$7/'Investment Calculator'!$F$4,"")</f>
        <v/>
      </c>
      <c r="F4007" s="27" t="str">
        <f>IFERROR(ABS(FV('Investment Calculator'!$C$7/'Investment Calculator'!$F$4,'SIP Schedule'!C4007,'SIP Schedule'!D4007,,1)),"")</f>
        <v/>
      </c>
    </row>
    <row r="4008" spans="3:6" x14ac:dyDescent="0.3">
      <c r="C4008" s="1" t="str">
        <f>IF(C4007&lt;'Investment Calculator'!$C$8*'Investment Calculator'!$F$4,'SIP Schedule'!C4007+1,"")</f>
        <v/>
      </c>
      <c r="D4008" s="27" t="str">
        <f>IF(C4008&lt;='Investment Calculator'!$C$8*'Investment Calculator'!$F$4,'Investment Calculator'!$C$6,"")</f>
        <v/>
      </c>
      <c r="E4008" s="27" t="str">
        <f>IFERROR((F4007+D4008)*'Investment Calculator'!$C$7/'Investment Calculator'!$F$4,"")</f>
        <v/>
      </c>
      <c r="F4008" s="27" t="str">
        <f>IFERROR(ABS(FV('Investment Calculator'!$C$7/'Investment Calculator'!$F$4,'SIP Schedule'!C4008,'SIP Schedule'!D4008,,1)),"")</f>
        <v/>
      </c>
    </row>
    <row r="4009" spans="3:6" x14ac:dyDescent="0.3">
      <c r="C4009" s="1" t="str">
        <f>IF(C4008&lt;'Investment Calculator'!$C$8*'Investment Calculator'!$F$4,'SIP Schedule'!C4008+1,"")</f>
        <v/>
      </c>
      <c r="D4009" s="27" t="str">
        <f>IF(C4009&lt;='Investment Calculator'!$C$8*'Investment Calculator'!$F$4,'Investment Calculator'!$C$6,"")</f>
        <v/>
      </c>
      <c r="E4009" s="27" t="str">
        <f>IFERROR((F4008+D4009)*'Investment Calculator'!$C$7/'Investment Calculator'!$F$4,"")</f>
        <v/>
      </c>
      <c r="F4009" s="27" t="str">
        <f>IFERROR(ABS(FV('Investment Calculator'!$C$7/'Investment Calculator'!$F$4,'SIP Schedule'!C4009,'SIP Schedule'!D4009,,1)),"")</f>
        <v/>
      </c>
    </row>
    <row r="4010" spans="3:6" x14ac:dyDescent="0.3">
      <c r="C4010" s="1" t="str">
        <f>IF(C4009&lt;'Investment Calculator'!$C$8*'Investment Calculator'!$F$4,'SIP Schedule'!C4009+1,"")</f>
        <v/>
      </c>
      <c r="D4010" s="27" t="str">
        <f>IF(C4010&lt;='Investment Calculator'!$C$8*'Investment Calculator'!$F$4,'Investment Calculator'!$C$6,"")</f>
        <v/>
      </c>
      <c r="E4010" s="27" t="str">
        <f>IFERROR((F4009+D4010)*'Investment Calculator'!$C$7/'Investment Calculator'!$F$4,"")</f>
        <v/>
      </c>
      <c r="F4010" s="27" t="str">
        <f>IFERROR(ABS(FV('Investment Calculator'!$C$7/'Investment Calculator'!$F$4,'SIP Schedule'!C4010,'SIP Schedule'!D4010,,1)),"")</f>
        <v/>
      </c>
    </row>
    <row r="4011" spans="3:6" x14ac:dyDescent="0.3">
      <c r="C4011" s="1" t="str">
        <f>IF(C4010&lt;'Investment Calculator'!$C$8*'Investment Calculator'!$F$4,'SIP Schedule'!C4010+1,"")</f>
        <v/>
      </c>
      <c r="D4011" s="27" t="str">
        <f>IF(C4011&lt;='Investment Calculator'!$C$8*'Investment Calculator'!$F$4,'Investment Calculator'!$C$6,"")</f>
        <v/>
      </c>
      <c r="E4011" s="27" t="str">
        <f>IFERROR((F4010+D4011)*'Investment Calculator'!$C$7/'Investment Calculator'!$F$4,"")</f>
        <v/>
      </c>
      <c r="F4011" s="27" t="str">
        <f>IFERROR(ABS(FV('Investment Calculator'!$C$7/'Investment Calculator'!$F$4,'SIP Schedule'!C4011,'SIP Schedule'!D4011,,1)),"")</f>
        <v/>
      </c>
    </row>
    <row r="4012" spans="3:6" x14ac:dyDescent="0.3">
      <c r="C4012" s="1" t="str">
        <f>IF(C4011&lt;'Investment Calculator'!$C$8*'Investment Calculator'!$F$4,'SIP Schedule'!C4011+1,"")</f>
        <v/>
      </c>
      <c r="D4012" s="27" t="str">
        <f>IF(C4012&lt;='Investment Calculator'!$C$8*'Investment Calculator'!$F$4,'Investment Calculator'!$C$6,"")</f>
        <v/>
      </c>
      <c r="E4012" s="27" t="str">
        <f>IFERROR((F4011+D4012)*'Investment Calculator'!$C$7/'Investment Calculator'!$F$4,"")</f>
        <v/>
      </c>
      <c r="F4012" s="27" t="str">
        <f>IFERROR(ABS(FV('Investment Calculator'!$C$7/'Investment Calculator'!$F$4,'SIP Schedule'!C4012,'SIP Schedule'!D4012,,1)),"")</f>
        <v/>
      </c>
    </row>
    <row r="4013" spans="3:6" x14ac:dyDescent="0.3">
      <c r="C4013" s="1" t="str">
        <f>IF(C4012&lt;'Investment Calculator'!$C$8*'Investment Calculator'!$F$4,'SIP Schedule'!C4012+1,"")</f>
        <v/>
      </c>
      <c r="D4013" s="27" t="str">
        <f>IF(C4013&lt;='Investment Calculator'!$C$8*'Investment Calculator'!$F$4,'Investment Calculator'!$C$6,"")</f>
        <v/>
      </c>
      <c r="E4013" s="27" t="str">
        <f>IFERROR((F4012+D4013)*'Investment Calculator'!$C$7/'Investment Calculator'!$F$4,"")</f>
        <v/>
      </c>
      <c r="F4013" s="27" t="str">
        <f>IFERROR(ABS(FV('Investment Calculator'!$C$7/'Investment Calculator'!$F$4,'SIP Schedule'!C4013,'SIP Schedule'!D4013,,1)),"")</f>
        <v/>
      </c>
    </row>
    <row r="4014" spans="3:6" x14ac:dyDescent="0.3">
      <c r="C4014" s="1" t="str">
        <f>IF(C4013&lt;'Investment Calculator'!$C$8*'Investment Calculator'!$F$4,'SIP Schedule'!C4013+1,"")</f>
        <v/>
      </c>
      <c r="D4014" s="27" t="str">
        <f>IF(C4014&lt;='Investment Calculator'!$C$8*'Investment Calculator'!$F$4,'Investment Calculator'!$C$6,"")</f>
        <v/>
      </c>
      <c r="E4014" s="27" t="str">
        <f>IFERROR((F4013+D4014)*'Investment Calculator'!$C$7/'Investment Calculator'!$F$4,"")</f>
        <v/>
      </c>
      <c r="F4014" s="27" t="str">
        <f>IFERROR(ABS(FV('Investment Calculator'!$C$7/'Investment Calculator'!$F$4,'SIP Schedule'!C4014,'SIP Schedule'!D4014,,1)),"")</f>
        <v/>
      </c>
    </row>
    <row r="4015" spans="3:6" x14ac:dyDescent="0.3">
      <c r="C4015" s="1" t="str">
        <f>IF(C4014&lt;'Investment Calculator'!$C$8*'Investment Calculator'!$F$4,'SIP Schedule'!C4014+1,"")</f>
        <v/>
      </c>
      <c r="D4015" s="27" t="str">
        <f>IF(C4015&lt;='Investment Calculator'!$C$8*'Investment Calculator'!$F$4,'Investment Calculator'!$C$6,"")</f>
        <v/>
      </c>
      <c r="E4015" s="27" t="str">
        <f>IFERROR((F4014+D4015)*'Investment Calculator'!$C$7/'Investment Calculator'!$F$4,"")</f>
        <v/>
      </c>
      <c r="F4015" s="27" t="str">
        <f>IFERROR(ABS(FV('Investment Calculator'!$C$7/'Investment Calculator'!$F$4,'SIP Schedule'!C4015,'SIP Schedule'!D4015,,1)),"")</f>
        <v/>
      </c>
    </row>
    <row r="4016" spans="3:6" x14ac:dyDescent="0.3">
      <c r="C4016" s="1" t="str">
        <f>IF(C4015&lt;'Investment Calculator'!$C$8*'Investment Calculator'!$F$4,'SIP Schedule'!C4015+1,"")</f>
        <v/>
      </c>
      <c r="D4016" s="27" t="str">
        <f>IF(C4016&lt;='Investment Calculator'!$C$8*'Investment Calculator'!$F$4,'Investment Calculator'!$C$6,"")</f>
        <v/>
      </c>
      <c r="E4016" s="27" t="str">
        <f>IFERROR((F4015+D4016)*'Investment Calculator'!$C$7/'Investment Calculator'!$F$4,"")</f>
        <v/>
      </c>
      <c r="F4016" s="27" t="str">
        <f>IFERROR(ABS(FV('Investment Calculator'!$C$7/'Investment Calculator'!$F$4,'SIP Schedule'!C4016,'SIP Schedule'!D4016,,1)),"")</f>
        <v/>
      </c>
    </row>
    <row r="4017" spans="3:6" x14ac:dyDescent="0.3">
      <c r="C4017" s="1" t="str">
        <f>IF(C4016&lt;'Investment Calculator'!$C$8*'Investment Calculator'!$F$4,'SIP Schedule'!C4016+1,"")</f>
        <v/>
      </c>
      <c r="D4017" s="27" t="str">
        <f>IF(C4017&lt;='Investment Calculator'!$C$8*'Investment Calculator'!$F$4,'Investment Calculator'!$C$6,"")</f>
        <v/>
      </c>
      <c r="E4017" s="27" t="str">
        <f>IFERROR((F4016+D4017)*'Investment Calculator'!$C$7/'Investment Calculator'!$F$4,"")</f>
        <v/>
      </c>
      <c r="F4017" s="27" t="str">
        <f>IFERROR(ABS(FV('Investment Calculator'!$C$7/'Investment Calculator'!$F$4,'SIP Schedule'!C4017,'SIP Schedule'!D4017,,1)),"")</f>
        <v/>
      </c>
    </row>
    <row r="4018" spans="3:6" x14ac:dyDescent="0.3">
      <c r="C4018" s="1" t="str">
        <f>IF(C4017&lt;'Investment Calculator'!$C$8*'Investment Calculator'!$F$4,'SIP Schedule'!C4017+1,"")</f>
        <v/>
      </c>
      <c r="D4018" s="27" t="str">
        <f>IF(C4018&lt;='Investment Calculator'!$C$8*'Investment Calculator'!$F$4,'Investment Calculator'!$C$6,"")</f>
        <v/>
      </c>
      <c r="E4018" s="27" t="str">
        <f>IFERROR((F4017+D4018)*'Investment Calculator'!$C$7/'Investment Calculator'!$F$4,"")</f>
        <v/>
      </c>
      <c r="F4018" s="27" t="str">
        <f>IFERROR(ABS(FV('Investment Calculator'!$C$7/'Investment Calculator'!$F$4,'SIP Schedule'!C4018,'SIP Schedule'!D4018,,1)),"")</f>
        <v/>
      </c>
    </row>
    <row r="4019" spans="3:6" x14ac:dyDescent="0.3">
      <c r="C4019" s="1" t="str">
        <f>IF(C4018&lt;'Investment Calculator'!$C$8*'Investment Calculator'!$F$4,'SIP Schedule'!C4018+1,"")</f>
        <v/>
      </c>
      <c r="D4019" s="27" t="str">
        <f>IF(C4019&lt;='Investment Calculator'!$C$8*'Investment Calculator'!$F$4,'Investment Calculator'!$C$6,"")</f>
        <v/>
      </c>
      <c r="E4019" s="27" t="str">
        <f>IFERROR((F4018+D4019)*'Investment Calculator'!$C$7/'Investment Calculator'!$F$4,"")</f>
        <v/>
      </c>
      <c r="F4019" s="27" t="str">
        <f>IFERROR(ABS(FV('Investment Calculator'!$C$7/'Investment Calculator'!$F$4,'SIP Schedule'!C4019,'SIP Schedule'!D4019,,1)),"")</f>
        <v/>
      </c>
    </row>
    <row r="4020" spans="3:6" x14ac:dyDescent="0.3">
      <c r="C4020" s="1" t="str">
        <f>IF(C4019&lt;'Investment Calculator'!$C$8*'Investment Calculator'!$F$4,'SIP Schedule'!C4019+1,"")</f>
        <v/>
      </c>
      <c r="D4020" s="27" t="str">
        <f>IF(C4020&lt;='Investment Calculator'!$C$8*'Investment Calculator'!$F$4,'Investment Calculator'!$C$6,"")</f>
        <v/>
      </c>
      <c r="E4020" s="27" t="str">
        <f>IFERROR((F4019+D4020)*'Investment Calculator'!$C$7/'Investment Calculator'!$F$4,"")</f>
        <v/>
      </c>
      <c r="F4020" s="27" t="str">
        <f>IFERROR(ABS(FV('Investment Calculator'!$C$7/'Investment Calculator'!$F$4,'SIP Schedule'!C4020,'SIP Schedule'!D4020,,1)),"")</f>
        <v/>
      </c>
    </row>
    <row r="4021" spans="3:6" x14ac:dyDescent="0.3">
      <c r="C4021" s="1" t="str">
        <f>IF(C4020&lt;'Investment Calculator'!$C$8*'Investment Calculator'!$F$4,'SIP Schedule'!C4020+1,"")</f>
        <v/>
      </c>
      <c r="D4021" s="27" t="str">
        <f>IF(C4021&lt;='Investment Calculator'!$C$8*'Investment Calculator'!$F$4,'Investment Calculator'!$C$6,"")</f>
        <v/>
      </c>
      <c r="E4021" s="27" t="str">
        <f>IFERROR((F4020+D4021)*'Investment Calculator'!$C$7/'Investment Calculator'!$F$4,"")</f>
        <v/>
      </c>
      <c r="F4021" s="27" t="str">
        <f>IFERROR(ABS(FV('Investment Calculator'!$C$7/'Investment Calculator'!$F$4,'SIP Schedule'!C4021,'SIP Schedule'!D4021,,1)),"")</f>
        <v/>
      </c>
    </row>
    <row r="4022" spans="3:6" x14ac:dyDescent="0.3">
      <c r="C4022" s="1" t="str">
        <f>IF(C4021&lt;'Investment Calculator'!$C$8*'Investment Calculator'!$F$4,'SIP Schedule'!C4021+1,"")</f>
        <v/>
      </c>
      <c r="D4022" s="27" t="str">
        <f>IF(C4022&lt;='Investment Calculator'!$C$8*'Investment Calculator'!$F$4,'Investment Calculator'!$C$6,"")</f>
        <v/>
      </c>
      <c r="E4022" s="27" t="str">
        <f>IFERROR((F4021+D4022)*'Investment Calculator'!$C$7/'Investment Calculator'!$F$4,"")</f>
        <v/>
      </c>
      <c r="F4022" s="27" t="str">
        <f>IFERROR(ABS(FV('Investment Calculator'!$C$7/'Investment Calculator'!$F$4,'SIP Schedule'!C4022,'SIP Schedule'!D4022,,1)),"")</f>
        <v/>
      </c>
    </row>
    <row r="4023" spans="3:6" x14ac:dyDescent="0.3">
      <c r="C4023" s="1" t="str">
        <f>IF(C4022&lt;'Investment Calculator'!$C$8*'Investment Calculator'!$F$4,'SIP Schedule'!C4022+1,"")</f>
        <v/>
      </c>
      <c r="D4023" s="27" t="str">
        <f>IF(C4023&lt;='Investment Calculator'!$C$8*'Investment Calculator'!$F$4,'Investment Calculator'!$C$6,"")</f>
        <v/>
      </c>
      <c r="E4023" s="27" t="str">
        <f>IFERROR((F4022+D4023)*'Investment Calculator'!$C$7/'Investment Calculator'!$F$4,"")</f>
        <v/>
      </c>
      <c r="F4023" s="27" t="str">
        <f>IFERROR(ABS(FV('Investment Calculator'!$C$7/'Investment Calculator'!$F$4,'SIP Schedule'!C4023,'SIP Schedule'!D4023,,1)),"")</f>
        <v/>
      </c>
    </row>
    <row r="4024" spans="3:6" x14ac:dyDescent="0.3">
      <c r="C4024" s="1" t="str">
        <f>IF(C4023&lt;'Investment Calculator'!$C$8*'Investment Calculator'!$F$4,'SIP Schedule'!C4023+1,"")</f>
        <v/>
      </c>
      <c r="D4024" s="27" t="str">
        <f>IF(C4024&lt;='Investment Calculator'!$C$8*'Investment Calculator'!$F$4,'Investment Calculator'!$C$6,"")</f>
        <v/>
      </c>
      <c r="E4024" s="27" t="str">
        <f>IFERROR((F4023+D4024)*'Investment Calculator'!$C$7/'Investment Calculator'!$F$4,"")</f>
        <v/>
      </c>
      <c r="F4024" s="27" t="str">
        <f>IFERROR(ABS(FV('Investment Calculator'!$C$7/'Investment Calculator'!$F$4,'SIP Schedule'!C4024,'SIP Schedule'!D4024,,1)),"")</f>
        <v/>
      </c>
    </row>
    <row r="4025" spans="3:6" x14ac:dyDescent="0.3">
      <c r="C4025" s="1" t="str">
        <f>IF(C4024&lt;'Investment Calculator'!$C$8*'Investment Calculator'!$F$4,'SIP Schedule'!C4024+1,"")</f>
        <v/>
      </c>
      <c r="D4025" s="27" t="str">
        <f>IF(C4025&lt;='Investment Calculator'!$C$8*'Investment Calculator'!$F$4,'Investment Calculator'!$C$6,"")</f>
        <v/>
      </c>
      <c r="E4025" s="27" t="str">
        <f>IFERROR((F4024+D4025)*'Investment Calculator'!$C$7/'Investment Calculator'!$F$4,"")</f>
        <v/>
      </c>
      <c r="F4025" s="27" t="str">
        <f>IFERROR(ABS(FV('Investment Calculator'!$C$7/'Investment Calculator'!$F$4,'SIP Schedule'!C4025,'SIP Schedule'!D4025,,1)),"")</f>
        <v/>
      </c>
    </row>
    <row r="4026" spans="3:6" x14ac:dyDescent="0.3">
      <c r="C4026" s="1" t="str">
        <f>IF(C4025&lt;'Investment Calculator'!$C$8*'Investment Calculator'!$F$4,'SIP Schedule'!C4025+1,"")</f>
        <v/>
      </c>
      <c r="D4026" s="27" t="str">
        <f>IF(C4026&lt;='Investment Calculator'!$C$8*'Investment Calculator'!$F$4,'Investment Calculator'!$C$6,"")</f>
        <v/>
      </c>
      <c r="E4026" s="27" t="str">
        <f>IFERROR((F4025+D4026)*'Investment Calculator'!$C$7/'Investment Calculator'!$F$4,"")</f>
        <v/>
      </c>
      <c r="F4026" s="27" t="str">
        <f>IFERROR(ABS(FV('Investment Calculator'!$C$7/'Investment Calculator'!$F$4,'SIP Schedule'!C4026,'SIP Schedule'!D4026,,1)),"")</f>
        <v/>
      </c>
    </row>
    <row r="4027" spans="3:6" x14ac:dyDescent="0.3">
      <c r="C4027" s="1" t="str">
        <f>IF(C4026&lt;'Investment Calculator'!$C$8*'Investment Calculator'!$F$4,'SIP Schedule'!C4026+1,"")</f>
        <v/>
      </c>
      <c r="D4027" s="27" t="str">
        <f>IF(C4027&lt;='Investment Calculator'!$C$8*'Investment Calculator'!$F$4,'Investment Calculator'!$C$6,"")</f>
        <v/>
      </c>
      <c r="E4027" s="27" t="str">
        <f>IFERROR((F4026+D4027)*'Investment Calculator'!$C$7/'Investment Calculator'!$F$4,"")</f>
        <v/>
      </c>
      <c r="F4027" s="27" t="str">
        <f>IFERROR(ABS(FV('Investment Calculator'!$C$7/'Investment Calculator'!$F$4,'SIP Schedule'!C4027,'SIP Schedule'!D4027,,1)),"")</f>
        <v/>
      </c>
    </row>
    <row r="4028" spans="3:6" x14ac:dyDescent="0.3">
      <c r="C4028" s="1" t="str">
        <f>IF(C4027&lt;'Investment Calculator'!$C$8*'Investment Calculator'!$F$4,'SIP Schedule'!C4027+1,"")</f>
        <v/>
      </c>
      <c r="D4028" s="27" t="str">
        <f>IF(C4028&lt;='Investment Calculator'!$C$8*'Investment Calculator'!$F$4,'Investment Calculator'!$C$6,"")</f>
        <v/>
      </c>
      <c r="E4028" s="27" t="str">
        <f>IFERROR((F4027+D4028)*'Investment Calculator'!$C$7/'Investment Calculator'!$F$4,"")</f>
        <v/>
      </c>
      <c r="F4028" s="27" t="str">
        <f>IFERROR(ABS(FV('Investment Calculator'!$C$7/'Investment Calculator'!$F$4,'SIP Schedule'!C4028,'SIP Schedule'!D4028,,1)),"")</f>
        <v/>
      </c>
    </row>
    <row r="4029" spans="3:6" x14ac:dyDescent="0.3">
      <c r="C4029" s="1" t="str">
        <f>IF(C4028&lt;'Investment Calculator'!$C$8*'Investment Calculator'!$F$4,'SIP Schedule'!C4028+1,"")</f>
        <v/>
      </c>
      <c r="D4029" s="27" t="str">
        <f>IF(C4029&lt;='Investment Calculator'!$C$8*'Investment Calculator'!$F$4,'Investment Calculator'!$C$6,"")</f>
        <v/>
      </c>
      <c r="E4029" s="27" t="str">
        <f>IFERROR((F4028+D4029)*'Investment Calculator'!$C$7/'Investment Calculator'!$F$4,"")</f>
        <v/>
      </c>
      <c r="F4029" s="27" t="str">
        <f>IFERROR(ABS(FV('Investment Calculator'!$C$7/'Investment Calculator'!$F$4,'SIP Schedule'!C4029,'SIP Schedule'!D4029,,1)),"")</f>
        <v/>
      </c>
    </row>
    <row r="4030" spans="3:6" x14ac:dyDescent="0.3">
      <c r="C4030" s="1" t="str">
        <f>IF(C4029&lt;'Investment Calculator'!$C$8*'Investment Calculator'!$F$4,'SIP Schedule'!C4029+1,"")</f>
        <v/>
      </c>
      <c r="D4030" s="27" t="str">
        <f>IF(C4030&lt;='Investment Calculator'!$C$8*'Investment Calculator'!$F$4,'Investment Calculator'!$C$6,"")</f>
        <v/>
      </c>
      <c r="E4030" s="27" t="str">
        <f>IFERROR((F4029+D4030)*'Investment Calculator'!$C$7/'Investment Calculator'!$F$4,"")</f>
        <v/>
      </c>
      <c r="F4030" s="27" t="str">
        <f>IFERROR(ABS(FV('Investment Calculator'!$C$7/'Investment Calculator'!$F$4,'SIP Schedule'!C4030,'SIP Schedule'!D4030,,1)),"")</f>
        <v/>
      </c>
    </row>
    <row r="4031" spans="3:6" x14ac:dyDescent="0.3">
      <c r="C4031" s="1" t="str">
        <f>IF(C4030&lt;'Investment Calculator'!$C$8*'Investment Calculator'!$F$4,'SIP Schedule'!C4030+1,"")</f>
        <v/>
      </c>
      <c r="D4031" s="27" t="str">
        <f>IF(C4031&lt;='Investment Calculator'!$C$8*'Investment Calculator'!$F$4,'Investment Calculator'!$C$6,"")</f>
        <v/>
      </c>
      <c r="E4031" s="27" t="str">
        <f>IFERROR((F4030+D4031)*'Investment Calculator'!$C$7/'Investment Calculator'!$F$4,"")</f>
        <v/>
      </c>
      <c r="F4031" s="27" t="str">
        <f>IFERROR(ABS(FV('Investment Calculator'!$C$7/'Investment Calculator'!$F$4,'SIP Schedule'!C4031,'SIP Schedule'!D4031,,1)),"")</f>
        <v/>
      </c>
    </row>
    <row r="4032" spans="3:6" x14ac:dyDescent="0.3">
      <c r="C4032" s="1" t="str">
        <f>IF(C4031&lt;'Investment Calculator'!$C$8*'Investment Calculator'!$F$4,'SIP Schedule'!C4031+1,"")</f>
        <v/>
      </c>
      <c r="D4032" s="27" t="str">
        <f>IF(C4032&lt;='Investment Calculator'!$C$8*'Investment Calculator'!$F$4,'Investment Calculator'!$C$6,"")</f>
        <v/>
      </c>
      <c r="E4032" s="27" t="str">
        <f>IFERROR((F4031+D4032)*'Investment Calculator'!$C$7/'Investment Calculator'!$F$4,"")</f>
        <v/>
      </c>
      <c r="F4032" s="27" t="str">
        <f>IFERROR(ABS(FV('Investment Calculator'!$C$7/'Investment Calculator'!$F$4,'SIP Schedule'!C4032,'SIP Schedule'!D4032,,1)),"")</f>
        <v/>
      </c>
    </row>
    <row r="4033" spans="3:6" x14ac:dyDescent="0.3">
      <c r="C4033" s="1" t="str">
        <f>IF(C4032&lt;'Investment Calculator'!$C$8*'Investment Calculator'!$F$4,'SIP Schedule'!C4032+1,"")</f>
        <v/>
      </c>
      <c r="D4033" s="27" t="str">
        <f>IF(C4033&lt;='Investment Calculator'!$C$8*'Investment Calculator'!$F$4,'Investment Calculator'!$C$6,"")</f>
        <v/>
      </c>
      <c r="E4033" s="27" t="str">
        <f>IFERROR((F4032+D4033)*'Investment Calculator'!$C$7/'Investment Calculator'!$F$4,"")</f>
        <v/>
      </c>
      <c r="F4033" s="27" t="str">
        <f>IFERROR(ABS(FV('Investment Calculator'!$C$7/'Investment Calculator'!$F$4,'SIP Schedule'!C4033,'SIP Schedule'!D4033,,1)),"")</f>
        <v/>
      </c>
    </row>
    <row r="4034" spans="3:6" x14ac:dyDescent="0.3">
      <c r="C4034" s="1" t="str">
        <f>IF(C4033&lt;'Investment Calculator'!$C$8*'Investment Calculator'!$F$4,'SIP Schedule'!C4033+1,"")</f>
        <v/>
      </c>
      <c r="D4034" s="27" t="str">
        <f>IF(C4034&lt;='Investment Calculator'!$C$8*'Investment Calculator'!$F$4,'Investment Calculator'!$C$6,"")</f>
        <v/>
      </c>
      <c r="E4034" s="27" t="str">
        <f>IFERROR((F4033+D4034)*'Investment Calculator'!$C$7/'Investment Calculator'!$F$4,"")</f>
        <v/>
      </c>
      <c r="F4034" s="27" t="str">
        <f>IFERROR(ABS(FV('Investment Calculator'!$C$7/'Investment Calculator'!$F$4,'SIP Schedule'!C4034,'SIP Schedule'!D4034,,1)),"")</f>
        <v/>
      </c>
    </row>
    <row r="4035" spans="3:6" x14ac:dyDescent="0.3">
      <c r="C4035" s="1" t="str">
        <f>IF(C4034&lt;'Investment Calculator'!$C$8*'Investment Calculator'!$F$4,'SIP Schedule'!C4034+1,"")</f>
        <v/>
      </c>
      <c r="D4035" s="27" t="str">
        <f>IF(C4035&lt;='Investment Calculator'!$C$8*'Investment Calculator'!$F$4,'Investment Calculator'!$C$6,"")</f>
        <v/>
      </c>
      <c r="E4035" s="27" t="str">
        <f>IFERROR((F4034+D4035)*'Investment Calculator'!$C$7/'Investment Calculator'!$F$4,"")</f>
        <v/>
      </c>
      <c r="F4035" s="27" t="str">
        <f>IFERROR(ABS(FV('Investment Calculator'!$C$7/'Investment Calculator'!$F$4,'SIP Schedule'!C4035,'SIP Schedule'!D4035,,1)),"")</f>
        <v/>
      </c>
    </row>
    <row r="4036" spans="3:6" x14ac:dyDescent="0.3">
      <c r="C4036" s="1" t="str">
        <f>IF(C4035&lt;'Investment Calculator'!$C$8*'Investment Calculator'!$F$4,'SIP Schedule'!C4035+1,"")</f>
        <v/>
      </c>
      <c r="D4036" s="27" t="str">
        <f>IF(C4036&lt;='Investment Calculator'!$C$8*'Investment Calculator'!$F$4,'Investment Calculator'!$C$6,"")</f>
        <v/>
      </c>
      <c r="E4036" s="27" t="str">
        <f>IFERROR((F4035+D4036)*'Investment Calculator'!$C$7/'Investment Calculator'!$F$4,"")</f>
        <v/>
      </c>
      <c r="F4036" s="27" t="str">
        <f>IFERROR(ABS(FV('Investment Calculator'!$C$7/'Investment Calculator'!$F$4,'SIP Schedule'!C4036,'SIP Schedule'!D4036,,1)),"")</f>
        <v/>
      </c>
    </row>
    <row r="4037" spans="3:6" x14ac:dyDescent="0.3">
      <c r="C4037" s="1" t="str">
        <f>IF(C4036&lt;'Investment Calculator'!$C$8*'Investment Calculator'!$F$4,'SIP Schedule'!C4036+1,"")</f>
        <v/>
      </c>
      <c r="D4037" s="27" t="str">
        <f>IF(C4037&lt;='Investment Calculator'!$C$8*'Investment Calculator'!$F$4,'Investment Calculator'!$C$6,"")</f>
        <v/>
      </c>
      <c r="E4037" s="27" t="str">
        <f>IFERROR((F4036+D4037)*'Investment Calculator'!$C$7/'Investment Calculator'!$F$4,"")</f>
        <v/>
      </c>
      <c r="F4037" s="27" t="str">
        <f>IFERROR(ABS(FV('Investment Calculator'!$C$7/'Investment Calculator'!$F$4,'SIP Schedule'!C4037,'SIP Schedule'!D4037,,1)),"")</f>
        <v/>
      </c>
    </row>
    <row r="4038" spans="3:6" x14ac:dyDescent="0.3">
      <c r="C4038" s="1" t="str">
        <f>IF(C4037&lt;'Investment Calculator'!$C$8*'Investment Calculator'!$F$4,'SIP Schedule'!C4037+1,"")</f>
        <v/>
      </c>
      <c r="D4038" s="27" t="str">
        <f>IF(C4038&lt;='Investment Calculator'!$C$8*'Investment Calculator'!$F$4,'Investment Calculator'!$C$6,"")</f>
        <v/>
      </c>
      <c r="E4038" s="27" t="str">
        <f>IFERROR((F4037+D4038)*'Investment Calculator'!$C$7/'Investment Calculator'!$F$4,"")</f>
        <v/>
      </c>
      <c r="F4038" s="27" t="str">
        <f>IFERROR(ABS(FV('Investment Calculator'!$C$7/'Investment Calculator'!$F$4,'SIP Schedule'!C4038,'SIP Schedule'!D4038,,1)),"")</f>
        <v/>
      </c>
    </row>
    <row r="4039" spans="3:6" x14ac:dyDescent="0.3">
      <c r="C4039" s="1" t="str">
        <f>IF(C4038&lt;'Investment Calculator'!$C$8*'Investment Calculator'!$F$4,'SIP Schedule'!C4038+1,"")</f>
        <v/>
      </c>
      <c r="D4039" s="27" t="str">
        <f>IF(C4039&lt;='Investment Calculator'!$C$8*'Investment Calculator'!$F$4,'Investment Calculator'!$C$6,"")</f>
        <v/>
      </c>
      <c r="E4039" s="27" t="str">
        <f>IFERROR((F4038+D4039)*'Investment Calculator'!$C$7/'Investment Calculator'!$F$4,"")</f>
        <v/>
      </c>
      <c r="F4039" s="27" t="str">
        <f>IFERROR(ABS(FV('Investment Calculator'!$C$7/'Investment Calculator'!$F$4,'SIP Schedule'!C4039,'SIP Schedule'!D4039,,1)),"")</f>
        <v/>
      </c>
    </row>
    <row r="4040" spans="3:6" x14ac:dyDescent="0.3">
      <c r="C4040" s="1" t="str">
        <f>IF(C4039&lt;'Investment Calculator'!$C$8*'Investment Calculator'!$F$4,'SIP Schedule'!C4039+1,"")</f>
        <v/>
      </c>
      <c r="D4040" s="27" t="str">
        <f>IF(C4040&lt;='Investment Calculator'!$C$8*'Investment Calculator'!$F$4,'Investment Calculator'!$C$6,"")</f>
        <v/>
      </c>
      <c r="E4040" s="27" t="str">
        <f>IFERROR((F4039+D4040)*'Investment Calculator'!$C$7/'Investment Calculator'!$F$4,"")</f>
        <v/>
      </c>
      <c r="F4040" s="27" t="str">
        <f>IFERROR(ABS(FV('Investment Calculator'!$C$7/'Investment Calculator'!$F$4,'SIP Schedule'!C4040,'SIP Schedule'!D4040,,1)),"")</f>
        <v/>
      </c>
    </row>
    <row r="4041" spans="3:6" x14ac:dyDescent="0.3">
      <c r="C4041" s="1" t="str">
        <f>IF(C4040&lt;'Investment Calculator'!$C$8*'Investment Calculator'!$F$4,'SIP Schedule'!C4040+1,"")</f>
        <v/>
      </c>
      <c r="D4041" s="27" t="str">
        <f>IF(C4041&lt;='Investment Calculator'!$C$8*'Investment Calculator'!$F$4,'Investment Calculator'!$C$6,"")</f>
        <v/>
      </c>
      <c r="E4041" s="27" t="str">
        <f>IFERROR((F4040+D4041)*'Investment Calculator'!$C$7/'Investment Calculator'!$F$4,"")</f>
        <v/>
      </c>
      <c r="F4041" s="27" t="str">
        <f>IFERROR(ABS(FV('Investment Calculator'!$C$7/'Investment Calculator'!$F$4,'SIP Schedule'!C4041,'SIP Schedule'!D4041,,1)),"")</f>
        <v/>
      </c>
    </row>
    <row r="4042" spans="3:6" x14ac:dyDescent="0.3">
      <c r="C4042" s="1" t="str">
        <f>IF(C4041&lt;'Investment Calculator'!$C$8*'Investment Calculator'!$F$4,'SIP Schedule'!C4041+1,"")</f>
        <v/>
      </c>
      <c r="D4042" s="27" t="str">
        <f>IF(C4042&lt;='Investment Calculator'!$C$8*'Investment Calculator'!$F$4,'Investment Calculator'!$C$6,"")</f>
        <v/>
      </c>
      <c r="E4042" s="27" t="str">
        <f>IFERROR((F4041+D4042)*'Investment Calculator'!$C$7/'Investment Calculator'!$F$4,"")</f>
        <v/>
      </c>
      <c r="F4042" s="27" t="str">
        <f>IFERROR(ABS(FV('Investment Calculator'!$C$7/'Investment Calculator'!$F$4,'SIP Schedule'!C4042,'SIP Schedule'!D4042,,1)),"")</f>
        <v/>
      </c>
    </row>
    <row r="4043" spans="3:6" x14ac:dyDescent="0.3">
      <c r="C4043" s="1" t="str">
        <f>IF(C4042&lt;'Investment Calculator'!$C$8*'Investment Calculator'!$F$4,'SIP Schedule'!C4042+1,"")</f>
        <v/>
      </c>
      <c r="D4043" s="27" t="str">
        <f>IF(C4043&lt;='Investment Calculator'!$C$8*'Investment Calculator'!$F$4,'Investment Calculator'!$C$6,"")</f>
        <v/>
      </c>
      <c r="E4043" s="27" t="str">
        <f>IFERROR((F4042+D4043)*'Investment Calculator'!$C$7/'Investment Calculator'!$F$4,"")</f>
        <v/>
      </c>
      <c r="F4043" s="27" t="str">
        <f>IFERROR(ABS(FV('Investment Calculator'!$C$7/'Investment Calculator'!$F$4,'SIP Schedule'!C4043,'SIP Schedule'!D4043,,1)),"")</f>
        <v/>
      </c>
    </row>
    <row r="4044" spans="3:6" x14ac:dyDescent="0.3">
      <c r="C4044" s="1" t="str">
        <f>IF(C4043&lt;'Investment Calculator'!$C$8*'Investment Calculator'!$F$4,'SIP Schedule'!C4043+1,"")</f>
        <v/>
      </c>
      <c r="D4044" s="27" t="str">
        <f>IF(C4044&lt;='Investment Calculator'!$C$8*'Investment Calculator'!$F$4,'Investment Calculator'!$C$6,"")</f>
        <v/>
      </c>
      <c r="E4044" s="27" t="str">
        <f>IFERROR((F4043+D4044)*'Investment Calculator'!$C$7/'Investment Calculator'!$F$4,"")</f>
        <v/>
      </c>
      <c r="F4044" s="27" t="str">
        <f>IFERROR(ABS(FV('Investment Calculator'!$C$7/'Investment Calculator'!$F$4,'SIP Schedule'!C4044,'SIP Schedule'!D4044,,1)),"")</f>
        <v/>
      </c>
    </row>
    <row r="4045" spans="3:6" x14ac:dyDescent="0.3">
      <c r="C4045" s="1" t="str">
        <f>IF(C4044&lt;'Investment Calculator'!$C$8*'Investment Calculator'!$F$4,'SIP Schedule'!C4044+1,"")</f>
        <v/>
      </c>
      <c r="D4045" s="27" t="str">
        <f>IF(C4045&lt;='Investment Calculator'!$C$8*'Investment Calculator'!$F$4,'Investment Calculator'!$C$6,"")</f>
        <v/>
      </c>
      <c r="E4045" s="27" t="str">
        <f>IFERROR((F4044+D4045)*'Investment Calculator'!$C$7/'Investment Calculator'!$F$4,"")</f>
        <v/>
      </c>
      <c r="F4045" s="27" t="str">
        <f>IFERROR(ABS(FV('Investment Calculator'!$C$7/'Investment Calculator'!$F$4,'SIP Schedule'!C4045,'SIP Schedule'!D4045,,1)),"")</f>
        <v/>
      </c>
    </row>
    <row r="4046" spans="3:6" x14ac:dyDescent="0.3">
      <c r="C4046" s="1" t="str">
        <f>IF(C4045&lt;'Investment Calculator'!$C$8*'Investment Calculator'!$F$4,'SIP Schedule'!C4045+1,"")</f>
        <v/>
      </c>
      <c r="D4046" s="27" t="str">
        <f>IF(C4046&lt;='Investment Calculator'!$C$8*'Investment Calculator'!$F$4,'Investment Calculator'!$C$6,"")</f>
        <v/>
      </c>
      <c r="E4046" s="27" t="str">
        <f>IFERROR((F4045+D4046)*'Investment Calculator'!$C$7/'Investment Calculator'!$F$4,"")</f>
        <v/>
      </c>
      <c r="F4046" s="27" t="str">
        <f>IFERROR(ABS(FV('Investment Calculator'!$C$7/'Investment Calculator'!$F$4,'SIP Schedule'!C4046,'SIP Schedule'!D4046,,1)),"")</f>
        <v/>
      </c>
    </row>
    <row r="4047" spans="3:6" x14ac:dyDescent="0.3">
      <c r="C4047" s="1" t="str">
        <f>IF(C4046&lt;'Investment Calculator'!$C$8*'Investment Calculator'!$F$4,'SIP Schedule'!C4046+1,"")</f>
        <v/>
      </c>
      <c r="D4047" s="27" t="str">
        <f>IF(C4047&lt;='Investment Calculator'!$C$8*'Investment Calculator'!$F$4,'Investment Calculator'!$C$6,"")</f>
        <v/>
      </c>
      <c r="E4047" s="27" t="str">
        <f>IFERROR((F4046+D4047)*'Investment Calculator'!$C$7/'Investment Calculator'!$F$4,"")</f>
        <v/>
      </c>
      <c r="F4047" s="27" t="str">
        <f>IFERROR(ABS(FV('Investment Calculator'!$C$7/'Investment Calculator'!$F$4,'SIP Schedule'!C4047,'SIP Schedule'!D4047,,1)),"")</f>
        <v/>
      </c>
    </row>
    <row r="4048" spans="3:6" x14ac:dyDescent="0.3">
      <c r="C4048" s="1" t="str">
        <f>IF(C4047&lt;'Investment Calculator'!$C$8*'Investment Calculator'!$F$4,'SIP Schedule'!C4047+1,"")</f>
        <v/>
      </c>
      <c r="D4048" s="27" t="str">
        <f>IF(C4048&lt;='Investment Calculator'!$C$8*'Investment Calculator'!$F$4,'Investment Calculator'!$C$6,"")</f>
        <v/>
      </c>
      <c r="E4048" s="27" t="str">
        <f>IFERROR((F4047+D4048)*'Investment Calculator'!$C$7/'Investment Calculator'!$F$4,"")</f>
        <v/>
      </c>
      <c r="F4048" s="27" t="str">
        <f>IFERROR(ABS(FV('Investment Calculator'!$C$7/'Investment Calculator'!$F$4,'SIP Schedule'!C4048,'SIP Schedule'!D4048,,1)),"")</f>
        <v/>
      </c>
    </row>
    <row r="4049" spans="3:6" x14ac:dyDescent="0.3">
      <c r="C4049" s="1" t="str">
        <f>IF(C4048&lt;'Investment Calculator'!$C$8*'Investment Calculator'!$F$4,'SIP Schedule'!C4048+1,"")</f>
        <v/>
      </c>
      <c r="D4049" s="27" t="str">
        <f>IF(C4049&lt;='Investment Calculator'!$C$8*'Investment Calculator'!$F$4,'Investment Calculator'!$C$6,"")</f>
        <v/>
      </c>
      <c r="E4049" s="27" t="str">
        <f>IFERROR((F4048+D4049)*'Investment Calculator'!$C$7/'Investment Calculator'!$F$4,"")</f>
        <v/>
      </c>
      <c r="F4049" s="27" t="str">
        <f>IFERROR(ABS(FV('Investment Calculator'!$C$7/'Investment Calculator'!$F$4,'SIP Schedule'!C4049,'SIP Schedule'!D4049,,1)),"")</f>
        <v/>
      </c>
    </row>
    <row r="4050" spans="3:6" x14ac:dyDescent="0.3">
      <c r="C4050" s="1" t="str">
        <f>IF(C4049&lt;'Investment Calculator'!$C$8*'Investment Calculator'!$F$4,'SIP Schedule'!C4049+1,"")</f>
        <v/>
      </c>
      <c r="D4050" s="27" t="str">
        <f>IF(C4050&lt;='Investment Calculator'!$C$8*'Investment Calculator'!$F$4,'Investment Calculator'!$C$6,"")</f>
        <v/>
      </c>
      <c r="E4050" s="27" t="str">
        <f>IFERROR((F4049+D4050)*'Investment Calculator'!$C$7/'Investment Calculator'!$F$4,"")</f>
        <v/>
      </c>
      <c r="F4050" s="27" t="str">
        <f>IFERROR(ABS(FV('Investment Calculator'!$C$7/'Investment Calculator'!$F$4,'SIP Schedule'!C4050,'SIP Schedule'!D4050,,1)),"")</f>
        <v/>
      </c>
    </row>
    <row r="4051" spans="3:6" x14ac:dyDescent="0.3">
      <c r="C4051" s="1" t="str">
        <f>IF(C4050&lt;'Investment Calculator'!$C$8*'Investment Calculator'!$F$4,'SIP Schedule'!C4050+1,"")</f>
        <v/>
      </c>
      <c r="D4051" s="27" t="str">
        <f>IF(C4051&lt;='Investment Calculator'!$C$8*'Investment Calculator'!$F$4,'Investment Calculator'!$C$6,"")</f>
        <v/>
      </c>
      <c r="E4051" s="27" t="str">
        <f>IFERROR((F4050+D4051)*'Investment Calculator'!$C$7/'Investment Calculator'!$F$4,"")</f>
        <v/>
      </c>
      <c r="F4051" s="27" t="str">
        <f>IFERROR(ABS(FV('Investment Calculator'!$C$7/'Investment Calculator'!$F$4,'SIP Schedule'!C4051,'SIP Schedule'!D4051,,1)),"")</f>
        <v/>
      </c>
    </row>
    <row r="4052" spans="3:6" x14ac:dyDescent="0.3">
      <c r="C4052" s="1" t="str">
        <f>IF(C4051&lt;'Investment Calculator'!$C$8*'Investment Calculator'!$F$4,'SIP Schedule'!C4051+1,"")</f>
        <v/>
      </c>
      <c r="D4052" s="27" t="str">
        <f>IF(C4052&lt;='Investment Calculator'!$C$8*'Investment Calculator'!$F$4,'Investment Calculator'!$C$6,"")</f>
        <v/>
      </c>
      <c r="E4052" s="27" t="str">
        <f>IFERROR((F4051+D4052)*'Investment Calculator'!$C$7/'Investment Calculator'!$F$4,"")</f>
        <v/>
      </c>
      <c r="F4052" s="27" t="str">
        <f>IFERROR(ABS(FV('Investment Calculator'!$C$7/'Investment Calculator'!$F$4,'SIP Schedule'!C4052,'SIP Schedule'!D4052,,1)),"")</f>
        <v/>
      </c>
    </row>
    <row r="4053" spans="3:6" x14ac:dyDescent="0.3">
      <c r="C4053" s="1" t="str">
        <f>IF(C4052&lt;'Investment Calculator'!$C$8*'Investment Calculator'!$F$4,'SIP Schedule'!C4052+1,"")</f>
        <v/>
      </c>
      <c r="D4053" s="27" t="str">
        <f>IF(C4053&lt;='Investment Calculator'!$C$8*'Investment Calculator'!$F$4,'Investment Calculator'!$C$6,"")</f>
        <v/>
      </c>
      <c r="E4053" s="27" t="str">
        <f>IFERROR((F4052+D4053)*'Investment Calculator'!$C$7/'Investment Calculator'!$F$4,"")</f>
        <v/>
      </c>
      <c r="F4053" s="27" t="str">
        <f>IFERROR(ABS(FV('Investment Calculator'!$C$7/'Investment Calculator'!$F$4,'SIP Schedule'!C4053,'SIP Schedule'!D4053,,1)),"")</f>
        <v/>
      </c>
    </row>
    <row r="4054" spans="3:6" x14ac:dyDescent="0.3">
      <c r="C4054" s="1" t="str">
        <f>IF(C4053&lt;'Investment Calculator'!$C$8*'Investment Calculator'!$F$4,'SIP Schedule'!C4053+1,"")</f>
        <v/>
      </c>
      <c r="D4054" s="27" t="str">
        <f>IF(C4054&lt;='Investment Calculator'!$C$8*'Investment Calculator'!$F$4,'Investment Calculator'!$C$6,"")</f>
        <v/>
      </c>
      <c r="E4054" s="27" t="str">
        <f>IFERROR((F4053+D4054)*'Investment Calculator'!$C$7/'Investment Calculator'!$F$4,"")</f>
        <v/>
      </c>
      <c r="F4054" s="27" t="str">
        <f>IFERROR(ABS(FV('Investment Calculator'!$C$7/'Investment Calculator'!$F$4,'SIP Schedule'!C4054,'SIP Schedule'!D4054,,1)),"")</f>
        <v/>
      </c>
    </row>
    <row r="4055" spans="3:6" x14ac:dyDescent="0.3">
      <c r="C4055" s="1" t="str">
        <f>IF(C4054&lt;'Investment Calculator'!$C$8*'Investment Calculator'!$F$4,'SIP Schedule'!C4054+1,"")</f>
        <v/>
      </c>
      <c r="D4055" s="27" t="str">
        <f>IF(C4055&lt;='Investment Calculator'!$C$8*'Investment Calculator'!$F$4,'Investment Calculator'!$C$6,"")</f>
        <v/>
      </c>
      <c r="E4055" s="27" t="str">
        <f>IFERROR((F4054+D4055)*'Investment Calculator'!$C$7/'Investment Calculator'!$F$4,"")</f>
        <v/>
      </c>
      <c r="F4055" s="27" t="str">
        <f>IFERROR(ABS(FV('Investment Calculator'!$C$7/'Investment Calculator'!$F$4,'SIP Schedule'!C4055,'SIP Schedule'!D4055,,1)),"")</f>
        <v/>
      </c>
    </row>
    <row r="4056" spans="3:6" x14ac:dyDescent="0.3">
      <c r="C4056" s="1" t="str">
        <f>IF(C4055&lt;'Investment Calculator'!$C$8*'Investment Calculator'!$F$4,'SIP Schedule'!C4055+1,"")</f>
        <v/>
      </c>
      <c r="D4056" s="27" t="str">
        <f>IF(C4056&lt;='Investment Calculator'!$C$8*'Investment Calculator'!$F$4,'Investment Calculator'!$C$6,"")</f>
        <v/>
      </c>
      <c r="E4056" s="27" t="str">
        <f>IFERROR((F4055+D4056)*'Investment Calculator'!$C$7/'Investment Calculator'!$F$4,"")</f>
        <v/>
      </c>
      <c r="F4056" s="27" t="str">
        <f>IFERROR(ABS(FV('Investment Calculator'!$C$7/'Investment Calculator'!$F$4,'SIP Schedule'!C4056,'SIP Schedule'!D4056,,1)),"")</f>
        <v/>
      </c>
    </row>
    <row r="4057" spans="3:6" x14ac:dyDescent="0.3">
      <c r="C4057" s="1" t="str">
        <f>IF(C4056&lt;'Investment Calculator'!$C$8*'Investment Calculator'!$F$4,'SIP Schedule'!C4056+1,"")</f>
        <v/>
      </c>
      <c r="D4057" s="27" t="str">
        <f>IF(C4057&lt;='Investment Calculator'!$C$8*'Investment Calculator'!$F$4,'Investment Calculator'!$C$6,"")</f>
        <v/>
      </c>
      <c r="E4057" s="27" t="str">
        <f>IFERROR((F4056+D4057)*'Investment Calculator'!$C$7/'Investment Calculator'!$F$4,"")</f>
        <v/>
      </c>
      <c r="F4057" s="27" t="str">
        <f>IFERROR(ABS(FV('Investment Calculator'!$C$7/'Investment Calculator'!$F$4,'SIP Schedule'!C4057,'SIP Schedule'!D4057,,1)),"")</f>
        <v/>
      </c>
    </row>
    <row r="4058" spans="3:6" x14ac:dyDescent="0.3">
      <c r="C4058" s="1" t="str">
        <f>IF(C4057&lt;'Investment Calculator'!$C$8*'Investment Calculator'!$F$4,'SIP Schedule'!C4057+1,"")</f>
        <v/>
      </c>
      <c r="D4058" s="27" t="str">
        <f>IF(C4058&lt;='Investment Calculator'!$C$8*'Investment Calculator'!$F$4,'Investment Calculator'!$C$6,"")</f>
        <v/>
      </c>
      <c r="E4058" s="27" t="str">
        <f>IFERROR((F4057+D4058)*'Investment Calculator'!$C$7/'Investment Calculator'!$F$4,"")</f>
        <v/>
      </c>
      <c r="F4058" s="27" t="str">
        <f>IFERROR(ABS(FV('Investment Calculator'!$C$7/'Investment Calculator'!$F$4,'SIP Schedule'!C4058,'SIP Schedule'!D4058,,1)),"")</f>
        <v/>
      </c>
    </row>
    <row r="4059" spans="3:6" x14ac:dyDescent="0.3">
      <c r="C4059" s="1" t="str">
        <f>IF(C4058&lt;'Investment Calculator'!$C$8*'Investment Calculator'!$F$4,'SIP Schedule'!C4058+1,"")</f>
        <v/>
      </c>
      <c r="D4059" s="27" t="str">
        <f>IF(C4059&lt;='Investment Calculator'!$C$8*'Investment Calculator'!$F$4,'Investment Calculator'!$C$6,"")</f>
        <v/>
      </c>
      <c r="E4059" s="27" t="str">
        <f>IFERROR((F4058+D4059)*'Investment Calculator'!$C$7/'Investment Calculator'!$F$4,"")</f>
        <v/>
      </c>
      <c r="F4059" s="27" t="str">
        <f>IFERROR(ABS(FV('Investment Calculator'!$C$7/'Investment Calculator'!$F$4,'SIP Schedule'!C4059,'SIP Schedule'!D4059,,1)),"")</f>
        <v/>
      </c>
    </row>
    <row r="4060" spans="3:6" x14ac:dyDescent="0.3">
      <c r="C4060" s="1" t="str">
        <f>IF(C4059&lt;'Investment Calculator'!$C$8*'Investment Calculator'!$F$4,'SIP Schedule'!C4059+1,"")</f>
        <v/>
      </c>
      <c r="D4060" s="27" t="str">
        <f>IF(C4060&lt;='Investment Calculator'!$C$8*'Investment Calculator'!$F$4,'Investment Calculator'!$C$6,"")</f>
        <v/>
      </c>
      <c r="E4060" s="27" t="str">
        <f>IFERROR((F4059+D4060)*'Investment Calculator'!$C$7/'Investment Calculator'!$F$4,"")</f>
        <v/>
      </c>
      <c r="F4060" s="27" t="str">
        <f>IFERROR(ABS(FV('Investment Calculator'!$C$7/'Investment Calculator'!$F$4,'SIP Schedule'!C4060,'SIP Schedule'!D4060,,1)),"")</f>
        <v/>
      </c>
    </row>
    <row r="4061" spans="3:6" x14ac:dyDescent="0.3">
      <c r="C4061" s="1" t="str">
        <f>IF(C4060&lt;'Investment Calculator'!$C$8*'Investment Calculator'!$F$4,'SIP Schedule'!C4060+1,"")</f>
        <v/>
      </c>
      <c r="D4061" s="27" t="str">
        <f>IF(C4061&lt;='Investment Calculator'!$C$8*'Investment Calculator'!$F$4,'Investment Calculator'!$C$6,"")</f>
        <v/>
      </c>
      <c r="E4061" s="27" t="str">
        <f>IFERROR((F4060+D4061)*'Investment Calculator'!$C$7/'Investment Calculator'!$F$4,"")</f>
        <v/>
      </c>
      <c r="F4061" s="27" t="str">
        <f>IFERROR(ABS(FV('Investment Calculator'!$C$7/'Investment Calculator'!$F$4,'SIP Schedule'!C4061,'SIP Schedule'!D4061,,1)),"")</f>
        <v/>
      </c>
    </row>
    <row r="4062" spans="3:6" x14ac:dyDescent="0.3">
      <c r="C4062" s="1" t="str">
        <f>IF(C4061&lt;'Investment Calculator'!$C$8*'Investment Calculator'!$F$4,'SIP Schedule'!C4061+1,"")</f>
        <v/>
      </c>
      <c r="D4062" s="27" t="str">
        <f>IF(C4062&lt;='Investment Calculator'!$C$8*'Investment Calculator'!$F$4,'Investment Calculator'!$C$6,"")</f>
        <v/>
      </c>
      <c r="E4062" s="27" t="str">
        <f>IFERROR((F4061+D4062)*'Investment Calculator'!$C$7/'Investment Calculator'!$F$4,"")</f>
        <v/>
      </c>
      <c r="F4062" s="27" t="str">
        <f>IFERROR(ABS(FV('Investment Calculator'!$C$7/'Investment Calculator'!$F$4,'SIP Schedule'!C4062,'SIP Schedule'!D4062,,1)),"")</f>
        <v/>
      </c>
    </row>
    <row r="4063" spans="3:6" x14ac:dyDescent="0.3">
      <c r="C4063" s="1" t="str">
        <f>IF(C4062&lt;'Investment Calculator'!$C$8*'Investment Calculator'!$F$4,'SIP Schedule'!C4062+1,"")</f>
        <v/>
      </c>
      <c r="D4063" s="27" t="str">
        <f>IF(C4063&lt;='Investment Calculator'!$C$8*'Investment Calculator'!$F$4,'Investment Calculator'!$C$6,"")</f>
        <v/>
      </c>
      <c r="E4063" s="27" t="str">
        <f>IFERROR((F4062+D4063)*'Investment Calculator'!$C$7/'Investment Calculator'!$F$4,"")</f>
        <v/>
      </c>
      <c r="F4063" s="27" t="str">
        <f>IFERROR(ABS(FV('Investment Calculator'!$C$7/'Investment Calculator'!$F$4,'SIP Schedule'!C4063,'SIP Schedule'!D4063,,1)),"")</f>
        <v/>
      </c>
    </row>
    <row r="4064" spans="3:6" x14ac:dyDescent="0.3">
      <c r="C4064" s="1" t="str">
        <f>IF(C4063&lt;'Investment Calculator'!$C$8*'Investment Calculator'!$F$4,'SIP Schedule'!C4063+1,"")</f>
        <v/>
      </c>
      <c r="D4064" s="27" t="str">
        <f>IF(C4064&lt;='Investment Calculator'!$C$8*'Investment Calculator'!$F$4,'Investment Calculator'!$C$6,"")</f>
        <v/>
      </c>
      <c r="E4064" s="27" t="str">
        <f>IFERROR((F4063+D4064)*'Investment Calculator'!$C$7/'Investment Calculator'!$F$4,"")</f>
        <v/>
      </c>
      <c r="F4064" s="27" t="str">
        <f>IFERROR(ABS(FV('Investment Calculator'!$C$7/'Investment Calculator'!$F$4,'SIP Schedule'!C4064,'SIP Schedule'!D4064,,1)),"")</f>
        <v/>
      </c>
    </row>
    <row r="4065" spans="3:6" x14ac:dyDescent="0.3">
      <c r="C4065" s="1" t="str">
        <f>IF(C4064&lt;'Investment Calculator'!$C$8*'Investment Calculator'!$F$4,'SIP Schedule'!C4064+1,"")</f>
        <v/>
      </c>
      <c r="D4065" s="27" t="str">
        <f>IF(C4065&lt;='Investment Calculator'!$C$8*'Investment Calculator'!$F$4,'Investment Calculator'!$C$6,"")</f>
        <v/>
      </c>
      <c r="E4065" s="27" t="str">
        <f>IFERROR((F4064+D4065)*'Investment Calculator'!$C$7/'Investment Calculator'!$F$4,"")</f>
        <v/>
      </c>
      <c r="F4065" s="27" t="str">
        <f>IFERROR(ABS(FV('Investment Calculator'!$C$7/'Investment Calculator'!$F$4,'SIP Schedule'!C4065,'SIP Schedule'!D4065,,1)),"")</f>
        <v/>
      </c>
    </row>
    <row r="4066" spans="3:6" x14ac:dyDescent="0.3">
      <c r="C4066" s="1" t="str">
        <f>IF(C4065&lt;'Investment Calculator'!$C$8*'Investment Calculator'!$F$4,'SIP Schedule'!C4065+1,"")</f>
        <v/>
      </c>
      <c r="D4066" s="27" t="str">
        <f>IF(C4066&lt;='Investment Calculator'!$C$8*'Investment Calculator'!$F$4,'Investment Calculator'!$C$6,"")</f>
        <v/>
      </c>
      <c r="E4066" s="27" t="str">
        <f>IFERROR((F4065+D4066)*'Investment Calculator'!$C$7/'Investment Calculator'!$F$4,"")</f>
        <v/>
      </c>
      <c r="F4066" s="27" t="str">
        <f>IFERROR(ABS(FV('Investment Calculator'!$C$7/'Investment Calculator'!$F$4,'SIP Schedule'!C4066,'SIP Schedule'!D4066,,1)),"")</f>
        <v/>
      </c>
    </row>
    <row r="4067" spans="3:6" x14ac:dyDescent="0.3">
      <c r="C4067" s="1" t="str">
        <f>IF(C4066&lt;'Investment Calculator'!$C$8*'Investment Calculator'!$F$4,'SIP Schedule'!C4066+1,"")</f>
        <v/>
      </c>
      <c r="D4067" s="27" t="str">
        <f>IF(C4067&lt;='Investment Calculator'!$C$8*'Investment Calculator'!$F$4,'Investment Calculator'!$C$6,"")</f>
        <v/>
      </c>
      <c r="E4067" s="27" t="str">
        <f>IFERROR((F4066+D4067)*'Investment Calculator'!$C$7/'Investment Calculator'!$F$4,"")</f>
        <v/>
      </c>
      <c r="F4067" s="27" t="str">
        <f>IFERROR(ABS(FV('Investment Calculator'!$C$7/'Investment Calculator'!$F$4,'SIP Schedule'!C4067,'SIP Schedule'!D4067,,1)),"")</f>
        <v/>
      </c>
    </row>
    <row r="4068" spans="3:6" x14ac:dyDescent="0.3">
      <c r="C4068" s="1" t="str">
        <f>IF(C4067&lt;'Investment Calculator'!$C$8*'Investment Calculator'!$F$4,'SIP Schedule'!C4067+1,"")</f>
        <v/>
      </c>
      <c r="D4068" s="27" t="str">
        <f>IF(C4068&lt;='Investment Calculator'!$C$8*'Investment Calculator'!$F$4,'Investment Calculator'!$C$6,"")</f>
        <v/>
      </c>
      <c r="E4068" s="27" t="str">
        <f>IFERROR((F4067+D4068)*'Investment Calculator'!$C$7/'Investment Calculator'!$F$4,"")</f>
        <v/>
      </c>
      <c r="F4068" s="27" t="str">
        <f>IFERROR(ABS(FV('Investment Calculator'!$C$7/'Investment Calculator'!$F$4,'SIP Schedule'!C4068,'SIP Schedule'!D4068,,1)),"")</f>
        <v/>
      </c>
    </row>
    <row r="4069" spans="3:6" x14ac:dyDescent="0.3">
      <c r="C4069" s="1" t="str">
        <f>IF(C4068&lt;'Investment Calculator'!$C$8*'Investment Calculator'!$F$4,'SIP Schedule'!C4068+1,"")</f>
        <v/>
      </c>
      <c r="D4069" s="27" t="str">
        <f>IF(C4069&lt;='Investment Calculator'!$C$8*'Investment Calculator'!$F$4,'Investment Calculator'!$C$6,"")</f>
        <v/>
      </c>
      <c r="E4069" s="27" t="str">
        <f>IFERROR((F4068+D4069)*'Investment Calculator'!$C$7/'Investment Calculator'!$F$4,"")</f>
        <v/>
      </c>
      <c r="F4069" s="27" t="str">
        <f>IFERROR(ABS(FV('Investment Calculator'!$C$7/'Investment Calculator'!$F$4,'SIP Schedule'!C4069,'SIP Schedule'!D4069,,1)),"")</f>
        <v/>
      </c>
    </row>
    <row r="4070" spans="3:6" x14ac:dyDescent="0.3">
      <c r="C4070" s="1" t="str">
        <f>IF(C4069&lt;'Investment Calculator'!$C$8*'Investment Calculator'!$F$4,'SIP Schedule'!C4069+1,"")</f>
        <v/>
      </c>
      <c r="D4070" s="27" t="str">
        <f>IF(C4070&lt;='Investment Calculator'!$C$8*'Investment Calculator'!$F$4,'Investment Calculator'!$C$6,"")</f>
        <v/>
      </c>
      <c r="E4070" s="27" t="str">
        <f>IFERROR((F4069+D4070)*'Investment Calculator'!$C$7/'Investment Calculator'!$F$4,"")</f>
        <v/>
      </c>
      <c r="F4070" s="27" t="str">
        <f>IFERROR(ABS(FV('Investment Calculator'!$C$7/'Investment Calculator'!$F$4,'SIP Schedule'!C4070,'SIP Schedule'!D4070,,1)),"")</f>
        <v/>
      </c>
    </row>
    <row r="4071" spans="3:6" x14ac:dyDescent="0.3">
      <c r="C4071" s="1" t="str">
        <f>IF(C4070&lt;'Investment Calculator'!$C$8*'Investment Calculator'!$F$4,'SIP Schedule'!C4070+1,"")</f>
        <v/>
      </c>
      <c r="D4071" s="27" t="str">
        <f>IF(C4071&lt;='Investment Calculator'!$C$8*'Investment Calculator'!$F$4,'Investment Calculator'!$C$6,"")</f>
        <v/>
      </c>
      <c r="E4071" s="27" t="str">
        <f>IFERROR((F4070+D4071)*'Investment Calculator'!$C$7/'Investment Calculator'!$F$4,"")</f>
        <v/>
      </c>
      <c r="F4071" s="27" t="str">
        <f>IFERROR(ABS(FV('Investment Calculator'!$C$7/'Investment Calculator'!$F$4,'SIP Schedule'!C4071,'SIP Schedule'!D4071,,1)),"")</f>
        <v/>
      </c>
    </row>
    <row r="4072" spans="3:6" x14ac:dyDescent="0.3">
      <c r="C4072" s="1" t="str">
        <f>IF(C4071&lt;'Investment Calculator'!$C$8*'Investment Calculator'!$F$4,'SIP Schedule'!C4071+1,"")</f>
        <v/>
      </c>
      <c r="D4072" s="27" t="str">
        <f>IF(C4072&lt;='Investment Calculator'!$C$8*'Investment Calculator'!$F$4,'Investment Calculator'!$C$6,"")</f>
        <v/>
      </c>
      <c r="E4072" s="27" t="str">
        <f>IFERROR((F4071+D4072)*'Investment Calculator'!$C$7/'Investment Calculator'!$F$4,"")</f>
        <v/>
      </c>
      <c r="F4072" s="27" t="str">
        <f>IFERROR(ABS(FV('Investment Calculator'!$C$7/'Investment Calculator'!$F$4,'SIP Schedule'!C4072,'SIP Schedule'!D4072,,1)),"")</f>
        <v/>
      </c>
    </row>
    <row r="4073" spans="3:6" x14ac:dyDescent="0.3">
      <c r="C4073" s="1" t="str">
        <f>IF(C4072&lt;'Investment Calculator'!$C$8*'Investment Calculator'!$F$4,'SIP Schedule'!C4072+1,"")</f>
        <v/>
      </c>
      <c r="D4073" s="27" t="str">
        <f>IF(C4073&lt;='Investment Calculator'!$C$8*'Investment Calculator'!$F$4,'Investment Calculator'!$C$6,"")</f>
        <v/>
      </c>
      <c r="E4073" s="27" t="str">
        <f>IFERROR((F4072+D4073)*'Investment Calculator'!$C$7/'Investment Calculator'!$F$4,"")</f>
        <v/>
      </c>
      <c r="F4073" s="27" t="str">
        <f>IFERROR(ABS(FV('Investment Calculator'!$C$7/'Investment Calculator'!$F$4,'SIP Schedule'!C4073,'SIP Schedule'!D4073,,1)),"")</f>
        <v/>
      </c>
    </row>
    <row r="4074" spans="3:6" x14ac:dyDescent="0.3">
      <c r="C4074" s="1" t="str">
        <f>IF(C4073&lt;'Investment Calculator'!$C$8*'Investment Calculator'!$F$4,'SIP Schedule'!C4073+1,"")</f>
        <v/>
      </c>
      <c r="D4074" s="27" t="str">
        <f>IF(C4074&lt;='Investment Calculator'!$C$8*'Investment Calculator'!$F$4,'Investment Calculator'!$C$6,"")</f>
        <v/>
      </c>
      <c r="E4074" s="27" t="str">
        <f>IFERROR((F4073+D4074)*'Investment Calculator'!$C$7/'Investment Calculator'!$F$4,"")</f>
        <v/>
      </c>
      <c r="F4074" s="27" t="str">
        <f>IFERROR(ABS(FV('Investment Calculator'!$C$7/'Investment Calculator'!$F$4,'SIP Schedule'!C4074,'SIP Schedule'!D4074,,1)),"")</f>
        <v/>
      </c>
    </row>
    <row r="4075" spans="3:6" x14ac:dyDescent="0.3">
      <c r="C4075" s="1" t="str">
        <f>IF(C4074&lt;'Investment Calculator'!$C$8*'Investment Calculator'!$F$4,'SIP Schedule'!C4074+1,"")</f>
        <v/>
      </c>
      <c r="D4075" s="27" t="str">
        <f>IF(C4075&lt;='Investment Calculator'!$C$8*'Investment Calculator'!$F$4,'Investment Calculator'!$C$6,"")</f>
        <v/>
      </c>
      <c r="E4075" s="27" t="str">
        <f>IFERROR((F4074+D4075)*'Investment Calculator'!$C$7/'Investment Calculator'!$F$4,"")</f>
        <v/>
      </c>
      <c r="F4075" s="27" t="str">
        <f>IFERROR(ABS(FV('Investment Calculator'!$C$7/'Investment Calculator'!$F$4,'SIP Schedule'!C4075,'SIP Schedule'!D4075,,1)),"")</f>
        <v/>
      </c>
    </row>
    <row r="4076" spans="3:6" x14ac:dyDescent="0.3">
      <c r="C4076" s="1" t="str">
        <f>IF(C4075&lt;'Investment Calculator'!$C$8*'Investment Calculator'!$F$4,'SIP Schedule'!C4075+1,"")</f>
        <v/>
      </c>
      <c r="D4076" s="27" t="str">
        <f>IF(C4076&lt;='Investment Calculator'!$C$8*'Investment Calculator'!$F$4,'Investment Calculator'!$C$6,"")</f>
        <v/>
      </c>
      <c r="E4076" s="27" t="str">
        <f>IFERROR((F4075+D4076)*'Investment Calculator'!$C$7/'Investment Calculator'!$F$4,"")</f>
        <v/>
      </c>
      <c r="F4076" s="27" t="str">
        <f>IFERROR(ABS(FV('Investment Calculator'!$C$7/'Investment Calculator'!$F$4,'SIP Schedule'!C4076,'SIP Schedule'!D4076,,1)),"")</f>
        <v/>
      </c>
    </row>
    <row r="4077" spans="3:6" x14ac:dyDescent="0.3">
      <c r="C4077" s="1" t="str">
        <f>IF(C4076&lt;'Investment Calculator'!$C$8*'Investment Calculator'!$F$4,'SIP Schedule'!C4076+1,"")</f>
        <v/>
      </c>
      <c r="D4077" s="27" t="str">
        <f>IF(C4077&lt;='Investment Calculator'!$C$8*'Investment Calculator'!$F$4,'Investment Calculator'!$C$6,"")</f>
        <v/>
      </c>
      <c r="E4077" s="27" t="str">
        <f>IFERROR((F4076+D4077)*'Investment Calculator'!$C$7/'Investment Calculator'!$F$4,"")</f>
        <v/>
      </c>
      <c r="F4077" s="27" t="str">
        <f>IFERROR(ABS(FV('Investment Calculator'!$C$7/'Investment Calculator'!$F$4,'SIP Schedule'!C4077,'SIP Schedule'!D4077,,1)),"")</f>
        <v/>
      </c>
    </row>
    <row r="4078" spans="3:6" x14ac:dyDescent="0.3">
      <c r="C4078" s="1" t="str">
        <f>IF(C4077&lt;'Investment Calculator'!$C$8*'Investment Calculator'!$F$4,'SIP Schedule'!C4077+1,"")</f>
        <v/>
      </c>
      <c r="D4078" s="27" t="str">
        <f>IF(C4078&lt;='Investment Calculator'!$C$8*'Investment Calculator'!$F$4,'Investment Calculator'!$C$6,"")</f>
        <v/>
      </c>
      <c r="E4078" s="27" t="str">
        <f>IFERROR((F4077+D4078)*'Investment Calculator'!$C$7/'Investment Calculator'!$F$4,"")</f>
        <v/>
      </c>
      <c r="F4078" s="27" t="str">
        <f>IFERROR(ABS(FV('Investment Calculator'!$C$7/'Investment Calculator'!$F$4,'SIP Schedule'!C4078,'SIP Schedule'!D4078,,1)),"")</f>
        <v/>
      </c>
    </row>
    <row r="4079" spans="3:6" x14ac:dyDescent="0.3">
      <c r="C4079" s="1" t="str">
        <f>IF(C4078&lt;'Investment Calculator'!$C$8*'Investment Calculator'!$F$4,'SIP Schedule'!C4078+1,"")</f>
        <v/>
      </c>
      <c r="D4079" s="27" t="str">
        <f>IF(C4079&lt;='Investment Calculator'!$C$8*'Investment Calculator'!$F$4,'Investment Calculator'!$C$6,"")</f>
        <v/>
      </c>
      <c r="E4079" s="27" t="str">
        <f>IFERROR((F4078+D4079)*'Investment Calculator'!$C$7/'Investment Calculator'!$F$4,"")</f>
        <v/>
      </c>
      <c r="F4079" s="27" t="str">
        <f>IFERROR(ABS(FV('Investment Calculator'!$C$7/'Investment Calculator'!$F$4,'SIP Schedule'!C4079,'SIP Schedule'!D4079,,1)),"")</f>
        <v/>
      </c>
    </row>
    <row r="4080" spans="3:6" x14ac:dyDescent="0.3">
      <c r="C4080" s="1" t="str">
        <f>IF(C4079&lt;'Investment Calculator'!$C$8*'Investment Calculator'!$F$4,'SIP Schedule'!C4079+1,"")</f>
        <v/>
      </c>
      <c r="D4080" s="27" t="str">
        <f>IF(C4080&lt;='Investment Calculator'!$C$8*'Investment Calculator'!$F$4,'Investment Calculator'!$C$6,"")</f>
        <v/>
      </c>
      <c r="E4080" s="27" t="str">
        <f>IFERROR((F4079+D4080)*'Investment Calculator'!$C$7/'Investment Calculator'!$F$4,"")</f>
        <v/>
      </c>
      <c r="F4080" s="27" t="str">
        <f>IFERROR(ABS(FV('Investment Calculator'!$C$7/'Investment Calculator'!$F$4,'SIP Schedule'!C4080,'SIP Schedule'!D4080,,1)),"")</f>
        <v/>
      </c>
    </row>
    <row r="4081" spans="3:6" x14ac:dyDescent="0.3">
      <c r="C4081" s="1" t="str">
        <f>IF(C4080&lt;'Investment Calculator'!$C$8*'Investment Calculator'!$F$4,'SIP Schedule'!C4080+1,"")</f>
        <v/>
      </c>
      <c r="D4081" s="27" t="str">
        <f>IF(C4081&lt;='Investment Calculator'!$C$8*'Investment Calculator'!$F$4,'Investment Calculator'!$C$6,"")</f>
        <v/>
      </c>
      <c r="E4081" s="27" t="str">
        <f>IFERROR((F4080+D4081)*'Investment Calculator'!$C$7/'Investment Calculator'!$F$4,"")</f>
        <v/>
      </c>
      <c r="F4081" s="27" t="str">
        <f>IFERROR(ABS(FV('Investment Calculator'!$C$7/'Investment Calculator'!$F$4,'SIP Schedule'!C4081,'SIP Schedule'!D4081,,1)),"")</f>
        <v/>
      </c>
    </row>
    <row r="4082" spans="3:6" x14ac:dyDescent="0.3">
      <c r="C4082" s="1" t="str">
        <f>IF(C4081&lt;'Investment Calculator'!$C$8*'Investment Calculator'!$F$4,'SIP Schedule'!C4081+1,"")</f>
        <v/>
      </c>
      <c r="D4082" s="27" t="str">
        <f>IF(C4082&lt;='Investment Calculator'!$C$8*'Investment Calculator'!$F$4,'Investment Calculator'!$C$6,"")</f>
        <v/>
      </c>
      <c r="E4082" s="27" t="str">
        <f>IFERROR((F4081+D4082)*'Investment Calculator'!$C$7/'Investment Calculator'!$F$4,"")</f>
        <v/>
      </c>
      <c r="F4082" s="27" t="str">
        <f>IFERROR(ABS(FV('Investment Calculator'!$C$7/'Investment Calculator'!$F$4,'SIP Schedule'!C4082,'SIP Schedule'!D4082,,1)),"")</f>
        <v/>
      </c>
    </row>
    <row r="4083" spans="3:6" x14ac:dyDescent="0.3">
      <c r="C4083" s="1" t="str">
        <f>IF(C4082&lt;'Investment Calculator'!$C$8*'Investment Calculator'!$F$4,'SIP Schedule'!C4082+1,"")</f>
        <v/>
      </c>
      <c r="D4083" s="27" t="str">
        <f>IF(C4083&lt;='Investment Calculator'!$C$8*'Investment Calculator'!$F$4,'Investment Calculator'!$C$6,"")</f>
        <v/>
      </c>
      <c r="E4083" s="27" t="str">
        <f>IFERROR((F4082+D4083)*'Investment Calculator'!$C$7/'Investment Calculator'!$F$4,"")</f>
        <v/>
      </c>
      <c r="F4083" s="27" t="str">
        <f>IFERROR(ABS(FV('Investment Calculator'!$C$7/'Investment Calculator'!$F$4,'SIP Schedule'!C4083,'SIP Schedule'!D4083,,1)),"")</f>
        <v/>
      </c>
    </row>
    <row r="4084" spans="3:6" x14ac:dyDescent="0.3">
      <c r="C4084" s="1" t="str">
        <f>IF(C4083&lt;'Investment Calculator'!$C$8*'Investment Calculator'!$F$4,'SIP Schedule'!C4083+1,"")</f>
        <v/>
      </c>
      <c r="D4084" s="27" t="str">
        <f>IF(C4084&lt;='Investment Calculator'!$C$8*'Investment Calculator'!$F$4,'Investment Calculator'!$C$6,"")</f>
        <v/>
      </c>
      <c r="E4084" s="27" t="str">
        <f>IFERROR((F4083+D4084)*'Investment Calculator'!$C$7/'Investment Calculator'!$F$4,"")</f>
        <v/>
      </c>
      <c r="F4084" s="27" t="str">
        <f>IFERROR(ABS(FV('Investment Calculator'!$C$7/'Investment Calculator'!$F$4,'SIP Schedule'!C4084,'SIP Schedule'!D4084,,1)),"")</f>
        <v/>
      </c>
    </row>
    <row r="4085" spans="3:6" x14ac:dyDescent="0.3">
      <c r="C4085" s="1" t="str">
        <f>IF(C4084&lt;'Investment Calculator'!$C$8*'Investment Calculator'!$F$4,'SIP Schedule'!C4084+1,"")</f>
        <v/>
      </c>
      <c r="D4085" s="27" t="str">
        <f>IF(C4085&lt;='Investment Calculator'!$C$8*'Investment Calculator'!$F$4,'Investment Calculator'!$C$6,"")</f>
        <v/>
      </c>
      <c r="E4085" s="27" t="str">
        <f>IFERROR((F4084+D4085)*'Investment Calculator'!$C$7/'Investment Calculator'!$F$4,"")</f>
        <v/>
      </c>
      <c r="F4085" s="27" t="str">
        <f>IFERROR(ABS(FV('Investment Calculator'!$C$7/'Investment Calculator'!$F$4,'SIP Schedule'!C4085,'SIP Schedule'!D4085,,1)),"")</f>
        <v/>
      </c>
    </row>
    <row r="4086" spans="3:6" x14ac:dyDescent="0.3">
      <c r="C4086" s="1" t="str">
        <f>IF(C4085&lt;'Investment Calculator'!$C$8*'Investment Calculator'!$F$4,'SIP Schedule'!C4085+1,"")</f>
        <v/>
      </c>
      <c r="D4086" s="27" t="str">
        <f>IF(C4086&lt;='Investment Calculator'!$C$8*'Investment Calculator'!$F$4,'Investment Calculator'!$C$6,"")</f>
        <v/>
      </c>
      <c r="E4086" s="27" t="str">
        <f>IFERROR((F4085+D4086)*'Investment Calculator'!$C$7/'Investment Calculator'!$F$4,"")</f>
        <v/>
      </c>
      <c r="F4086" s="27" t="str">
        <f>IFERROR(ABS(FV('Investment Calculator'!$C$7/'Investment Calculator'!$F$4,'SIP Schedule'!C4086,'SIP Schedule'!D4086,,1)),"")</f>
        <v/>
      </c>
    </row>
    <row r="4087" spans="3:6" x14ac:dyDescent="0.3">
      <c r="C4087" s="1" t="str">
        <f>IF(C4086&lt;'Investment Calculator'!$C$8*'Investment Calculator'!$F$4,'SIP Schedule'!C4086+1,"")</f>
        <v/>
      </c>
      <c r="D4087" s="27" t="str">
        <f>IF(C4087&lt;='Investment Calculator'!$C$8*'Investment Calculator'!$F$4,'Investment Calculator'!$C$6,"")</f>
        <v/>
      </c>
      <c r="E4087" s="27" t="str">
        <f>IFERROR((F4086+D4087)*'Investment Calculator'!$C$7/'Investment Calculator'!$F$4,"")</f>
        <v/>
      </c>
      <c r="F4087" s="27" t="str">
        <f>IFERROR(ABS(FV('Investment Calculator'!$C$7/'Investment Calculator'!$F$4,'SIP Schedule'!C4087,'SIP Schedule'!D4087,,1)),"")</f>
        <v/>
      </c>
    </row>
    <row r="4088" spans="3:6" x14ac:dyDescent="0.3">
      <c r="C4088" s="1" t="str">
        <f>IF(C4087&lt;'Investment Calculator'!$C$8*'Investment Calculator'!$F$4,'SIP Schedule'!C4087+1,"")</f>
        <v/>
      </c>
      <c r="D4088" s="27" t="str">
        <f>IF(C4088&lt;='Investment Calculator'!$C$8*'Investment Calculator'!$F$4,'Investment Calculator'!$C$6,"")</f>
        <v/>
      </c>
      <c r="E4088" s="27" t="str">
        <f>IFERROR((F4087+D4088)*'Investment Calculator'!$C$7/'Investment Calculator'!$F$4,"")</f>
        <v/>
      </c>
      <c r="F4088" s="27" t="str">
        <f>IFERROR(ABS(FV('Investment Calculator'!$C$7/'Investment Calculator'!$F$4,'SIP Schedule'!C4088,'SIP Schedule'!D4088,,1)),"")</f>
        <v/>
      </c>
    </row>
    <row r="4089" spans="3:6" x14ac:dyDescent="0.3">
      <c r="C4089" s="1" t="str">
        <f>IF(C4088&lt;'Investment Calculator'!$C$8*'Investment Calculator'!$F$4,'SIP Schedule'!C4088+1,"")</f>
        <v/>
      </c>
      <c r="D4089" s="27" t="str">
        <f>IF(C4089&lt;='Investment Calculator'!$C$8*'Investment Calculator'!$F$4,'Investment Calculator'!$C$6,"")</f>
        <v/>
      </c>
      <c r="E4089" s="27" t="str">
        <f>IFERROR((F4088+D4089)*'Investment Calculator'!$C$7/'Investment Calculator'!$F$4,"")</f>
        <v/>
      </c>
      <c r="F4089" s="27" t="str">
        <f>IFERROR(ABS(FV('Investment Calculator'!$C$7/'Investment Calculator'!$F$4,'SIP Schedule'!C4089,'SIP Schedule'!D4089,,1)),"")</f>
        <v/>
      </c>
    </row>
    <row r="4090" spans="3:6" x14ac:dyDescent="0.3">
      <c r="C4090" s="1" t="str">
        <f>IF(C4089&lt;'Investment Calculator'!$C$8*'Investment Calculator'!$F$4,'SIP Schedule'!C4089+1,"")</f>
        <v/>
      </c>
      <c r="D4090" s="27" t="str">
        <f>IF(C4090&lt;='Investment Calculator'!$C$8*'Investment Calculator'!$F$4,'Investment Calculator'!$C$6,"")</f>
        <v/>
      </c>
      <c r="E4090" s="27" t="str">
        <f>IFERROR((F4089+D4090)*'Investment Calculator'!$C$7/'Investment Calculator'!$F$4,"")</f>
        <v/>
      </c>
      <c r="F4090" s="27" t="str">
        <f>IFERROR(ABS(FV('Investment Calculator'!$C$7/'Investment Calculator'!$F$4,'SIP Schedule'!C4090,'SIP Schedule'!D4090,,1)),"")</f>
        <v/>
      </c>
    </row>
    <row r="4091" spans="3:6" x14ac:dyDescent="0.3">
      <c r="C4091" s="1" t="str">
        <f>IF(C4090&lt;'Investment Calculator'!$C$8*'Investment Calculator'!$F$4,'SIP Schedule'!C4090+1,"")</f>
        <v/>
      </c>
      <c r="D4091" s="27" t="str">
        <f>IF(C4091&lt;='Investment Calculator'!$C$8*'Investment Calculator'!$F$4,'Investment Calculator'!$C$6,"")</f>
        <v/>
      </c>
      <c r="E4091" s="27" t="str">
        <f>IFERROR((F4090+D4091)*'Investment Calculator'!$C$7/'Investment Calculator'!$F$4,"")</f>
        <v/>
      </c>
      <c r="F4091" s="27" t="str">
        <f>IFERROR(ABS(FV('Investment Calculator'!$C$7/'Investment Calculator'!$F$4,'SIP Schedule'!C4091,'SIP Schedule'!D4091,,1)),"")</f>
        <v/>
      </c>
    </row>
    <row r="4092" spans="3:6" x14ac:dyDescent="0.3">
      <c r="C4092" s="1" t="str">
        <f>IF(C4091&lt;'Investment Calculator'!$C$8*'Investment Calculator'!$F$4,'SIP Schedule'!C4091+1,"")</f>
        <v/>
      </c>
      <c r="D4092" s="27" t="str">
        <f>IF(C4092&lt;='Investment Calculator'!$C$8*'Investment Calculator'!$F$4,'Investment Calculator'!$C$6,"")</f>
        <v/>
      </c>
      <c r="E4092" s="27" t="str">
        <f>IFERROR((F4091+D4092)*'Investment Calculator'!$C$7/'Investment Calculator'!$F$4,"")</f>
        <v/>
      </c>
      <c r="F4092" s="27" t="str">
        <f>IFERROR(ABS(FV('Investment Calculator'!$C$7/'Investment Calculator'!$F$4,'SIP Schedule'!C4092,'SIP Schedule'!D4092,,1)),"")</f>
        <v/>
      </c>
    </row>
    <row r="4093" spans="3:6" x14ac:dyDescent="0.3">
      <c r="C4093" s="1" t="str">
        <f>IF(C4092&lt;'Investment Calculator'!$C$8*'Investment Calculator'!$F$4,'SIP Schedule'!C4092+1,"")</f>
        <v/>
      </c>
      <c r="D4093" s="27" t="str">
        <f>IF(C4093&lt;='Investment Calculator'!$C$8*'Investment Calculator'!$F$4,'Investment Calculator'!$C$6,"")</f>
        <v/>
      </c>
      <c r="E4093" s="27" t="str">
        <f>IFERROR((F4092+D4093)*'Investment Calculator'!$C$7/'Investment Calculator'!$F$4,"")</f>
        <v/>
      </c>
      <c r="F4093" s="27" t="str">
        <f>IFERROR(ABS(FV('Investment Calculator'!$C$7/'Investment Calculator'!$F$4,'SIP Schedule'!C4093,'SIP Schedule'!D4093,,1)),"")</f>
        <v/>
      </c>
    </row>
    <row r="4094" spans="3:6" x14ac:dyDescent="0.3">
      <c r="C4094" s="1" t="str">
        <f>IF(C4093&lt;'Investment Calculator'!$C$8*'Investment Calculator'!$F$4,'SIP Schedule'!C4093+1,"")</f>
        <v/>
      </c>
      <c r="D4094" s="27" t="str">
        <f>IF(C4094&lt;='Investment Calculator'!$C$8*'Investment Calculator'!$F$4,'Investment Calculator'!$C$6,"")</f>
        <v/>
      </c>
      <c r="E4094" s="27" t="str">
        <f>IFERROR((F4093+D4094)*'Investment Calculator'!$C$7/'Investment Calculator'!$F$4,"")</f>
        <v/>
      </c>
      <c r="F4094" s="27" t="str">
        <f>IFERROR(ABS(FV('Investment Calculator'!$C$7/'Investment Calculator'!$F$4,'SIP Schedule'!C4094,'SIP Schedule'!D4094,,1)),"")</f>
        <v/>
      </c>
    </row>
    <row r="4095" spans="3:6" x14ac:dyDescent="0.3">
      <c r="C4095" s="1" t="str">
        <f>IF(C4094&lt;'Investment Calculator'!$C$8*'Investment Calculator'!$F$4,'SIP Schedule'!C4094+1,"")</f>
        <v/>
      </c>
      <c r="D4095" s="27" t="str">
        <f>IF(C4095&lt;='Investment Calculator'!$C$8*'Investment Calculator'!$F$4,'Investment Calculator'!$C$6,"")</f>
        <v/>
      </c>
      <c r="E4095" s="27" t="str">
        <f>IFERROR((F4094+D4095)*'Investment Calculator'!$C$7/'Investment Calculator'!$F$4,"")</f>
        <v/>
      </c>
      <c r="F4095" s="27" t="str">
        <f>IFERROR(ABS(FV('Investment Calculator'!$C$7/'Investment Calculator'!$F$4,'SIP Schedule'!C4095,'SIP Schedule'!D4095,,1)),"")</f>
        <v/>
      </c>
    </row>
    <row r="4096" spans="3:6" x14ac:dyDescent="0.3">
      <c r="C4096" s="1" t="str">
        <f>IF(C4095&lt;'Investment Calculator'!$C$8*'Investment Calculator'!$F$4,'SIP Schedule'!C4095+1,"")</f>
        <v/>
      </c>
      <c r="D4096" s="27" t="str">
        <f>IF(C4096&lt;='Investment Calculator'!$C$8*'Investment Calculator'!$F$4,'Investment Calculator'!$C$6,"")</f>
        <v/>
      </c>
      <c r="E4096" s="27" t="str">
        <f>IFERROR((F4095+D4096)*'Investment Calculator'!$C$7/'Investment Calculator'!$F$4,"")</f>
        <v/>
      </c>
      <c r="F4096" s="27" t="str">
        <f>IFERROR(ABS(FV('Investment Calculator'!$C$7/'Investment Calculator'!$F$4,'SIP Schedule'!C4096,'SIP Schedule'!D4096,,1)),"")</f>
        <v/>
      </c>
    </row>
    <row r="4097" spans="3:6" x14ac:dyDescent="0.3">
      <c r="C4097" s="1" t="str">
        <f>IF(C4096&lt;'Investment Calculator'!$C$8*'Investment Calculator'!$F$4,'SIP Schedule'!C4096+1,"")</f>
        <v/>
      </c>
      <c r="D4097" s="27" t="str">
        <f>IF(C4097&lt;='Investment Calculator'!$C$8*'Investment Calculator'!$F$4,'Investment Calculator'!$C$6,"")</f>
        <v/>
      </c>
      <c r="E4097" s="27" t="str">
        <f>IFERROR((F4096+D4097)*'Investment Calculator'!$C$7/'Investment Calculator'!$F$4,"")</f>
        <v/>
      </c>
      <c r="F4097" s="27" t="str">
        <f>IFERROR(ABS(FV('Investment Calculator'!$C$7/'Investment Calculator'!$F$4,'SIP Schedule'!C4097,'SIP Schedule'!D4097,,1)),"")</f>
        <v/>
      </c>
    </row>
    <row r="4098" spans="3:6" x14ac:dyDescent="0.3">
      <c r="C4098" s="1" t="str">
        <f>IF(C4097&lt;'Investment Calculator'!$C$8*'Investment Calculator'!$F$4,'SIP Schedule'!C4097+1,"")</f>
        <v/>
      </c>
      <c r="D4098" s="27" t="str">
        <f>IF(C4098&lt;='Investment Calculator'!$C$8*'Investment Calculator'!$F$4,'Investment Calculator'!$C$6,"")</f>
        <v/>
      </c>
      <c r="E4098" s="27" t="str">
        <f>IFERROR((F4097+D4098)*'Investment Calculator'!$C$7/'Investment Calculator'!$F$4,"")</f>
        <v/>
      </c>
      <c r="F4098" s="27" t="str">
        <f>IFERROR(ABS(FV('Investment Calculator'!$C$7/'Investment Calculator'!$F$4,'SIP Schedule'!C4098,'SIP Schedule'!D4098,,1)),"")</f>
        <v/>
      </c>
    </row>
    <row r="4099" spans="3:6" x14ac:dyDescent="0.3">
      <c r="C4099" s="1" t="str">
        <f>IF(C4098&lt;'Investment Calculator'!$C$8*'Investment Calculator'!$F$4,'SIP Schedule'!C4098+1,"")</f>
        <v/>
      </c>
      <c r="D4099" s="27" t="str">
        <f>IF(C4099&lt;='Investment Calculator'!$C$8*'Investment Calculator'!$F$4,'Investment Calculator'!$C$6,"")</f>
        <v/>
      </c>
      <c r="E4099" s="27" t="str">
        <f>IFERROR((F4098+D4099)*'Investment Calculator'!$C$7/'Investment Calculator'!$F$4,"")</f>
        <v/>
      </c>
      <c r="F4099" s="27" t="str">
        <f>IFERROR(ABS(FV('Investment Calculator'!$C$7/'Investment Calculator'!$F$4,'SIP Schedule'!C4099,'SIP Schedule'!D4099,,1)),"")</f>
        <v/>
      </c>
    </row>
    <row r="4100" spans="3:6" x14ac:dyDescent="0.3">
      <c r="C4100" s="1" t="str">
        <f>IF(C4099&lt;'Investment Calculator'!$C$8*'Investment Calculator'!$F$4,'SIP Schedule'!C4099+1,"")</f>
        <v/>
      </c>
      <c r="D4100" s="27" t="str">
        <f>IF(C4100&lt;='Investment Calculator'!$C$8*'Investment Calculator'!$F$4,'Investment Calculator'!$C$6,"")</f>
        <v/>
      </c>
      <c r="E4100" s="27" t="str">
        <f>IFERROR((F4099+D4100)*'Investment Calculator'!$C$7/'Investment Calculator'!$F$4,"")</f>
        <v/>
      </c>
      <c r="F4100" s="27" t="str">
        <f>IFERROR(ABS(FV('Investment Calculator'!$C$7/'Investment Calculator'!$F$4,'SIP Schedule'!C4100,'SIP Schedule'!D4100,,1)),"")</f>
        <v/>
      </c>
    </row>
    <row r="4101" spans="3:6" x14ac:dyDescent="0.3">
      <c r="C4101" s="1" t="str">
        <f>IF(C4100&lt;'Investment Calculator'!$C$8*'Investment Calculator'!$F$4,'SIP Schedule'!C4100+1,"")</f>
        <v/>
      </c>
      <c r="D4101" s="27" t="str">
        <f>IF(C4101&lt;='Investment Calculator'!$C$8*'Investment Calculator'!$F$4,'Investment Calculator'!$C$6,"")</f>
        <v/>
      </c>
      <c r="E4101" s="27" t="str">
        <f>IFERROR((F4100+D4101)*'Investment Calculator'!$C$7/'Investment Calculator'!$F$4,"")</f>
        <v/>
      </c>
      <c r="F4101" s="27" t="str">
        <f>IFERROR(ABS(FV('Investment Calculator'!$C$7/'Investment Calculator'!$F$4,'SIP Schedule'!C4101,'SIP Schedule'!D4101,,1)),"")</f>
        <v/>
      </c>
    </row>
    <row r="4102" spans="3:6" x14ac:dyDescent="0.3">
      <c r="C4102" s="1" t="str">
        <f>IF(C4101&lt;'Investment Calculator'!$C$8*'Investment Calculator'!$F$4,'SIP Schedule'!C4101+1,"")</f>
        <v/>
      </c>
      <c r="D4102" s="27" t="str">
        <f>IF(C4102&lt;='Investment Calculator'!$C$8*'Investment Calculator'!$F$4,'Investment Calculator'!$C$6,"")</f>
        <v/>
      </c>
      <c r="E4102" s="27" t="str">
        <f>IFERROR((F4101+D4102)*'Investment Calculator'!$C$7/'Investment Calculator'!$F$4,"")</f>
        <v/>
      </c>
      <c r="F4102" s="27" t="str">
        <f>IFERROR(ABS(FV('Investment Calculator'!$C$7/'Investment Calculator'!$F$4,'SIP Schedule'!C4102,'SIP Schedule'!D4102,,1)),"")</f>
        <v/>
      </c>
    </row>
    <row r="4103" spans="3:6" x14ac:dyDescent="0.3">
      <c r="C4103" s="1" t="str">
        <f>IF(C4102&lt;'Investment Calculator'!$C$8*'Investment Calculator'!$F$4,'SIP Schedule'!C4102+1,"")</f>
        <v/>
      </c>
      <c r="D4103" s="27" t="str">
        <f>IF(C4103&lt;='Investment Calculator'!$C$8*'Investment Calculator'!$F$4,'Investment Calculator'!$C$6,"")</f>
        <v/>
      </c>
      <c r="E4103" s="27" t="str">
        <f>IFERROR((F4102+D4103)*'Investment Calculator'!$C$7/'Investment Calculator'!$F$4,"")</f>
        <v/>
      </c>
      <c r="F4103" s="27" t="str">
        <f>IFERROR(ABS(FV('Investment Calculator'!$C$7/'Investment Calculator'!$F$4,'SIP Schedule'!C4103,'SIP Schedule'!D4103,,1)),"")</f>
        <v/>
      </c>
    </row>
    <row r="4104" spans="3:6" x14ac:dyDescent="0.3">
      <c r="C4104" s="1" t="str">
        <f>IF(C4103&lt;'Investment Calculator'!$C$8*'Investment Calculator'!$F$4,'SIP Schedule'!C4103+1,"")</f>
        <v/>
      </c>
      <c r="D4104" s="27" t="str">
        <f>IF(C4104&lt;='Investment Calculator'!$C$8*'Investment Calculator'!$F$4,'Investment Calculator'!$C$6,"")</f>
        <v/>
      </c>
      <c r="E4104" s="27" t="str">
        <f>IFERROR((F4103+D4104)*'Investment Calculator'!$C$7/'Investment Calculator'!$F$4,"")</f>
        <v/>
      </c>
      <c r="F4104" s="27" t="str">
        <f>IFERROR(ABS(FV('Investment Calculator'!$C$7/'Investment Calculator'!$F$4,'SIP Schedule'!C4104,'SIP Schedule'!D4104,,1)),"")</f>
        <v/>
      </c>
    </row>
    <row r="4105" spans="3:6" x14ac:dyDescent="0.3">
      <c r="C4105" s="1" t="str">
        <f>IF(C4104&lt;'Investment Calculator'!$C$8*'Investment Calculator'!$F$4,'SIP Schedule'!C4104+1,"")</f>
        <v/>
      </c>
      <c r="D4105" s="27" t="str">
        <f>IF(C4105&lt;='Investment Calculator'!$C$8*'Investment Calculator'!$F$4,'Investment Calculator'!$C$6,"")</f>
        <v/>
      </c>
      <c r="E4105" s="27" t="str">
        <f>IFERROR((F4104+D4105)*'Investment Calculator'!$C$7/'Investment Calculator'!$F$4,"")</f>
        <v/>
      </c>
      <c r="F4105" s="27" t="str">
        <f>IFERROR(ABS(FV('Investment Calculator'!$C$7/'Investment Calculator'!$F$4,'SIP Schedule'!C4105,'SIP Schedule'!D4105,,1)),"")</f>
        <v/>
      </c>
    </row>
    <row r="4106" spans="3:6" x14ac:dyDescent="0.3">
      <c r="C4106" s="1" t="str">
        <f>IF(C4105&lt;'Investment Calculator'!$C$8*'Investment Calculator'!$F$4,'SIP Schedule'!C4105+1,"")</f>
        <v/>
      </c>
      <c r="D4106" s="27" t="str">
        <f>IF(C4106&lt;='Investment Calculator'!$C$8*'Investment Calculator'!$F$4,'Investment Calculator'!$C$6,"")</f>
        <v/>
      </c>
      <c r="E4106" s="27" t="str">
        <f>IFERROR((F4105+D4106)*'Investment Calculator'!$C$7/'Investment Calculator'!$F$4,"")</f>
        <v/>
      </c>
      <c r="F4106" s="27" t="str">
        <f>IFERROR(ABS(FV('Investment Calculator'!$C$7/'Investment Calculator'!$F$4,'SIP Schedule'!C4106,'SIP Schedule'!D4106,,1)),"")</f>
        <v/>
      </c>
    </row>
    <row r="4107" spans="3:6" x14ac:dyDescent="0.3">
      <c r="C4107" s="1" t="str">
        <f>IF(C4106&lt;'Investment Calculator'!$C$8*'Investment Calculator'!$F$4,'SIP Schedule'!C4106+1,"")</f>
        <v/>
      </c>
      <c r="D4107" s="27" t="str">
        <f>IF(C4107&lt;='Investment Calculator'!$C$8*'Investment Calculator'!$F$4,'Investment Calculator'!$C$6,"")</f>
        <v/>
      </c>
      <c r="E4107" s="27" t="str">
        <f>IFERROR((F4106+D4107)*'Investment Calculator'!$C$7/'Investment Calculator'!$F$4,"")</f>
        <v/>
      </c>
      <c r="F4107" s="27" t="str">
        <f>IFERROR(ABS(FV('Investment Calculator'!$C$7/'Investment Calculator'!$F$4,'SIP Schedule'!C4107,'SIP Schedule'!D4107,,1)),"")</f>
        <v/>
      </c>
    </row>
    <row r="4108" spans="3:6" x14ac:dyDescent="0.3">
      <c r="C4108" s="1" t="str">
        <f>IF(C4107&lt;'Investment Calculator'!$C$8*'Investment Calculator'!$F$4,'SIP Schedule'!C4107+1,"")</f>
        <v/>
      </c>
      <c r="D4108" s="27" t="str">
        <f>IF(C4108&lt;='Investment Calculator'!$C$8*'Investment Calculator'!$F$4,'Investment Calculator'!$C$6,"")</f>
        <v/>
      </c>
      <c r="E4108" s="27" t="str">
        <f>IFERROR((F4107+D4108)*'Investment Calculator'!$C$7/'Investment Calculator'!$F$4,"")</f>
        <v/>
      </c>
      <c r="F4108" s="27" t="str">
        <f>IFERROR(ABS(FV('Investment Calculator'!$C$7/'Investment Calculator'!$F$4,'SIP Schedule'!C4108,'SIP Schedule'!D4108,,1)),"")</f>
        <v/>
      </c>
    </row>
    <row r="4109" spans="3:6" x14ac:dyDescent="0.3">
      <c r="C4109" s="1" t="str">
        <f>IF(C4108&lt;'Investment Calculator'!$C$8*'Investment Calculator'!$F$4,'SIP Schedule'!C4108+1,"")</f>
        <v/>
      </c>
      <c r="D4109" s="27" t="str">
        <f>IF(C4109&lt;='Investment Calculator'!$C$8*'Investment Calculator'!$F$4,'Investment Calculator'!$C$6,"")</f>
        <v/>
      </c>
      <c r="E4109" s="27" t="str">
        <f>IFERROR((F4108+D4109)*'Investment Calculator'!$C$7/'Investment Calculator'!$F$4,"")</f>
        <v/>
      </c>
      <c r="F4109" s="27" t="str">
        <f>IFERROR(ABS(FV('Investment Calculator'!$C$7/'Investment Calculator'!$F$4,'SIP Schedule'!C4109,'SIP Schedule'!D4109,,1)),"")</f>
        <v/>
      </c>
    </row>
    <row r="4110" spans="3:6" x14ac:dyDescent="0.3">
      <c r="C4110" s="1" t="str">
        <f>IF(C4109&lt;'Investment Calculator'!$C$8*'Investment Calculator'!$F$4,'SIP Schedule'!C4109+1,"")</f>
        <v/>
      </c>
      <c r="D4110" s="27" t="str">
        <f>IF(C4110&lt;='Investment Calculator'!$C$8*'Investment Calculator'!$F$4,'Investment Calculator'!$C$6,"")</f>
        <v/>
      </c>
      <c r="E4110" s="27" t="str">
        <f>IFERROR((F4109+D4110)*'Investment Calculator'!$C$7/'Investment Calculator'!$F$4,"")</f>
        <v/>
      </c>
      <c r="F4110" s="27" t="str">
        <f>IFERROR(ABS(FV('Investment Calculator'!$C$7/'Investment Calculator'!$F$4,'SIP Schedule'!C4110,'SIP Schedule'!D4110,,1)),"")</f>
        <v/>
      </c>
    </row>
    <row r="4111" spans="3:6" x14ac:dyDescent="0.3">
      <c r="C4111" s="1" t="str">
        <f>IF(C4110&lt;'Investment Calculator'!$C$8*'Investment Calculator'!$F$4,'SIP Schedule'!C4110+1,"")</f>
        <v/>
      </c>
      <c r="D4111" s="27" t="str">
        <f>IF(C4111&lt;='Investment Calculator'!$C$8*'Investment Calculator'!$F$4,'Investment Calculator'!$C$6,"")</f>
        <v/>
      </c>
      <c r="E4111" s="27" t="str">
        <f>IFERROR((F4110+D4111)*'Investment Calculator'!$C$7/'Investment Calculator'!$F$4,"")</f>
        <v/>
      </c>
      <c r="F4111" s="27" t="str">
        <f>IFERROR(ABS(FV('Investment Calculator'!$C$7/'Investment Calculator'!$F$4,'SIP Schedule'!C4111,'SIP Schedule'!D4111,,1)),"")</f>
        <v/>
      </c>
    </row>
    <row r="4112" spans="3:6" x14ac:dyDescent="0.3">
      <c r="C4112" s="1" t="str">
        <f>IF(C4111&lt;'Investment Calculator'!$C$8*'Investment Calculator'!$F$4,'SIP Schedule'!C4111+1,"")</f>
        <v/>
      </c>
      <c r="D4112" s="27" t="str">
        <f>IF(C4112&lt;='Investment Calculator'!$C$8*'Investment Calculator'!$F$4,'Investment Calculator'!$C$6,"")</f>
        <v/>
      </c>
      <c r="E4112" s="27" t="str">
        <f>IFERROR((F4111+D4112)*'Investment Calculator'!$C$7/'Investment Calculator'!$F$4,"")</f>
        <v/>
      </c>
      <c r="F4112" s="27" t="str">
        <f>IFERROR(ABS(FV('Investment Calculator'!$C$7/'Investment Calculator'!$F$4,'SIP Schedule'!C4112,'SIP Schedule'!D4112,,1)),"")</f>
        <v/>
      </c>
    </row>
    <row r="4113" spans="3:6" x14ac:dyDescent="0.3">
      <c r="C4113" s="1" t="str">
        <f>IF(C4112&lt;'Investment Calculator'!$C$8*'Investment Calculator'!$F$4,'SIP Schedule'!C4112+1,"")</f>
        <v/>
      </c>
      <c r="D4113" s="27" t="str">
        <f>IF(C4113&lt;='Investment Calculator'!$C$8*'Investment Calculator'!$F$4,'Investment Calculator'!$C$6,"")</f>
        <v/>
      </c>
      <c r="E4113" s="27" t="str">
        <f>IFERROR((F4112+D4113)*'Investment Calculator'!$C$7/'Investment Calculator'!$F$4,"")</f>
        <v/>
      </c>
      <c r="F4113" s="27" t="str">
        <f>IFERROR(ABS(FV('Investment Calculator'!$C$7/'Investment Calculator'!$F$4,'SIP Schedule'!C4113,'SIP Schedule'!D4113,,1)),"")</f>
        <v/>
      </c>
    </row>
    <row r="4114" spans="3:6" x14ac:dyDescent="0.3">
      <c r="C4114" s="1" t="str">
        <f>IF(C4113&lt;'Investment Calculator'!$C$8*'Investment Calculator'!$F$4,'SIP Schedule'!C4113+1,"")</f>
        <v/>
      </c>
      <c r="D4114" s="27" t="str">
        <f>IF(C4114&lt;='Investment Calculator'!$C$8*'Investment Calculator'!$F$4,'Investment Calculator'!$C$6,"")</f>
        <v/>
      </c>
      <c r="E4114" s="27" t="str">
        <f>IFERROR((F4113+D4114)*'Investment Calculator'!$C$7/'Investment Calculator'!$F$4,"")</f>
        <v/>
      </c>
      <c r="F4114" s="27" t="str">
        <f>IFERROR(ABS(FV('Investment Calculator'!$C$7/'Investment Calculator'!$F$4,'SIP Schedule'!C4114,'SIP Schedule'!D4114,,1)),"")</f>
        <v/>
      </c>
    </row>
    <row r="4115" spans="3:6" x14ac:dyDescent="0.3">
      <c r="C4115" s="1" t="str">
        <f>IF(C4114&lt;'Investment Calculator'!$C$8*'Investment Calculator'!$F$4,'SIP Schedule'!C4114+1,"")</f>
        <v/>
      </c>
      <c r="D4115" s="27" t="str">
        <f>IF(C4115&lt;='Investment Calculator'!$C$8*'Investment Calculator'!$F$4,'Investment Calculator'!$C$6,"")</f>
        <v/>
      </c>
      <c r="E4115" s="27" t="str">
        <f>IFERROR((F4114+D4115)*'Investment Calculator'!$C$7/'Investment Calculator'!$F$4,"")</f>
        <v/>
      </c>
      <c r="F4115" s="27" t="str">
        <f>IFERROR(ABS(FV('Investment Calculator'!$C$7/'Investment Calculator'!$F$4,'SIP Schedule'!C4115,'SIP Schedule'!D4115,,1)),"")</f>
        <v/>
      </c>
    </row>
    <row r="4116" spans="3:6" x14ac:dyDescent="0.3">
      <c r="C4116" s="1" t="str">
        <f>IF(C4115&lt;'Investment Calculator'!$C$8*'Investment Calculator'!$F$4,'SIP Schedule'!C4115+1,"")</f>
        <v/>
      </c>
      <c r="D4116" s="27" t="str">
        <f>IF(C4116&lt;='Investment Calculator'!$C$8*'Investment Calculator'!$F$4,'Investment Calculator'!$C$6,"")</f>
        <v/>
      </c>
      <c r="E4116" s="27" t="str">
        <f>IFERROR((F4115+D4116)*'Investment Calculator'!$C$7/'Investment Calculator'!$F$4,"")</f>
        <v/>
      </c>
      <c r="F4116" s="27" t="str">
        <f>IFERROR(ABS(FV('Investment Calculator'!$C$7/'Investment Calculator'!$F$4,'SIP Schedule'!C4116,'SIP Schedule'!D4116,,1)),"")</f>
        <v/>
      </c>
    </row>
    <row r="4117" spans="3:6" x14ac:dyDescent="0.3">
      <c r="C4117" s="1" t="str">
        <f>IF(C4116&lt;'Investment Calculator'!$C$8*'Investment Calculator'!$F$4,'SIP Schedule'!C4116+1,"")</f>
        <v/>
      </c>
      <c r="D4117" s="27" t="str">
        <f>IF(C4117&lt;='Investment Calculator'!$C$8*'Investment Calculator'!$F$4,'Investment Calculator'!$C$6,"")</f>
        <v/>
      </c>
      <c r="E4117" s="27" t="str">
        <f>IFERROR((F4116+D4117)*'Investment Calculator'!$C$7/'Investment Calculator'!$F$4,"")</f>
        <v/>
      </c>
      <c r="F4117" s="27" t="str">
        <f>IFERROR(ABS(FV('Investment Calculator'!$C$7/'Investment Calculator'!$F$4,'SIP Schedule'!C4117,'SIP Schedule'!D4117,,1)),"")</f>
        <v/>
      </c>
    </row>
    <row r="4118" spans="3:6" x14ac:dyDescent="0.3">
      <c r="C4118" s="1" t="str">
        <f>IF(C4117&lt;'Investment Calculator'!$C$8*'Investment Calculator'!$F$4,'SIP Schedule'!C4117+1,"")</f>
        <v/>
      </c>
      <c r="D4118" s="27" t="str">
        <f>IF(C4118&lt;='Investment Calculator'!$C$8*'Investment Calculator'!$F$4,'Investment Calculator'!$C$6,"")</f>
        <v/>
      </c>
      <c r="E4118" s="27" t="str">
        <f>IFERROR((F4117+D4118)*'Investment Calculator'!$C$7/'Investment Calculator'!$F$4,"")</f>
        <v/>
      </c>
      <c r="F4118" s="27" t="str">
        <f>IFERROR(ABS(FV('Investment Calculator'!$C$7/'Investment Calculator'!$F$4,'SIP Schedule'!C4118,'SIP Schedule'!D4118,,1)),"")</f>
        <v/>
      </c>
    </row>
    <row r="4119" spans="3:6" x14ac:dyDescent="0.3">
      <c r="C4119" s="1" t="str">
        <f>IF(C4118&lt;'Investment Calculator'!$C$8*'Investment Calculator'!$F$4,'SIP Schedule'!C4118+1,"")</f>
        <v/>
      </c>
      <c r="D4119" s="27" t="str">
        <f>IF(C4119&lt;='Investment Calculator'!$C$8*'Investment Calculator'!$F$4,'Investment Calculator'!$C$6,"")</f>
        <v/>
      </c>
      <c r="E4119" s="27" t="str">
        <f>IFERROR((F4118+D4119)*'Investment Calculator'!$C$7/'Investment Calculator'!$F$4,"")</f>
        <v/>
      </c>
      <c r="F4119" s="27" t="str">
        <f>IFERROR(ABS(FV('Investment Calculator'!$C$7/'Investment Calculator'!$F$4,'SIP Schedule'!C4119,'SIP Schedule'!D4119,,1)),"")</f>
        <v/>
      </c>
    </row>
    <row r="4120" spans="3:6" x14ac:dyDescent="0.3">
      <c r="C4120" s="1" t="str">
        <f>IF(C4119&lt;'Investment Calculator'!$C$8*'Investment Calculator'!$F$4,'SIP Schedule'!C4119+1,"")</f>
        <v/>
      </c>
      <c r="D4120" s="27" t="str">
        <f>IF(C4120&lt;='Investment Calculator'!$C$8*'Investment Calculator'!$F$4,'Investment Calculator'!$C$6,"")</f>
        <v/>
      </c>
      <c r="E4120" s="27" t="str">
        <f>IFERROR((F4119+D4120)*'Investment Calculator'!$C$7/'Investment Calculator'!$F$4,"")</f>
        <v/>
      </c>
      <c r="F4120" s="27" t="str">
        <f>IFERROR(ABS(FV('Investment Calculator'!$C$7/'Investment Calculator'!$F$4,'SIP Schedule'!C4120,'SIP Schedule'!D4120,,1)),"")</f>
        <v/>
      </c>
    </row>
    <row r="4121" spans="3:6" x14ac:dyDescent="0.3">
      <c r="C4121" s="1" t="str">
        <f>IF(C4120&lt;'Investment Calculator'!$C$8*'Investment Calculator'!$F$4,'SIP Schedule'!C4120+1,"")</f>
        <v/>
      </c>
      <c r="D4121" s="27" t="str">
        <f>IF(C4121&lt;='Investment Calculator'!$C$8*'Investment Calculator'!$F$4,'Investment Calculator'!$C$6,"")</f>
        <v/>
      </c>
      <c r="E4121" s="27" t="str">
        <f>IFERROR((F4120+D4121)*'Investment Calculator'!$C$7/'Investment Calculator'!$F$4,"")</f>
        <v/>
      </c>
      <c r="F4121" s="27" t="str">
        <f>IFERROR(ABS(FV('Investment Calculator'!$C$7/'Investment Calculator'!$F$4,'SIP Schedule'!C4121,'SIP Schedule'!D4121,,1)),"")</f>
        <v/>
      </c>
    </row>
    <row r="4122" spans="3:6" x14ac:dyDescent="0.3">
      <c r="C4122" s="1" t="str">
        <f>IF(C4121&lt;'Investment Calculator'!$C$8*'Investment Calculator'!$F$4,'SIP Schedule'!C4121+1,"")</f>
        <v/>
      </c>
      <c r="D4122" s="27" t="str">
        <f>IF(C4122&lt;='Investment Calculator'!$C$8*'Investment Calculator'!$F$4,'Investment Calculator'!$C$6,"")</f>
        <v/>
      </c>
      <c r="E4122" s="27" t="str">
        <f>IFERROR((F4121+D4122)*'Investment Calculator'!$C$7/'Investment Calculator'!$F$4,"")</f>
        <v/>
      </c>
      <c r="F4122" s="27" t="str">
        <f>IFERROR(ABS(FV('Investment Calculator'!$C$7/'Investment Calculator'!$F$4,'SIP Schedule'!C4122,'SIP Schedule'!D4122,,1)),"")</f>
        <v/>
      </c>
    </row>
    <row r="4123" spans="3:6" x14ac:dyDescent="0.3">
      <c r="C4123" s="1" t="str">
        <f>IF(C4122&lt;'Investment Calculator'!$C$8*'Investment Calculator'!$F$4,'SIP Schedule'!C4122+1,"")</f>
        <v/>
      </c>
      <c r="D4123" s="27" t="str">
        <f>IF(C4123&lt;='Investment Calculator'!$C$8*'Investment Calculator'!$F$4,'Investment Calculator'!$C$6,"")</f>
        <v/>
      </c>
      <c r="E4123" s="27" t="str">
        <f>IFERROR((F4122+D4123)*'Investment Calculator'!$C$7/'Investment Calculator'!$F$4,"")</f>
        <v/>
      </c>
      <c r="F4123" s="27" t="str">
        <f>IFERROR(ABS(FV('Investment Calculator'!$C$7/'Investment Calculator'!$F$4,'SIP Schedule'!C4123,'SIP Schedule'!D4123,,1)),"")</f>
        <v/>
      </c>
    </row>
    <row r="4124" spans="3:6" x14ac:dyDescent="0.3">
      <c r="C4124" s="1" t="str">
        <f>IF(C4123&lt;'Investment Calculator'!$C$8*'Investment Calculator'!$F$4,'SIP Schedule'!C4123+1,"")</f>
        <v/>
      </c>
      <c r="D4124" s="27" t="str">
        <f>IF(C4124&lt;='Investment Calculator'!$C$8*'Investment Calculator'!$F$4,'Investment Calculator'!$C$6,"")</f>
        <v/>
      </c>
      <c r="E4124" s="27" t="str">
        <f>IFERROR((F4123+D4124)*'Investment Calculator'!$C$7/'Investment Calculator'!$F$4,"")</f>
        <v/>
      </c>
      <c r="F4124" s="27" t="str">
        <f>IFERROR(ABS(FV('Investment Calculator'!$C$7/'Investment Calculator'!$F$4,'SIP Schedule'!C4124,'SIP Schedule'!D4124,,1)),"")</f>
        <v/>
      </c>
    </row>
    <row r="4125" spans="3:6" x14ac:dyDescent="0.3">
      <c r="C4125" s="1" t="str">
        <f>IF(C4124&lt;'Investment Calculator'!$C$8*'Investment Calculator'!$F$4,'SIP Schedule'!C4124+1,"")</f>
        <v/>
      </c>
      <c r="D4125" s="27" t="str">
        <f>IF(C4125&lt;='Investment Calculator'!$C$8*'Investment Calculator'!$F$4,'Investment Calculator'!$C$6,"")</f>
        <v/>
      </c>
      <c r="E4125" s="27" t="str">
        <f>IFERROR((F4124+D4125)*'Investment Calculator'!$C$7/'Investment Calculator'!$F$4,"")</f>
        <v/>
      </c>
      <c r="F4125" s="27" t="str">
        <f>IFERROR(ABS(FV('Investment Calculator'!$C$7/'Investment Calculator'!$F$4,'SIP Schedule'!C4125,'SIP Schedule'!D4125,,1)),"")</f>
        <v/>
      </c>
    </row>
    <row r="4126" spans="3:6" x14ac:dyDescent="0.3">
      <c r="C4126" s="1" t="str">
        <f>IF(C4125&lt;'Investment Calculator'!$C$8*'Investment Calculator'!$F$4,'SIP Schedule'!C4125+1,"")</f>
        <v/>
      </c>
      <c r="D4126" s="27" t="str">
        <f>IF(C4126&lt;='Investment Calculator'!$C$8*'Investment Calculator'!$F$4,'Investment Calculator'!$C$6,"")</f>
        <v/>
      </c>
      <c r="E4126" s="27" t="str">
        <f>IFERROR((F4125+D4126)*'Investment Calculator'!$C$7/'Investment Calculator'!$F$4,"")</f>
        <v/>
      </c>
      <c r="F4126" s="27" t="str">
        <f>IFERROR(ABS(FV('Investment Calculator'!$C$7/'Investment Calculator'!$F$4,'SIP Schedule'!C4126,'SIP Schedule'!D4126,,1)),"")</f>
        <v/>
      </c>
    </row>
    <row r="4127" spans="3:6" x14ac:dyDescent="0.3">
      <c r="C4127" s="1" t="str">
        <f>IF(C4126&lt;'Investment Calculator'!$C$8*'Investment Calculator'!$F$4,'SIP Schedule'!C4126+1,"")</f>
        <v/>
      </c>
      <c r="D4127" s="27" t="str">
        <f>IF(C4127&lt;='Investment Calculator'!$C$8*'Investment Calculator'!$F$4,'Investment Calculator'!$C$6,"")</f>
        <v/>
      </c>
      <c r="E4127" s="27" t="str">
        <f>IFERROR((F4126+D4127)*'Investment Calculator'!$C$7/'Investment Calculator'!$F$4,"")</f>
        <v/>
      </c>
      <c r="F4127" s="27" t="str">
        <f>IFERROR(ABS(FV('Investment Calculator'!$C$7/'Investment Calculator'!$F$4,'SIP Schedule'!C4127,'SIP Schedule'!D4127,,1)),"")</f>
        <v/>
      </c>
    </row>
    <row r="4128" spans="3:6" x14ac:dyDescent="0.3">
      <c r="C4128" s="1" t="str">
        <f>IF(C4127&lt;'Investment Calculator'!$C$8*'Investment Calculator'!$F$4,'SIP Schedule'!C4127+1,"")</f>
        <v/>
      </c>
      <c r="D4128" s="27" t="str">
        <f>IF(C4128&lt;='Investment Calculator'!$C$8*'Investment Calculator'!$F$4,'Investment Calculator'!$C$6,"")</f>
        <v/>
      </c>
      <c r="E4128" s="27" t="str">
        <f>IFERROR((F4127+D4128)*'Investment Calculator'!$C$7/'Investment Calculator'!$F$4,"")</f>
        <v/>
      </c>
      <c r="F4128" s="27" t="str">
        <f>IFERROR(ABS(FV('Investment Calculator'!$C$7/'Investment Calculator'!$F$4,'SIP Schedule'!C4128,'SIP Schedule'!D4128,,1)),"")</f>
        <v/>
      </c>
    </row>
    <row r="4129" spans="3:6" x14ac:dyDescent="0.3">
      <c r="C4129" s="1" t="str">
        <f>IF(C4128&lt;'Investment Calculator'!$C$8*'Investment Calculator'!$F$4,'SIP Schedule'!C4128+1,"")</f>
        <v/>
      </c>
      <c r="D4129" s="27" t="str">
        <f>IF(C4129&lt;='Investment Calculator'!$C$8*'Investment Calculator'!$F$4,'Investment Calculator'!$C$6,"")</f>
        <v/>
      </c>
      <c r="E4129" s="27" t="str">
        <f>IFERROR((F4128+D4129)*'Investment Calculator'!$C$7/'Investment Calculator'!$F$4,"")</f>
        <v/>
      </c>
      <c r="F4129" s="27" t="str">
        <f>IFERROR(ABS(FV('Investment Calculator'!$C$7/'Investment Calculator'!$F$4,'SIP Schedule'!C4129,'SIP Schedule'!D4129,,1)),"")</f>
        <v/>
      </c>
    </row>
    <row r="4130" spans="3:6" x14ac:dyDescent="0.3">
      <c r="C4130" s="1" t="str">
        <f>IF(C4129&lt;'Investment Calculator'!$C$8*'Investment Calculator'!$F$4,'SIP Schedule'!C4129+1,"")</f>
        <v/>
      </c>
      <c r="D4130" s="27" t="str">
        <f>IF(C4130&lt;='Investment Calculator'!$C$8*'Investment Calculator'!$F$4,'Investment Calculator'!$C$6,"")</f>
        <v/>
      </c>
      <c r="E4130" s="27" t="str">
        <f>IFERROR((F4129+D4130)*'Investment Calculator'!$C$7/'Investment Calculator'!$F$4,"")</f>
        <v/>
      </c>
      <c r="F4130" s="27" t="str">
        <f>IFERROR(ABS(FV('Investment Calculator'!$C$7/'Investment Calculator'!$F$4,'SIP Schedule'!C4130,'SIP Schedule'!D4130,,1)),"")</f>
        <v/>
      </c>
    </row>
    <row r="4131" spans="3:6" x14ac:dyDescent="0.3">
      <c r="C4131" s="1" t="str">
        <f>IF(C4130&lt;'Investment Calculator'!$C$8*'Investment Calculator'!$F$4,'SIP Schedule'!C4130+1,"")</f>
        <v/>
      </c>
      <c r="D4131" s="27" t="str">
        <f>IF(C4131&lt;='Investment Calculator'!$C$8*'Investment Calculator'!$F$4,'Investment Calculator'!$C$6,"")</f>
        <v/>
      </c>
      <c r="E4131" s="27" t="str">
        <f>IFERROR((F4130+D4131)*'Investment Calculator'!$C$7/'Investment Calculator'!$F$4,"")</f>
        <v/>
      </c>
      <c r="F4131" s="27" t="str">
        <f>IFERROR(ABS(FV('Investment Calculator'!$C$7/'Investment Calculator'!$F$4,'SIP Schedule'!C4131,'SIP Schedule'!D4131,,1)),"")</f>
        <v/>
      </c>
    </row>
    <row r="4132" spans="3:6" x14ac:dyDescent="0.3">
      <c r="C4132" s="1" t="str">
        <f>IF(C4131&lt;'Investment Calculator'!$C$8*'Investment Calculator'!$F$4,'SIP Schedule'!C4131+1,"")</f>
        <v/>
      </c>
      <c r="D4132" s="27" t="str">
        <f>IF(C4132&lt;='Investment Calculator'!$C$8*'Investment Calculator'!$F$4,'Investment Calculator'!$C$6,"")</f>
        <v/>
      </c>
      <c r="E4132" s="27" t="str">
        <f>IFERROR((F4131+D4132)*'Investment Calculator'!$C$7/'Investment Calculator'!$F$4,"")</f>
        <v/>
      </c>
      <c r="F4132" s="27" t="str">
        <f>IFERROR(ABS(FV('Investment Calculator'!$C$7/'Investment Calculator'!$F$4,'SIP Schedule'!C4132,'SIP Schedule'!D4132,,1)),"")</f>
        <v/>
      </c>
    </row>
    <row r="4133" spans="3:6" x14ac:dyDescent="0.3">
      <c r="C4133" s="1" t="str">
        <f>IF(C4132&lt;'Investment Calculator'!$C$8*'Investment Calculator'!$F$4,'SIP Schedule'!C4132+1,"")</f>
        <v/>
      </c>
      <c r="D4133" s="27" t="str">
        <f>IF(C4133&lt;='Investment Calculator'!$C$8*'Investment Calculator'!$F$4,'Investment Calculator'!$C$6,"")</f>
        <v/>
      </c>
      <c r="E4133" s="27" t="str">
        <f>IFERROR((F4132+D4133)*'Investment Calculator'!$C$7/'Investment Calculator'!$F$4,"")</f>
        <v/>
      </c>
      <c r="F4133" s="27" t="str">
        <f>IFERROR(ABS(FV('Investment Calculator'!$C$7/'Investment Calculator'!$F$4,'SIP Schedule'!C4133,'SIP Schedule'!D4133,,1)),"")</f>
        <v/>
      </c>
    </row>
    <row r="4134" spans="3:6" x14ac:dyDescent="0.3">
      <c r="C4134" s="1" t="str">
        <f>IF(C4133&lt;'Investment Calculator'!$C$8*'Investment Calculator'!$F$4,'SIP Schedule'!C4133+1,"")</f>
        <v/>
      </c>
      <c r="D4134" s="27" t="str">
        <f>IF(C4134&lt;='Investment Calculator'!$C$8*'Investment Calculator'!$F$4,'Investment Calculator'!$C$6,"")</f>
        <v/>
      </c>
      <c r="E4134" s="27" t="str">
        <f>IFERROR((F4133+D4134)*'Investment Calculator'!$C$7/'Investment Calculator'!$F$4,"")</f>
        <v/>
      </c>
      <c r="F4134" s="27" t="str">
        <f>IFERROR(ABS(FV('Investment Calculator'!$C$7/'Investment Calculator'!$F$4,'SIP Schedule'!C4134,'SIP Schedule'!D4134,,1)),"")</f>
        <v/>
      </c>
    </row>
    <row r="4135" spans="3:6" x14ac:dyDescent="0.3">
      <c r="C4135" s="1" t="str">
        <f>IF(C4134&lt;'Investment Calculator'!$C$8*'Investment Calculator'!$F$4,'SIP Schedule'!C4134+1,"")</f>
        <v/>
      </c>
      <c r="D4135" s="27" t="str">
        <f>IF(C4135&lt;='Investment Calculator'!$C$8*'Investment Calculator'!$F$4,'Investment Calculator'!$C$6,"")</f>
        <v/>
      </c>
      <c r="E4135" s="27" t="str">
        <f>IFERROR((F4134+D4135)*'Investment Calculator'!$C$7/'Investment Calculator'!$F$4,"")</f>
        <v/>
      </c>
      <c r="F4135" s="27" t="str">
        <f>IFERROR(ABS(FV('Investment Calculator'!$C$7/'Investment Calculator'!$F$4,'SIP Schedule'!C4135,'SIP Schedule'!D4135,,1)),"")</f>
        <v/>
      </c>
    </row>
    <row r="4136" spans="3:6" x14ac:dyDescent="0.3">
      <c r="C4136" s="1" t="str">
        <f>IF(C4135&lt;'Investment Calculator'!$C$8*'Investment Calculator'!$F$4,'SIP Schedule'!C4135+1,"")</f>
        <v/>
      </c>
      <c r="D4136" s="27" t="str">
        <f>IF(C4136&lt;='Investment Calculator'!$C$8*'Investment Calculator'!$F$4,'Investment Calculator'!$C$6,"")</f>
        <v/>
      </c>
      <c r="E4136" s="27" t="str">
        <f>IFERROR((F4135+D4136)*'Investment Calculator'!$C$7/'Investment Calculator'!$F$4,"")</f>
        <v/>
      </c>
      <c r="F4136" s="27" t="str">
        <f>IFERROR(ABS(FV('Investment Calculator'!$C$7/'Investment Calculator'!$F$4,'SIP Schedule'!C4136,'SIP Schedule'!D4136,,1)),"")</f>
        <v/>
      </c>
    </row>
    <row r="4137" spans="3:6" x14ac:dyDescent="0.3">
      <c r="C4137" s="1" t="str">
        <f>IF(C4136&lt;'Investment Calculator'!$C$8*'Investment Calculator'!$F$4,'SIP Schedule'!C4136+1,"")</f>
        <v/>
      </c>
      <c r="D4137" s="27" t="str">
        <f>IF(C4137&lt;='Investment Calculator'!$C$8*'Investment Calculator'!$F$4,'Investment Calculator'!$C$6,"")</f>
        <v/>
      </c>
      <c r="E4137" s="27" t="str">
        <f>IFERROR((F4136+D4137)*'Investment Calculator'!$C$7/'Investment Calculator'!$F$4,"")</f>
        <v/>
      </c>
      <c r="F4137" s="27" t="str">
        <f>IFERROR(ABS(FV('Investment Calculator'!$C$7/'Investment Calculator'!$F$4,'SIP Schedule'!C4137,'SIP Schedule'!D4137,,1)),"")</f>
        <v/>
      </c>
    </row>
    <row r="4138" spans="3:6" x14ac:dyDescent="0.3">
      <c r="C4138" s="1" t="str">
        <f>IF(C4137&lt;'Investment Calculator'!$C$8*'Investment Calculator'!$F$4,'SIP Schedule'!C4137+1,"")</f>
        <v/>
      </c>
      <c r="D4138" s="27" t="str">
        <f>IF(C4138&lt;='Investment Calculator'!$C$8*'Investment Calculator'!$F$4,'Investment Calculator'!$C$6,"")</f>
        <v/>
      </c>
      <c r="E4138" s="27" t="str">
        <f>IFERROR((F4137+D4138)*'Investment Calculator'!$C$7/'Investment Calculator'!$F$4,"")</f>
        <v/>
      </c>
      <c r="F4138" s="27" t="str">
        <f>IFERROR(ABS(FV('Investment Calculator'!$C$7/'Investment Calculator'!$F$4,'SIP Schedule'!C4138,'SIP Schedule'!D4138,,1)),"")</f>
        <v/>
      </c>
    </row>
    <row r="4139" spans="3:6" x14ac:dyDescent="0.3">
      <c r="C4139" s="1" t="str">
        <f>IF(C4138&lt;'Investment Calculator'!$C$8*'Investment Calculator'!$F$4,'SIP Schedule'!C4138+1,"")</f>
        <v/>
      </c>
      <c r="D4139" s="27" t="str">
        <f>IF(C4139&lt;='Investment Calculator'!$C$8*'Investment Calculator'!$F$4,'Investment Calculator'!$C$6,"")</f>
        <v/>
      </c>
      <c r="E4139" s="27" t="str">
        <f>IFERROR((F4138+D4139)*'Investment Calculator'!$C$7/'Investment Calculator'!$F$4,"")</f>
        <v/>
      </c>
      <c r="F4139" s="27" t="str">
        <f>IFERROR(ABS(FV('Investment Calculator'!$C$7/'Investment Calculator'!$F$4,'SIP Schedule'!C4139,'SIP Schedule'!D4139,,1)),"")</f>
        <v/>
      </c>
    </row>
    <row r="4140" spans="3:6" x14ac:dyDescent="0.3">
      <c r="C4140" s="1" t="str">
        <f>IF(C4139&lt;'Investment Calculator'!$C$8*'Investment Calculator'!$F$4,'SIP Schedule'!C4139+1,"")</f>
        <v/>
      </c>
      <c r="D4140" s="27" t="str">
        <f>IF(C4140&lt;='Investment Calculator'!$C$8*'Investment Calculator'!$F$4,'Investment Calculator'!$C$6,"")</f>
        <v/>
      </c>
      <c r="E4140" s="27" t="str">
        <f>IFERROR((F4139+D4140)*'Investment Calculator'!$C$7/'Investment Calculator'!$F$4,"")</f>
        <v/>
      </c>
      <c r="F4140" s="27" t="str">
        <f>IFERROR(ABS(FV('Investment Calculator'!$C$7/'Investment Calculator'!$F$4,'SIP Schedule'!C4140,'SIP Schedule'!D4140,,1)),"")</f>
        <v/>
      </c>
    </row>
    <row r="4141" spans="3:6" x14ac:dyDescent="0.3">
      <c r="C4141" s="1" t="str">
        <f>IF(C4140&lt;'Investment Calculator'!$C$8*'Investment Calculator'!$F$4,'SIP Schedule'!C4140+1,"")</f>
        <v/>
      </c>
      <c r="D4141" s="27" t="str">
        <f>IF(C4141&lt;='Investment Calculator'!$C$8*'Investment Calculator'!$F$4,'Investment Calculator'!$C$6,"")</f>
        <v/>
      </c>
      <c r="E4141" s="27" t="str">
        <f>IFERROR((F4140+D4141)*'Investment Calculator'!$C$7/'Investment Calculator'!$F$4,"")</f>
        <v/>
      </c>
      <c r="F4141" s="27" t="str">
        <f>IFERROR(ABS(FV('Investment Calculator'!$C$7/'Investment Calculator'!$F$4,'SIP Schedule'!C4141,'SIP Schedule'!D4141,,1)),"")</f>
        <v/>
      </c>
    </row>
    <row r="4142" spans="3:6" x14ac:dyDescent="0.3">
      <c r="C4142" s="1" t="str">
        <f>IF(C4141&lt;'Investment Calculator'!$C$8*'Investment Calculator'!$F$4,'SIP Schedule'!C4141+1,"")</f>
        <v/>
      </c>
      <c r="D4142" s="27" t="str">
        <f>IF(C4142&lt;='Investment Calculator'!$C$8*'Investment Calculator'!$F$4,'Investment Calculator'!$C$6,"")</f>
        <v/>
      </c>
      <c r="E4142" s="27" t="str">
        <f>IFERROR((F4141+D4142)*'Investment Calculator'!$C$7/'Investment Calculator'!$F$4,"")</f>
        <v/>
      </c>
      <c r="F4142" s="27" t="str">
        <f>IFERROR(ABS(FV('Investment Calculator'!$C$7/'Investment Calculator'!$F$4,'SIP Schedule'!C4142,'SIP Schedule'!D4142,,1)),"")</f>
        <v/>
      </c>
    </row>
    <row r="4143" spans="3:6" x14ac:dyDescent="0.3">
      <c r="C4143" s="1" t="str">
        <f>IF(C4142&lt;'Investment Calculator'!$C$8*'Investment Calculator'!$F$4,'SIP Schedule'!C4142+1,"")</f>
        <v/>
      </c>
      <c r="D4143" s="27" t="str">
        <f>IF(C4143&lt;='Investment Calculator'!$C$8*'Investment Calculator'!$F$4,'Investment Calculator'!$C$6,"")</f>
        <v/>
      </c>
      <c r="E4143" s="27" t="str">
        <f>IFERROR((F4142+D4143)*'Investment Calculator'!$C$7/'Investment Calculator'!$F$4,"")</f>
        <v/>
      </c>
      <c r="F4143" s="27" t="str">
        <f>IFERROR(ABS(FV('Investment Calculator'!$C$7/'Investment Calculator'!$F$4,'SIP Schedule'!C4143,'SIP Schedule'!D4143,,1)),"")</f>
        <v/>
      </c>
    </row>
    <row r="4144" spans="3:6" x14ac:dyDescent="0.3">
      <c r="C4144" s="1" t="str">
        <f>IF(C4143&lt;'Investment Calculator'!$C$8*'Investment Calculator'!$F$4,'SIP Schedule'!C4143+1,"")</f>
        <v/>
      </c>
      <c r="D4144" s="27" t="str">
        <f>IF(C4144&lt;='Investment Calculator'!$C$8*'Investment Calculator'!$F$4,'Investment Calculator'!$C$6,"")</f>
        <v/>
      </c>
      <c r="E4144" s="27" t="str">
        <f>IFERROR((F4143+D4144)*'Investment Calculator'!$C$7/'Investment Calculator'!$F$4,"")</f>
        <v/>
      </c>
      <c r="F4144" s="27" t="str">
        <f>IFERROR(ABS(FV('Investment Calculator'!$C$7/'Investment Calculator'!$F$4,'SIP Schedule'!C4144,'SIP Schedule'!D4144,,1)),"")</f>
        <v/>
      </c>
    </row>
    <row r="4145" spans="3:6" x14ac:dyDescent="0.3">
      <c r="C4145" s="1" t="str">
        <f>IF(C4144&lt;'Investment Calculator'!$C$8*'Investment Calculator'!$F$4,'SIP Schedule'!C4144+1,"")</f>
        <v/>
      </c>
      <c r="D4145" s="27" t="str">
        <f>IF(C4145&lt;='Investment Calculator'!$C$8*'Investment Calculator'!$F$4,'Investment Calculator'!$C$6,"")</f>
        <v/>
      </c>
      <c r="E4145" s="27" t="str">
        <f>IFERROR((F4144+D4145)*'Investment Calculator'!$C$7/'Investment Calculator'!$F$4,"")</f>
        <v/>
      </c>
      <c r="F4145" s="27" t="str">
        <f>IFERROR(ABS(FV('Investment Calculator'!$C$7/'Investment Calculator'!$F$4,'SIP Schedule'!C4145,'SIP Schedule'!D4145,,1)),"")</f>
        <v/>
      </c>
    </row>
    <row r="4146" spans="3:6" x14ac:dyDescent="0.3">
      <c r="C4146" s="1" t="str">
        <f>IF(C4145&lt;'Investment Calculator'!$C$8*'Investment Calculator'!$F$4,'SIP Schedule'!C4145+1,"")</f>
        <v/>
      </c>
      <c r="D4146" s="27" t="str">
        <f>IF(C4146&lt;='Investment Calculator'!$C$8*'Investment Calculator'!$F$4,'Investment Calculator'!$C$6,"")</f>
        <v/>
      </c>
      <c r="E4146" s="27" t="str">
        <f>IFERROR((F4145+D4146)*'Investment Calculator'!$C$7/'Investment Calculator'!$F$4,"")</f>
        <v/>
      </c>
      <c r="F4146" s="27" t="str">
        <f>IFERROR(ABS(FV('Investment Calculator'!$C$7/'Investment Calculator'!$F$4,'SIP Schedule'!C4146,'SIP Schedule'!D4146,,1)),"")</f>
        <v/>
      </c>
    </row>
    <row r="4147" spans="3:6" x14ac:dyDescent="0.3">
      <c r="C4147" s="1" t="str">
        <f>IF(C4146&lt;'Investment Calculator'!$C$8*'Investment Calculator'!$F$4,'SIP Schedule'!C4146+1,"")</f>
        <v/>
      </c>
      <c r="D4147" s="27" t="str">
        <f>IF(C4147&lt;='Investment Calculator'!$C$8*'Investment Calculator'!$F$4,'Investment Calculator'!$C$6,"")</f>
        <v/>
      </c>
      <c r="E4147" s="27" t="str">
        <f>IFERROR((F4146+D4147)*'Investment Calculator'!$C$7/'Investment Calculator'!$F$4,"")</f>
        <v/>
      </c>
      <c r="F4147" s="27" t="str">
        <f>IFERROR(ABS(FV('Investment Calculator'!$C$7/'Investment Calculator'!$F$4,'SIP Schedule'!C4147,'SIP Schedule'!D4147,,1)),"")</f>
        <v/>
      </c>
    </row>
    <row r="4148" spans="3:6" x14ac:dyDescent="0.3">
      <c r="C4148" s="1" t="str">
        <f>IF(C4147&lt;'Investment Calculator'!$C$8*'Investment Calculator'!$F$4,'SIP Schedule'!C4147+1,"")</f>
        <v/>
      </c>
      <c r="D4148" s="27" t="str">
        <f>IF(C4148&lt;='Investment Calculator'!$C$8*'Investment Calculator'!$F$4,'Investment Calculator'!$C$6,"")</f>
        <v/>
      </c>
      <c r="E4148" s="27" t="str">
        <f>IFERROR((F4147+D4148)*'Investment Calculator'!$C$7/'Investment Calculator'!$F$4,"")</f>
        <v/>
      </c>
      <c r="F4148" s="27" t="str">
        <f>IFERROR(ABS(FV('Investment Calculator'!$C$7/'Investment Calculator'!$F$4,'SIP Schedule'!C4148,'SIP Schedule'!D4148,,1)),"")</f>
        <v/>
      </c>
    </row>
    <row r="4149" spans="3:6" x14ac:dyDescent="0.3">
      <c r="C4149" s="1" t="str">
        <f>IF(C4148&lt;'Investment Calculator'!$C$8*'Investment Calculator'!$F$4,'SIP Schedule'!C4148+1,"")</f>
        <v/>
      </c>
      <c r="D4149" s="27" t="str">
        <f>IF(C4149&lt;='Investment Calculator'!$C$8*'Investment Calculator'!$F$4,'Investment Calculator'!$C$6,"")</f>
        <v/>
      </c>
      <c r="E4149" s="27" t="str">
        <f>IFERROR((F4148+D4149)*'Investment Calculator'!$C$7/'Investment Calculator'!$F$4,"")</f>
        <v/>
      </c>
      <c r="F4149" s="27" t="str">
        <f>IFERROR(ABS(FV('Investment Calculator'!$C$7/'Investment Calculator'!$F$4,'SIP Schedule'!C4149,'SIP Schedule'!D4149,,1)),"")</f>
        <v/>
      </c>
    </row>
    <row r="4150" spans="3:6" x14ac:dyDescent="0.3">
      <c r="C4150" s="1" t="str">
        <f>IF(C4149&lt;'Investment Calculator'!$C$8*'Investment Calculator'!$F$4,'SIP Schedule'!C4149+1,"")</f>
        <v/>
      </c>
      <c r="D4150" s="27" t="str">
        <f>IF(C4150&lt;='Investment Calculator'!$C$8*'Investment Calculator'!$F$4,'Investment Calculator'!$C$6,"")</f>
        <v/>
      </c>
      <c r="E4150" s="27" t="str">
        <f>IFERROR((F4149+D4150)*'Investment Calculator'!$C$7/'Investment Calculator'!$F$4,"")</f>
        <v/>
      </c>
      <c r="F4150" s="27" t="str">
        <f>IFERROR(ABS(FV('Investment Calculator'!$C$7/'Investment Calculator'!$F$4,'SIP Schedule'!C4150,'SIP Schedule'!D4150,,1)),"")</f>
        <v/>
      </c>
    </row>
    <row r="4151" spans="3:6" x14ac:dyDescent="0.3">
      <c r="C4151" s="1" t="str">
        <f>IF(C4150&lt;'Investment Calculator'!$C$8*'Investment Calculator'!$F$4,'SIP Schedule'!C4150+1,"")</f>
        <v/>
      </c>
      <c r="D4151" s="27" t="str">
        <f>IF(C4151&lt;='Investment Calculator'!$C$8*'Investment Calculator'!$F$4,'Investment Calculator'!$C$6,"")</f>
        <v/>
      </c>
      <c r="E4151" s="27" t="str">
        <f>IFERROR((F4150+D4151)*'Investment Calculator'!$C$7/'Investment Calculator'!$F$4,"")</f>
        <v/>
      </c>
      <c r="F4151" s="27" t="str">
        <f>IFERROR(ABS(FV('Investment Calculator'!$C$7/'Investment Calculator'!$F$4,'SIP Schedule'!C4151,'SIP Schedule'!D4151,,1)),"")</f>
        <v/>
      </c>
    </row>
    <row r="4152" spans="3:6" x14ac:dyDescent="0.3">
      <c r="C4152" s="1" t="str">
        <f>IF(C4151&lt;'Investment Calculator'!$C$8*'Investment Calculator'!$F$4,'SIP Schedule'!C4151+1,"")</f>
        <v/>
      </c>
      <c r="D4152" s="27" t="str">
        <f>IF(C4152&lt;='Investment Calculator'!$C$8*'Investment Calculator'!$F$4,'Investment Calculator'!$C$6,"")</f>
        <v/>
      </c>
      <c r="E4152" s="27" t="str">
        <f>IFERROR((F4151+D4152)*'Investment Calculator'!$C$7/'Investment Calculator'!$F$4,"")</f>
        <v/>
      </c>
      <c r="F4152" s="27" t="str">
        <f>IFERROR(ABS(FV('Investment Calculator'!$C$7/'Investment Calculator'!$F$4,'SIP Schedule'!C4152,'SIP Schedule'!D4152,,1)),"")</f>
        <v/>
      </c>
    </row>
    <row r="4153" spans="3:6" x14ac:dyDescent="0.3">
      <c r="C4153" s="1" t="str">
        <f>IF(C4152&lt;'Investment Calculator'!$C$8*'Investment Calculator'!$F$4,'SIP Schedule'!C4152+1,"")</f>
        <v/>
      </c>
      <c r="D4153" s="27" t="str">
        <f>IF(C4153&lt;='Investment Calculator'!$C$8*'Investment Calculator'!$F$4,'Investment Calculator'!$C$6,"")</f>
        <v/>
      </c>
      <c r="E4153" s="27" t="str">
        <f>IFERROR((F4152+D4153)*'Investment Calculator'!$C$7/'Investment Calculator'!$F$4,"")</f>
        <v/>
      </c>
      <c r="F4153" s="27" t="str">
        <f>IFERROR(ABS(FV('Investment Calculator'!$C$7/'Investment Calculator'!$F$4,'SIP Schedule'!C4153,'SIP Schedule'!D4153,,1)),"")</f>
        <v/>
      </c>
    </row>
    <row r="4154" spans="3:6" x14ac:dyDescent="0.3">
      <c r="C4154" s="1" t="str">
        <f>IF(C4153&lt;'Investment Calculator'!$C$8*'Investment Calculator'!$F$4,'SIP Schedule'!C4153+1,"")</f>
        <v/>
      </c>
      <c r="D4154" s="27" t="str">
        <f>IF(C4154&lt;='Investment Calculator'!$C$8*'Investment Calculator'!$F$4,'Investment Calculator'!$C$6,"")</f>
        <v/>
      </c>
      <c r="E4154" s="27" t="str">
        <f>IFERROR((F4153+D4154)*'Investment Calculator'!$C$7/'Investment Calculator'!$F$4,"")</f>
        <v/>
      </c>
      <c r="F4154" s="27" t="str">
        <f>IFERROR(ABS(FV('Investment Calculator'!$C$7/'Investment Calculator'!$F$4,'SIP Schedule'!C4154,'SIP Schedule'!D4154,,1)),"")</f>
        <v/>
      </c>
    </row>
    <row r="4155" spans="3:6" x14ac:dyDescent="0.3">
      <c r="C4155" s="1" t="str">
        <f>IF(C4154&lt;'Investment Calculator'!$C$8*'Investment Calculator'!$F$4,'SIP Schedule'!C4154+1,"")</f>
        <v/>
      </c>
      <c r="D4155" s="27" t="str">
        <f>IF(C4155&lt;='Investment Calculator'!$C$8*'Investment Calculator'!$F$4,'Investment Calculator'!$C$6,"")</f>
        <v/>
      </c>
      <c r="E4155" s="27" t="str">
        <f>IFERROR((F4154+D4155)*'Investment Calculator'!$C$7/'Investment Calculator'!$F$4,"")</f>
        <v/>
      </c>
      <c r="F4155" s="27" t="str">
        <f>IFERROR(ABS(FV('Investment Calculator'!$C$7/'Investment Calculator'!$F$4,'SIP Schedule'!C4155,'SIP Schedule'!D4155,,1)),"")</f>
        <v/>
      </c>
    </row>
    <row r="4156" spans="3:6" x14ac:dyDescent="0.3">
      <c r="C4156" s="1" t="str">
        <f>IF(C4155&lt;'Investment Calculator'!$C$8*'Investment Calculator'!$F$4,'SIP Schedule'!C4155+1,"")</f>
        <v/>
      </c>
      <c r="D4156" s="27" t="str">
        <f>IF(C4156&lt;='Investment Calculator'!$C$8*'Investment Calculator'!$F$4,'Investment Calculator'!$C$6,"")</f>
        <v/>
      </c>
      <c r="E4156" s="27" t="str">
        <f>IFERROR((F4155+D4156)*'Investment Calculator'!$C$7/'Investment Calculator'!$F$4,"")</f>
        <v/>
      </c>
      <c r="F4156" s="27" t="str">
        <f>IFERROR(ABS(FV('Investment Calculator'!$C$7/'Investment Calculator'!$F$4,'SIP Schedule'!C4156,'SIP Schedule'!D4156,,1)),"")</f>
        <v/>
      </c>
    </row>
    <row r="4157" spans="3:6" x14ac:dyDescent="0.3">
      <c r="C4157" s="1" t="str">
        <f>IF(C4156&lt;'Investment Calculator'!$C$8*'Investment Calculator'!$F$4,'SIP Schedule'!C4156+1,"")</f>
        <v/>
      </c>
      <c r="D4157" s="27" t="str">
        <f>IF(C4157&lt;='Investment Calculator'!$C$8*'Investment Calculator'!$F$4,'Investment Calculator'!$C$6,"")</f>
        <v/>
      </c>
      <c r="E4157" s="27" t="str">
        <f>IFERROR((F4156+D4157)*'Investment Calculator'!$C$7/'Investment Calculator'!$F$4,"")</f>
        <v/>
      </c>
      <c r="F4157" s="27" t="str">
        <f>IFERROR(ABS(FV('Investment Calculator'!$C$7/'Investment Calculator'!$F$4,'SIP Schedule'!C4157,'SIP Schedule'!D4157,,1)),"")</f>
        <v/>
      </c>
    </row>
    <row r="4158" spans="3:6" x14ac:dyDescent="0.3">
      <c r="C4158" s="1" t="str">
        <f>IF(C4157&lt;'Investment Calculator'!$C$8*'Investment Calculator'!$F$4,'SIP Schedule'!C4157+1,"")</f>
        <v/>
      </c>
      <c r="D4158" s="27" t="str">
        <f>IF(C4158&lt;='Investment Calculator'!$C$8*'Investment Calculator'!$F$4,'Investment Calculator'!$C$6,"")</f>
        <v/>
      </c>
      <c r="E4158" s="27" t="str">
        <f>IFERROR((F4157+D4158)*'Investment Calculator'!$C$7/'Investment Calculator'!$F$4,"")</f>
        <v/>
      </c>
      <c r="F4158" s="27" t="str">
        <f>IFERROR(ABS(FV('Investment Calculator'!$C$7/'Investment Calculator'!$F$4,'SIP Schedule'!C4158,'SIP Schedule'!D4158,,1)),"")</f>
        <v/>
      </c>
    </row>
    <row r="4159" spans="3:6" x14ac:dyDescent="0.3">
      <c r="C4159" s="1" t="str">
        <f>IF(C4158&lt;'Investment Calculator'!$C$8*'Investment Calculator'!$F$4,'SIP Schedule'!C4158+1,"")</f>
        <v/>
      </c>
      <c r="D4159" s="27" t="str">
        <f>IF(C4159&lt;='Investment Calculator'!$C$8*'Investment Calculator'!$F$4,'Investment Calculator'!$C$6,"")</f>
        <v/>
      </c>
      <c r="E4159" s="27" t="str">
        <f>IFERROR((F4158+D4159)*'Investment Calculator'!$C$7/'Investment Calculator'!$F$4,"")</f>
        <v/>
      </c>
      <c r="F4159" s="27" t="str">
        <f>IFERROR(ABS(FV('Investment Calculator'!$C$7/'Investment Calculator'!$F$4,'SIP Schedule'!C4159,'SIP Schedule'!D4159,,1)),"")</f>
        <v/>
      </c>
    </row>
    <row r="4160" spans="3:6" x14ac:dyDescent="0.3">
      <c r="C4160" s="1" t="str">
        <f>IF(C4159&lt;'Investment Calculator'!$C$8*'Investment Calculator'!$F$4,'SIP Schedule'!C4159+1,"")</f>
        <v/>
      </c>
      <c r="D4160" s="27" t="str">
        <f>IF(C4160&lt;='Investment Calculator'!$C$8*'Investment Calculator'!$F$4,'Investment Calculator'!$C$6,"")</f>
        <v/>
      </c>
      <c r="E4160" s="27" t="str">
        <f>IFERROR((F4159+D4160)*'Investment Calculator'!$C$7/'Investment Calculator'!$F$4,"")</f>
        <v/>
      </c>
      <c r="F4160" s="27" t="str">
        <f>IFERROR(ABS(FV('Investment Calculator'!$C$7/'Investment Calculator'!$F$4,'SIP Schedule'!C4160,'SIP Schedule'!D4160,,1)),"")</f>
        <v/>
      </c>
    </row>
    <row r="4161" spans="3:6" x14ac:dyDescent="0.3">
      <c r="C4161" s="1" t="str">
        <f>IF(C4160&lt;'Investment Calculator'!$C$8*'Investment Calculator'!$F$4,'SIP Schedule'!C4160+1,"")</f>
        <v/>
      </c>
      <c r="D4161" s="27" t="str">
        <f>IF(C4161&lt;='Investment Calculator'!$C$8*'Investment Calculator'!$F$4,'Investment Calculator'!$C$6,"")</f>
        <v/>
      </c>
      <c r="E4161" s="27" t="str">
        <f>IFERROR((F4160+D4161)*'Investment Calculator'!$C$7/'Investment Calculator'!$F$4,"")</f>
        <v/>
      </c>
      <c r="F4161" s="27" t="str">
        <f>IFERROR(ABS(FV('Investment Calculator'!$C$7/'Investment Calculator'!$F$4,'SIP Schedule'!C4161,'SIP Schedule'!D4161,,1)),"")</f>
        <v/>
      </c>
    </row>
    <row r="4162" spans="3:6" x14ac:dyDescent="0.3">
      <c r="C4162" s="1" t="str">
        <f>IF(C4161&lt;'Investment Calculator'!$C$8*'Investment Calculator'!$F$4,'SIP Schedule'!C4161+1,"")</f>
        <v/>
      </c>
      <c r="D4162" s="27" t="str">
        <f>IF(C4162&lt;='Investment Calculator'!$C$8*'Investment Calculator'!$F$4,'Investment Calculator'!$C$6,"")</f>
        <v/>
      </c>
      <c r="E4162" s="27" t="str">
        <f>IFERROR((F4161+D4162)*'Investment Calculator'!$C$7/'Investment Calculator'!$F$4,"")</f>
        <v/>
      </c>
      <c r="F4162" s="27" t="str">
        <f>IFERROR(ABS(FV('Investment Calculator'!$C$7/'Investment Calculator'!$F$4,'SIP Schedule'!C4162,'SIP Schedule'!D4162,,1)),"")</f>
        <v/>
      </c>
    </row>
    <row r="4163" spans="3:6" x14ac:dyDescent="0.3">
      <c r="C4163" s="1" t="str">
        <f>IF(C4162&lt;'Investment Calculator'!$C$8*'Investment Calculator'!$F$4,'SIP Schedule'!C4162+1,"")</f>
        <v/>
      </c>
      <c r="D4163" s="27" t="str">
        <f>IF(C4163&lt;='Investment Calculator'!$C$8*'Investment Calculator'!$F$4,'Investment Calculator'!$C$6,"")</f>
        <v/>
      </c>
      <c r="E4163" s="27" t="str">
        <f>IFERROR((F4162+D4163)*'Investment Calculator'!$C$7/'Investment Calculator'!$F$4,"")</f>
        <v/>
      </c>
      <c r="F4163" s="27" t="str">
        <f>IFERROR(ABS(FV('Investment Calculator'!$C$7/'Investment Calculator'!$F$4,'SIP Schedule'!C4163,'SIP Schedule'!D4163,,1)),"")</f>
        <v/>
      </c>
    </row>
    <row r="4164" spans="3:6" x14ac:dyDescent="0.3">
      <c r="C4164" s="1" t="str">
        <f>IF(C4163&lt;'Investment Calculator'!$C$8*'Investment Calculator'!$F$4,'SIP Schedule'!C4163+1,"")</f>
        <v/>
      </c>
      <c r="D4164" s="27" t="str">
        <f>IF(C4164&lt;='Investment Calculator'!$C$8*'Investment Calculator'!$F$4,'Investment Calculator'!$C$6,"")</f>
        <v/>
      </c>
      <c r="E4164" s="27" t="str">
        <f>IFERROR((F4163+D4164)*'Investment Calculator'!$C$7/'Investment Calculator'!$F$4,"")</f>
        <v/>
      </c>
      <c r="F4164" s="27" t="str">
        <f>IFERROR(ABS(FV('Investment Calculator'!$C$7/'Investment Calculator'!$F$4,'SIP Schedule'!C4164,'SIP Schedule'!D4164,,1)),"")</f>
        <v/>
      </c>
    </row>
    <row r="4165" spans="3:6" x14ac:dyDescent="0.3">
      <c r="C4165" s="1" t="str">
        <f>IF(C4164&lt;'Investment Calculator'!$C$8*'Investment Calculator'!$F$4,'SIP Schedule'!C4164+1,"")</f>
        <v/>
      </c>
      <c r="D4165" s="27" t="str">
        <f>IF(C4165&lt;='Investment Calculator'!$C$8*'Investment Calculator'!$F$4,'Investment Calculator'!$C$6,"")</f>
        <v/>
      </c>
      <c r="E4165" s="27" t="str">
        <f>IFERROR((F4164+D4165)*'Investment Calculator'!$C$7/'Investment Calculator'!$F$4,"")</f>
        <v/>
      </c>
      <c r="F4165" s="27" t="str">
        <f>IFERROR(ABS(FV('Investment Calculator'!$C$7/'Investment Calculator'!$F$4,'SIP Schedule'!C4165,'SIP Schedule'!D4165,,1)),"")</f>
        <v/>
      </c>
    </row>
    <row r="4166" spans="3:6" x14ac:dyDescent="0.3">
      <c r="C4166" s="1" t="str">
        <f>IF(C4165&lt;'Investment Calculator'!$C$8*'Investment Calculator'!$F$4,'SIP Schedule'!C4165+1,"")</f>
        <v/>
      </c>
      <c r="D4166" s="27" t="str">
        <f>IF(C4166&lt;='Investment Calculator'!$C$8*'Investment Calculator'!$F$4,'Investment Calculator'!$C$6,"")</f>
        <v/>
      </c>
      <c r="E4166" s="27" t="str">
        <f>IFERROR((F4165+D4166)*'Investment Calculator'!$C$7/'Investment Calculator'!$F$4,"")</f>
        <v/>
      </c>
      <c r="F4166" s="27" t="str">
        <f>IFERROR(ABS(FV('Investment Calculator'!$C$7/'Investment Calculator'!$F$4,'SIP Schedule'!C4166,'SIP Schedule'!D4166,,1)),"")</f>
        <v/>
      </c>
    </row>
    <row r="4167" spans="3:6" x14ac:dyDescent="0.3">
      <c r="C4167" s="1" t="str">
        <f>IF(C4166&lt;'Investment Calculator'!$C$8*'Investment Calculator'!$F$4,'SIP Schedule'!C4166+1,"")</f>
        <v/>
      </c>
      <c r="D4167" s="27" t="str">
        <f>IF(C4167&lt;='Investment Calculator'!$C$8*'Investment Calculator'!$F$4,'Investment Calculator'!$C$6,"")</f>
        <v/>
      </c>
      <c r="E4167" s="27" t="str">
        <f>IFERROR((F4166+D4167)*'Investment Calculator'!$C$7/'Investment Calculator'!$F$4,"")</f>
        <v/>
      </c>
      <c r="F4167" s="27" t="str">
        <f>IFERROR(ABS(FV('Investment Calculator'!$C$7/'Investment Calculator'!$F$4,'SIP Schedule'!C4167,'SIP Schedule'!D4167,,1)),"")</f>
        <v/>
      </c>
    </row>
    <row r="4168" spans="3:6" x14ac:dyDescent="0.3">
      <c r="C4168" s="1" t="str">
        <f>IF(C4167&lt;'Investment Calculator'!$C$8*'Investment Calculator'!$F$4,'SIP Schedule'!C4167+1,"")</f>
        <v/>
      </c>
      <c r="D4168" s="27" t="str">
        <f>IF(C4168&lt;='Investment Calculator'!$C$8*'Investment Calculator'!$F$4,'Investment Calculator'!$C$6,"")</f>
        <v/>
      </c>
      <c r="E4168" s="27" t="str">
        <f>IFERROR((F4167+D4168)*'Investment Calculator'!$C$7/'Investment Calculator'!$F$4,"")</f>
        <v/>
      </c>
      <c r="F4168" s="27" t="str">
        <f>IFERROR(ABS(FV('Investment Calculator'!$C$7/'Investment Calculator'!$F$4,'SIP Schedule'!C4168,'SIP Schedule'!D4168,,1)),"")</f>
        <v/>
      </c>
    </row>
    <row r="4169" spans="3:6" x14ac:dyDescent="0.3">
      <c r="C4169" s="1" t="str">
        <f>IF(C4168&lt;'Investment Calculator'!$C$8*'Investment Calculator'!$F$4,'SIP Schedule'!C4168+1,"")</f>
        <v/>
      </c>
      <c r="D4169" s="27" t="str">
        <f>IF(C4169&lt;='Investment Calculator'!$C$8*'Investment Calculator'!$F$4,'Investment Calculator'!$C$6,"")</f>
        <v/>
      </c>
      <c r="E4169" s="27" t="str">
        <f>IFERROR((F4168+D4169)*'Investment Calculator'!$C$7/'Investment Calculator'!$F$4,"")</f>
        <v/>
      </c>
      <c r="F4169" s="27" t="str">
        <f>IFERROR(ABS(FV('Investment Calculator'!$C$7/'Investment Calculator'!$F$4,'SIP Schedule'!C4169,'SIP Schedule'!D4169,,1)),"")</f>
        <v/>
      </c>
    </row>
    <row r="4170" spans="3:6" x14ac:dyDescent="0.3">
      <c r="C4170" s="1" t="str">
        <f>IF(C4169&lt;'Investment Calculator'!$C$8*'Investment Calculator'!$F$4,'SIP Schedule'!C4169+1,"")</f>
        <v/>
      </c>
      <c r="D4170" s="27" t="str">
        <f>IF(C4170&lt;='Investment Calculator'!$C$8*'Investment Calculator'!$F$4,'Investment Calculator'!$C$6,"")</f>
        <v/>
      </c>
      <c r="E4170" s="27" t="str">
        <f>IFERROR((F4169+D4170)*'Investment Calculator'!$C$7/'Investment Calculator'!$F$4,"")</f>
        <v/>
      </c>
      <c r="F4170" s="27" t="str">
        <f>IFERROR(ABS(FV('Investment Calculator'!$C$7/'Investment Calculator'!$F$4,'SIP Schedule'!C4170,'SIP Schedule'!D4170,,1)),"")</f>
        <v/>
      </c>
    </row>
    <row r="4171" spans="3:6" x14ac:dyDescent="0.3">
      <c r="C4171" s="1" t="str">
        <f>IF(C4170&lt;'Investment Calculator'!$C$8*'Investment Calculator'!$F$4,'SIP Schedule'!C4170+1,"")</f>
        <v/>
      </c>
      <c r="D4171" s="27" t="str">
        <f>IF(C4171&lt;='Investment Calculator'!$C$8*'Investment Calculator'!$F$4,'Investment Calculator'!$C$6,"")</f>
        <v/>
      </c>
      <c r="E4171" s="27" t="str">
        <f>IFERROR((F4170+D4171)*'Investment Calculator'!$C$7/'Investment Calculator'!$F$4,"")</f>
        <v/>
      </c>
      <c r="F4171" s="27" t="str">
        <f>IFERROR(ABS(FV('Investment Calculator'!$C$7/'Investment Calculator'!$F$4,'SIP Schedule'!C4171,'SIP Schedule'!D4171,,1)),"")</f>
        <v/>
      </c>
    </row>
    <row r="4172" spans="3:6" x14ac:dyDescent="0.3">
      <c r="C4172" s="1" t="str">
        <f>IF(C4171&lt;'Investment Calculator'!$C$8*'Investment Calculator'!$F$4,'SIP Schedule'!C4171+1,"")</f>
        <v/>
      </c>
      <c r="D4172" s="27" t="str">
        <f>IF(C4172&lt;='Investment Calculator'!$C$8*'Investment Calculator'!$F$4,'Investment Calculator'!$C$6,"")</f>
        <v/>
      </c>
      <c r="E4172" s="27" t="str">
        <f>IFERROR((F4171+D4172)*'Investment Calculator'!$C$7/'Investment Calculator'!$F$4,"")</f>
        <v/>
      </c>
      <c r="F4172" s="27" t="str">
        <f>IFERROR(ABS(FV('Investment Calculator'!$C$7/'Investment Calculator'!$F$4,'SIP Schedule'!C4172,'SIP Schedule'!D4172,,1)),"")</f>
        <v/>
      </c>
    </row>
    <row r="4173" spans="3:6" x14ac:dyDescent="0.3">
      <c r="C4173" s="1" t="str">
        <f>IF(C4172&lt;'Investment Calculator'!$C$8*'Investment Calculator'!$F$4,'SIP Schedule'!C4172+1,"")</f>
        <v/>
      </c>
      <c r="D4173" s="27" t="str">
        <f>IF(C4173&lt;='Investment Calculator'!$C$8*'Investment Calculator'!$F$4,'Investment Calculator'!$C$6,"")</f>
        <v/>
      </c>
      <c r="E4173" s="27" t="str">
        <f>IFERROR((F4172+D4173)*'Investment Calculator'!$C$7/'Investment Calculator'!$F$4,"")</f>
        <v/>
      </c>
      <c r="F4173" s="27" t="str">
        <f>IFERROR(ABS(FV('Investment Calculator'!$C$7/'Investment Calculator'!$F$4,'SIP Schedule'!C4173,'SIP Schedule'!D4173,,1)),"")</f>
        <v/>
      </c>
    </row>
    <row r="4174" spans="3:6" x14ac:dyDescent="0.3">
      <c r="C4174" s="1" t="str">
        <f>IF(C4173&lt;'Investment Calculator'!$C$8*'Investment Calculator'!$F$4,'SIP Schedule'!C4173+1,"")</f>
        <v/>
      </c>
      <c r="D4174" s="27" t="str">
        <f>IF(C4174&lt;='Investment Calculator'!$C$8*'Investment Calculator'!$F$4,'Investment Calculator'!$C$6,"")</f>
        <v/>
      </c>
      <c r="E4174" s="27" t="str">
        <f>IFERROR((F4173+D4174)*'Investment Calculator'!$C$7/'Investment Calculator'!$F$4,"")</f>
        <v/>
      </c>
      <c r="F4174" s="27" t="str">
        <f>IFERROR(ABS(FV('Investment Calculator'!$C$7/'Investment Calculator'!$F$4,'SIP Schedule'!C4174,'SIP Schedule'!D4174,,1)),"")</f>
        <v/>
      </c>
    </row>
    <row r="4175" spans="3:6" x14ac:dyDescent="0.3">
      <c r="C4175" s="1" t="str">
        <f>IF(C4174&lt;'Investment Calculator'!$C$8*'Investment Calculator'!$F$4,'SIP Schedule'!C4174+1,"")</f>
        <v/>
      </c>
      <c r="D4175" s="27" t="str">
        <f>IF(C4175&lt;='Investment Calculator'!$C$8*'Investment Calculator'!$F$4,'Investment Calculator'!$C$6,"")</f>
        <v/>
      </c>
      <c r="E4175" s="27" t="str">
        <f>IFERROR((F4174+D4175)*'Investment Calculator'!$C$7/'Investment Calculator'!$F$4,"")</f>
        <v/>
      </c>
      <c r="F4175" s="27" t="str">
        <f>IFERROR(ABS(FV('Investment Calculator'!$C$7/'Investment Calculator'!$F$4,'SIP Schedule'!C4175,'SIP Schedule'!D4175,,1)),"")</f>
        <v/>
      </c>
    </row>
    <row r="4176" spans="3:6" x14ac:dyDescent="0.3">
      <c r="C4176" s="1" t="str">
        <f>IF(C4175&lt;'Investment Calculator'!$C$8*'Investment Calculator'!$F$4,'SIP Schedule'!C4175+1,"")</f>
        <v/>
      </c>
      <c r="D4176" s="27" t="str">
        <f>IF(C4176&lt;='Investment Calculator'!$C$8*'Investment Calculator'!$F$4,'Investment Calculator'!$C$6,"")</f>
        <v/>
      </c>
      <c r="E4176" s="27" t="str">
        <f>IFERROR((F4175+D4176)*'Investment Calculator'!$C$7/'Investment Calculator'!$F$4,"")</f>
        <v/>
      </c>
      <c r="F4176" s="27" t="str">
        <f>IFERROR(ABS(FV('Investment Calculator'!$C$7/'Investment Calculator'!$F$4,'SIP Schedule'!C4176,'SIP Schedule'!D4176,,1)),"")</f>
        <v/>
      </c>
    </row>
    <row r="4177" spans="3:6" x14ac:dyDescent="0.3">
      <c r="C4177" s="1" t="str">
        <f>IF(C4176&lt;'Investment Calculator'!$C$8*'Investment Calculator'!$F$4,'SIP Schedule'!C4176+1,"")</f>
        <v/>
      </c>
      <c r="D4177" s="27" t="str">
        <f>IF(C4177&lt;='Investment Calculator'!$C$8*'Investment Calculator'!$F$4,'Investment Calculator'!$C$6,"")</f>
        <v/>
      </c>
      <c r="E4177" s="27" t="str">
        <f>IFERROR((F4176+D4177)*'Investment Calculator'!$C$7/'Investment Calculator'!$F$4,"")</f>
        <v/>
      </c>
      <c r="F4177" s="27" t="str">
        <f>IFERROR(ABS(FV('Investment Calculator'!$C$7/'Investment Calculator'!$F$4,'SIP Schedule'!C4177,'SIP Schedule'!D4177,,1)),"")</f>
        <v/>
      </c>
    </row>
    <row r="4178" spans="3:6" x14ac:dyDescent="0.3">
      <c r="C4178" s="1" t="str">
        <f>IF(C4177&lt;'Investment Calculator'!$C$8*'Investment Calculator'!$F$4,'SIP Schedule'!C4177+1,"")</f>
        <v/>
      </c>
      <c r="D4178" s="27" t="str">
        <f>IF(C4178&lt;='Investment Calculator'!$C$8*'Investment Calculator'!$F$4,'Investment Calculator'!$C$6,"")</f>
        <v/>
      </c>
      <c r="E4178" s="27" t="str">
        <f>IFERROR((F4177+D4178)*'Investment Calculator'!$C$7/'Investment Calculator'!$F$4,"")</f>
        <v/>
      </c>
      <c r="F4178" s="27" t="str">
        <f>IFERROR(ABS(FV('Investment Calculator'!$C$7/'Investment Calculator'!$F$4,'SIP Schedule'!C4178,'SIP Schedule'!D4178,,1)),"")</f>
        <v/>
      </c>
    </row>
    <row r="4179" spans="3:6" x14ac:dyDescent="0.3">
      <c r="C4179" s="1" t="str">
        <f>IF(C4178&lt;'Investment Calculator'!$C$8*'Investment Calculator'!$F$4,'SIP Schedule'!C4178+1,"")</f>
        <v/>
      </c>
      <c r="D4179" s="27" t="str">
        <f>IF(C4179&lt;='Investment Calculator'!$C$8*'Investment Calculator'!$F$4,'Investment Calculator'!$C$6,"")</f>
        <v/>
      </c>
      <c r="E4179" s="27" t="str">
        <f>IFERROR((F4178+D4179)*'Investment Calculator'!$C$7/'Investment Calculator'!$F$4,"")</f>
        <v/>
      </c>
      <c r="F4179" s="27" t="str">
        <f>IFERROR(ABS(FV('Investment Calculator'!$C$7/'Investment Calculator'!$F$4,'SIP Schedule'!C4179,'SIP Schedule'!D4179,,1)),"")</f>
        <v/>
      </c>
    </row>
    <row r="4180" spans="3:6" x14ac:dyDescent="0.3">
      <c r="C4180" s="1" t="str">
        <f>IF(C4179&lt;'Investment Calculator'!$C$8*'Investment Calculator'!$F$4,'SIP Schedule'!C4179+1,"")</f>
        <v/>
      </c>
      <c r="D4180" s="27" t="str">
        <f>IF(C4180&lt;='Investment Calculator'!$C$8*'Investment Calculator'!$F$4,'Investment Calculator'!$C$6,"")</f>
        <v/>
      </c>
      <c r="E4180" s="27" t="str">
        <f>IFERROR((F4179+D4180)*'Investment Calculator'!$C$7/'Investment Calculator'!$F$4,"")</f>
        <v/>
      </c>
      <c r="F4180" s="27" t="str">
        <f>IFERROR(ABS(FV('Investment Calculator'!$C$7/'Investment Calculator'!$F$4,'SIP Schedule'!C4180,'SIP Schedule'!D4180,,1)),"")</f>
        <v/>
      </c>
    </row>
    <row r="4181" spans="3:6" x14ac:dyDescent="0.3">
      <c r="C4181" s="1" t="str">
        <f>IF(C4180&lt;'Investment Calculator'!$C$8*'Investment Calculator'!$F$4,'SIP Schedule'!C4180+1,"")</f>
        <v/>
      </c>
      <c r="D4181" s="27" t="str">
        <f>IF(C4181&lt;='Investment Calculator'!$C$8*'Investment Calculator'!$F$4,'Investment Calculator'!$C$6,"")</f>
        <v/>
      </c>
      <c r="E4181" s="27" t="str">
        <f>IFERROR((F4180+D4181)*'Investment Calculator'!$C$7/'Investment Calculator'!$F$4,"")</f>
        <v/>
      </c>
      <c r="F4181" s="27" t="str">
        <f>IFERROR(ABS(FV('Investment Calculator'!$C$7/'Investment Calculator'!$F$4,'SIP Schedule'!C4181,'SIP Schedule'!D4181,,1)),"")</f>
        <v/>
      </c>
    </row>
    <row r="4182" spans="3:6" x14ac:dyDescent="0.3">
      <c r="C4182" s="1" t="str">
        <f>IF(C4181&lt;'Investment Calculator'!$C$8*'Investment Calculator'!$F$4,'SIP Schedule'!C4181+1,"")</f>
        <v/>
      </c>
      <c r="D4182" s="27" t="str">
        <f>IF(C4182&lt;='Investment Calculator'!$C$8*'Investment Calculator'!$F$4,'Investment Calculator'!$C$6,"")</f>
        <v/>
      </c>
      <c r="E4182" s="27" t="str">
        <f>IFERROR((F4181+D4182)*'Investment Calculator'!$C$7/'Investment Calculator'!$F$4,"")</f>
        <v/>
      </c>
      <c r="F4182" s="27" t="str">
        <f>IFERROR(ABS(FV('Investment Calculator'!$C$7/'Investment Calculator'!$F$4,'SIP Schedule'!C4182,'SIP Schedule'!D4182,,1)),"")</f>
        <v/>
      </c>
    </row>
    <row r="4183" spans="3:6" x14ac:dyDescent="0.3">
      <c r="C4183" s="1" t="str">
        <f>IF(C4182&lt;'Investment Calculator'!$C$8*'Investment Calculator'!$F$4,'SIP Schedule'!C4182+1,"")</f>
        <v/>
      </c>
      <c r="D4183" s="27" t="str">
        <f>IF(C4183&lt;='Investment Calculator'!$C$8*'Investment Calculator'!$F$4,'Investment Calculator'!$C$6,"")</f>
        <v/>
      </c>
      <c r="E4183" s="27" t="str">
        <f>IFERROR((F4182+D4183)*'Investment Calculator'!$C$7/'Investment Calculator'!$F$4,"")</f>
        <v/>
      </c>
      <c r="F4183" s="27" t="str">
        <f>IFERROR(ABS(FV('Investment Calculator'!$C$7/'Investment Calculator'!$F$4,'SIP Schedule'!C4183,'SIP Schedule'!D4183,,1)),"")</f>
        <v/>
      </c>
    </row>
    <row r="4184" spans="3:6" x14ac:dyDescent="0.3">
      <c r="C4184" s="1" t="str">
        <f>IF(C4183&lt;'Investment Calculator'!$C$8*'Investment Calculator'!$F$4,'SIP Schedule'!C4183+1,"")</f>
        <v/>
      </c>
      <c r="D4184" s="27" t="str">
        <f>IF(C4184&lt;='Investment Calculator'!$C$8*'Investment Calculator'!$F$4,'Investment Calculator'!$C$6,"")</f>
        <v/>
      </c>
      <c r="E4184" s="27" t="str">
        <f>IFERROR((F4183+D4184)*'Investment Calculator'!$C$7/'Investment Calculator'!$F$4,"")</f>
        <v/>
      </c>
      <c r="F4184" s="27" t="str">
        <f>IFERROR(ABS(FV('Investment Calculator'!$C$7/'Investment Calculator'!$F$4,'SIP Schedule'!C4184,'SIP Schedule'!D4184,,1)),"")</f>
        <v/>
      </c>
    </row>
    <row r="4185" spans="3:6" x14ac:dyDescent="0.3">
      <c r="C4185" s="1" t="str">
        <f>IF(C4184&lt;'Investment Calculator'!$C$8*'Investment Calculator'!$F$4,'SIP Schedule'!C4184+1,"")</f>
        <v/>
      </c>
      <c r="D4185" s="27" t="str">
        <f>IF(C4185&lt;='Investment Calculator'!$C$8*'Investment Calculator'!$F$4,'Investment Calculator'!$C$6,"")</f>
        <v/>
      </c>
      <c r="E4185" s="27" t="str">
        <f>IFERROR((F4184+D4185)*'Investment Calculator'!$C$7/'Investment Calculator'!$F$4,"")</f>
        <v/>
      </c>
      <c r="F4185" s="27" t="str">
        <f>IFERROR(ABS(FV('Investment Calculator'!$C$7/'Investment Calculator'!$F$4,'SIP Schedule'!C4185,'SIP Schedule'!D4185,,1)),"")</f>
        <v/>
      </c>
    </row>
    <row r="4186" spans="3:6" x14ac:dyDescent="0.3">
      <c r="C4186" s="1" t="str">
        <f>IF(C4185&lt;'Investment Calculator'!$C$8*'Investment Calculator'!$F$4,'SIP Schedule'!C4185+1,"")</f>
        <v/>
      </c>
      <c r="D4186" s="27" t="str">
        <f>IF(C4186&lt;='Investment Calculator'!$C$8*'Investment Calculator'!$F$4,'Investment Calculator'!$C$6,"")</f>
        <v/>
      </c>
      <c r="E4186" s="27" t="str">
        <f>IFERROR((F4185+D4186)*'Investment Calculator'!$C$7/'Investment Calculator'!$F$4,"")</f>
        <v/>
      </c>
      <c r="F4186" s="27" t="str">
        <f>IFERROR(ABS(FV('Investment Calculator'!$C$7/'Investment Calculator'!$F$4,'SIP Schedule'!C4186,'SIP Schedule'!D4186,,1)),"")</f>
        <v/>
      </c>
    </row>
    <row r="4187" spans="3:6" x14ac:dyDescent="0.3">
      <c r="C4187" s="1" t="str">
        <f>IF(C4186&lt;'Investment Calculator'!$C$8*'Investment Calculator'!$F$4,'SIP Schedule'!C4186+1,"")</f>
        <v/>
      </c>
      <c r="D4187" s="27" t="str">
        <f>IF(C4187&lt;='Investment Calculator'!$C$8*'Investment Calculator'!$F$4,'Investment Calculator'!$C$6,"")</f>
        <v/>
      </c>
      <c r="E4187" s="27" t="str">
        <f>IFERROR((F4186+D4187)*'Investment Calculator'!$C$7/'Investment Calculator'!$F$4,"")</f>
        <v/>
      </c>
      <c r="F4187" s="27" t="str">
        <f>IFERROR(ABS(FV('Investment Calculator'!$C$7/'Investment Calculator'!$F$4,'SIP Schedule'!C4187,'SIP Schedule'!D4187,,1)),"")</f>
        <v/>
      </c>
    </row>
    <row r="4188" spans="3:6" x14ac:dyDescent="0.3">
      <c r="C4188" s="1" t="str">
        <f>IF(C4187&lt;'Investment Calculator'!$C$8*'Investment Calculator'!$F$4,'SIP Schedule'!C4187+1,"")</f>
        <v/>
      </c>
      <c r="D4188" s="27" t="str">
        <f>IF(C4188&lt;='Investment Calculator'!$C$8*'Investment Calculator'!$F$4,'Investment Calculator'!$C$6,"")</f>
        <v/>
      </c>
      <c r="E4188" s="27" t="str">
        <f>IFERROR((F4187+D4188)*'Investment Calculator'!$C$7/'Investment Calculator'!$F$4,"")</f>
        <v/>
      </c>
      <c r="F4188" s="27" t="str">
        <f>IFERROR(ABS(FV('Investment Calculator'!$C$7/'Investment Calculator'!$F$4,'SIP Schedule'!C4188,'SIP Schedule'!D4188,,1)),"")</f>
        <v/>
      </c>
    </row>
    <row r="4189" spans="3:6" x14ac:dyDescent="0.3">
      <c r="C4189" s="1" t="str">
        <f>IF(C4188&lt;'Investment Calculator'!$C$8*'Investment Calculator'!$F$4,'SIP Schedule'!C4188+1,"")</f>
        <v/>
      </c>
      <c r="D4189" s="27" t="str">
        <f>IF(C4189&lt;='Investment Calculator'!$C$8*'Investment Calculator'!$F$4,'Investment Calculator'!$C$6,"")</f>
        <v/>
      </c>
      <c r="E4189" s="27" t="str">
        <f>IFERROR((F4188+D4189)*'Investment Calculator'!$C$7/'Investment Calculator'!$F$4,"")</f>
        <v/>
      </c>
      <c r="F4189" s="27" t="str">
        <f>IFERROR(ABS(FV('Investment Calculator'!$C$7/'Investment Calculator'!$F$4,'SIP Schedule'!C4189,'SIP Schedule'!D4189,,1)),"")</f>
        <v/>
      </c>
    </row>
    <row r="4190" spans="3:6" x14ac:dyDescent="0.3">
      <c r="C4190" s="1" t="str">
        <f>IF(C4189&lt;'Investment Calculator'!$C$8*'Investment Calculator'!$F$4,'SIP Schedule'!C4189+1,"")</f>
        <v/>
      </c>
      <c r="D4190" s="27" t="str">
        <f>IF(C4190&lt;='Investment Calculator'!$C$8*'Investment Calculator'!$F$4,'Investment Calculator'!$C$6,"")</f>
        <v/>
      </c>
      <c r="E4190" s="27" t="str">
        <f>IFERROR((F4189+D4190)*'Investment Calculator'!$C$7/'Investment Calculator'!$F$4,"")</f>
        <v/>
      </c>
      <c r="F4190" s="27" t="str">
        <f>IFERROR(ABS(FV('Investment Calculator'!$C$7/'Investment Calculator'!$F$4,'SIP Schedule'!C4190,'SIP Schedule'!D4190,,1)),"")</f>
        <v/>
      </c>
    </row>
    <row r="4191" spans="3:6" x14ac:dyDescent="0.3">
      <c r="C4191" s="1" t="str">
        <f>IF(C4190&lt;'Investment Calculator'!$C$8*'Investment Calculator'!$F$4,'SIP Schedule'!C4190+1,"")</f>
        <v/>
      </c>
      <c r="D4191" s="27" t="str">
        <f>IF(C4191&lt;='Investment Calculator'!$C$8*'Investment Calculator'!$F$4,'Investment Calculator'!$C$6,"")</f>
        <v/>
      </c>
      <c r="E4191" s="27" t="str">
        <f>IFERROR((F4190+D4191)*'Investment Calculator'!$C$7/'Investment Calculator'!$F$4,"")</f>
        <v/>
      </c>
      <c r="F4191" s="27" t="str">
        <f>IFERROR(ABS(FV('Investment Calculator'!$C$7/'Investment Calculator'!$F$4,'SIP Schedule'!C4191,'SIP Schedule'!D4191,,1)),"")</f>
        <v/>
      </c>
    </row>
    <row r="4192" spans="3:6" x14ac:dyDescent="0.3">
      <c r="C4192" s="1" t="str">
        <f>IF(C4191&lt;'Investment Calculator'!$C$8*'Investment Calculator'!$F$4,'SIP Schedule'!C4191+1,"")</f>
        <v/>
      </c>
      <c r="D4192" s="27" t="str">
        <f>IF(C4192&lt;='Investment Calculator'!$C$8*'Investment Calculator'!$F$4,'Investment Calculator'!$C$6,"")</f>
        <v/>
      </c>
      <c r="E4192" s="27" t="str">
        <f>IFERROR((F4191+D4192)*'Investment Calculator'!$C$7/'Investment Calculator'!$F$4,"")</f>
        <v/>
      </c>
      <c r="F4192" s="27" t="str">
        <f>IFERROR(ABS(FV('Investment Calculator'!$C$7/'Investment Calculator'!$F$4,'SIP Schedule'!C4192,'SIP Schedule'!D4192,,1)),"")</f>
        <v/>
      </c>
    </row>
    <row r="4193" spans="3:6" x14ac:dyDescent="0.3">
      <c r="C4193" s="1" t="str">
        <f>IF(C4192&lt;'Investment Calculator'!$C$8*'Investment Calculator'!$F$4,'SIP Schedule'!C4192+1,"")</f>
        <v/>
      </c>
      <c r="D4193" s="27" t="str">
        <f>IF(C4193&lt;='Investment Calculator'!$C$8*'Investment Calculator'!$F$4,'Investment Calculator'!$C$6,"")</f>
        <v/>
      </c>
      <c r="E4193" s="27" t="str">
        <f>IFERROR((F4192+D4193)*'Investment Calculator'!$C$7/'Investment Calculator'!$F$4,"")</f>
        <v/>
      </c>
      <c r="F4193" s="27" t="str">
        <f>IFERROR(ABS(FV('Investment Calculator'!$C$7/'Investment Calculator'!$F$4,'SIP Schedule'!C4193,'SIP Schedule'!D4193,,1)),"")</f>
        <v/>
      </c>
    </row>
    <row r="4194" spans="3:6" x14ac:dyDescent="0.3">
      <c r="C4194" s="1" t="str">
        <f>IF(C4193&lt;'Investment Calculator'!$C$8*'Investment Calculator'!$F$4,'SIP Schedule'!C4193+1,"")</f>
        <v/>
      </c>
      <c r="D4194" s="27" t="str">
        <f>IF(C4194&lt;='Investment Calculator'!$C$8*'Investment Calculator'!$F$4,'Investment Calculator'!$C$6,"")</f>
        <v/>
      </c>
      <c r="E4194" s="27" t="str">
        <f>IFERROR((F4193+D4194)*'Investment Calculator'!$C$7/'Investment Calculator'!$F$4,"")</f>
        <v/>
      </c>
      <c r="F4194" s="27" t="str">
        <f>IFERROR(ABS(FV('Investment Calculator'!$C$7/'Investment Calculator'!$F$4,'SIP Schedule'!C4194,'SIP Schedule'!D4194,,1)),"")</f>
        <v/>
      </c>
    </row>
    <row r="4195" spans="3:6" x14ac:dyDescent="0.3">
      <c r="C4195" s="1" t="str">
        <f>IF(C4194&lt;'Investment Calculator'!$C$8*'Investment Calculator'!$F$4,'SIP Schedule'!C4194+1,"")</f>
        <v/>
      </c>
      <c r="D4195" s="27" t="str">
        <f>IF(C4195&lt;='Investment Calculator'!$C$8*'Investment Calculator'!$F$4,'Investment Calculator'!$C$6,"")</f>
        <v/>
      </c>
      <c r="E4195" s="27" t="str">
        <f>IFERROR((F4194+D4195)*'Investment Calculator'!$C$7/'Investment Calculator'!$F$4,"")</f>
        <v/>
      </c>
      <c r="F4195" s="27" t="str">
        <f>IFERROR(ABS(FV('Investment Calculator'!$C$7/'Investment Calculator'!$F$4,'SIP Schedule'!C4195,'SIP Schedule'!D4195,,1)),"")</f>
        <v/>
      </c>
    </row>
    <row r="4196" spans="3:6" x14ac:dyDescent="0.3">
      <c r="C4196" s="1" t="str">
        <f>IF(C4195&lt;'Investment Calculator'!$C$8*'Investment Calculator'!$F$4,'SIP Schedule'!C4195+1,"")</f>
        <v/>
      </c>
      <c r="D4196" s="27" t="str">
        <f>IF(C4196&lt;='Investment Calculator'!$C$8*'Investment Calculator'!$F$4,'Investment Calculator'!$C$6,"")</f>
        <v/>
      </c>
      <c r="E4196" s="27" t="str">
        <f>IFERROR((F4195+D4196)*'Investment Calculator'!$C$7/'Investment Calculator'!$F$4,"")</f>
        <v/>
      </c>
      <c r="F4196" s="27" t="str">
        <f>IFERROR(ABS(FV('Investment Calculator'!$C$7/'Investment Calculator'!$F$4,'SIP Schedule'!C4196,'SIP Schedule'!D4196,,1)),"")</f>
        <v/>
      </c>
    </row>
    <row r="4197" spans="3:6" x14ac:dyDescent="0.3">
      <c r="C4197" s="1" t="str">
        <f>IF(C4196&lt;'Investment Calculator'!$C$8*'Investment Calculator'!$F$4,'SIP Schedule'!C4196+1,"")</f>
        <v/>
      </c>
      <c r="D4197" s="27" t="str">
        <f>IF(C4197&lt;='Investment Calculator'!$C$8*'Investment Calculator'!$F$4,'Investment Calculator'!$C$6,"")</f>
        <v/>
      </c>
      <c r="E4197" s="27" t="str">
        <f>IFERROR((F4196+D4197)*'Investment Calculator'!$C$7/'Investment Calculator'!$F$4,"")</f>
        <v/>
      </c>
      <c r="F4197" s="27" t="str">
        <f>IFERROR(ABS(FV('Investment Calculator'!$C$7/'Investment Calculator'!$F$4,'SIP Schedule'!C4197,'SIP Schedule'!D4197,,1)),"")</f>
        <v/>
      </c>
    </row>
    <row r="4198" spans="3:6" x14ac:dyDescent="0.3">
      <c r="C4198" s="1" t="str">
        <f>IF(C4197&lt;'Investment Calculator'!$C$8*'Investment Calculator'!$F$4,'SIP Schedule'!C4197+1,"")</f>
        <v/>
      </c>
      <c r="D4198" s="27" t="str">
        <f>IF(C4198&lt;='Investment Calculator'!$C$8*'Investment Calculator'!$F$4,'Investment Calculator'!$C$6,"")</f>
        <v/>
      </c>
      <c r="E4198" s="27" t="str">
        <f>IFERROR((F4197+D4198)*'Investment Calculator'!$C$7/'Investment Calculator'!$F$4,"")</f>
        <v/>
      </c>
      <c r="F4198" s="27" t="str">
        <f>IFERROR(ABS(FV('Investment Calculator'!$C$7/'Investment Calculator'!$F$4,'SIP Schedule'!C4198,'SIP Schedule'!D4198,,1)),"")</f>
        <v/>
      </c>
    </row>
    <row r="4199" spans="3:6" x14ac:dyDescent="0.3">
      <c r="C4199" s="1" t="str">
        <f>IF(C4198&lt;'Investment Calculator'!$C$8*'Investment Calculator'!$F$4,'SIP Schedule'!C4198+1,"")</f>
        <v/>
      </c>
      <c r="D4199" s="27" t="str">
        <f>IF(C4199&lt;='Investment Calculator'!$C$8*'Investment Calculator'!$F$4,'Investment Calculator'!$C$6,"")</f>
        <v/>
      </c>
      <c r="E4199" s="27" t="str">
        <f>IFERROR((F4198+D4199)*'Investment Calculator'!$C$7/'Investment Calculator'!$F$4,"")</f>
        <v/>
      </c>
      <c r="F4199" s="27" t="str">
        <f>IFERROR(ABS(FV('Investment Calculator'!$C$7/'Investment Calculator'!$F$4,'SIP Schedule'!C4199,'SIP Schedule'!D4199,,1)),"")</f>
        <v/>
      </c>
    </row>
    <row r="4200" spans="3:6" x14ac:dyDescent="0.3">
      <c r="C4200" s="1" t="str">
        <f>IF(C4199&lt;'Investment Calculator'!$C$8*'Investment Calculator'!$F$4,'SIP Schedule'!C4199+1,"")</f>
        <v/>
      </c>
      <c r="D4200" s="27" t="str">
        <f>IF(C4200&lt;='Investment Calculator'!$C$8*'Investment Calculator'!$F$4,'Investment Calculator'!$C$6,"")</f>
        <v/>
      </c>
      <c r="E4200" s="27" t="str">
        <f>IFERROR((F4199+D4200)*'Investment Calculator'!$C$7/'Investment Calculator'!$F$4,"")</f>
        <v/>
      </c>
      <c r="F4200" s="27" t="str">
        <f>IFERROR(ABS(FV('Investment Calculator'!$C$7/'Investment Calculator'!$F$4,'SIP Schedule'!C4200,'SIP Schedule'!D4200,,1)),"")</f>
        <v/>
      </c>
    </row>
    <row r="4201" spans="3:6" x14ac:dyDescent="0.3">
      <c r="C4201" s="1" t="str">
        <f>IF(C4200&lt;'Investment Calculator'!$C$8*'Investment Calculator'!$F$4,'SIP Schedule'!C4200+1,"")</f>
        <v/>
      </c>
      <c r="D4201" s="27" t="str">
        <f>IF(C4201&lt;='Investment Calculator'!$C$8*'Investment Calculator'!$F$4,'Investment Calculator'!$C$6,"")</f>
        <v/>
      </c>
      <c r="E4201" s="27" t="str">
        <f>IFERROR((F4200+D4201)*'Investment Calculator'!$C$7/'Investment Calculator'!$F$4,"")</f>
        <v/>
      </c>
      <c r="F4201" s="27" t="str">
        <f>IFERROR(ABS(FV('Investment Calculator'!$C$7/'Investment Calculator'!$F$4,'SIP Schedule'!C4201,'SIP Schedule'!D4201,,1)),"")</f>
        <v/>
      </c>
    </row>
    <row r="4202" spans="3:6" x14ac:dyDescent="0.3">
      <c r="C4202" s="1" t="str">
        <f>IF(C4201&lt;'Investment Calculator'!$C$8*'Investment Calculator'!$F$4,'SIP Schedule'!C4201+1,"")</f>
        <v/>
      </c>
      <c r="D4202" s="27" t="str">
        <f>IF(C4202&lt;='Investment Calculator'!$C$8*'Investment Calculator'!$F$4,'Investment Calculator'!$C$6,"")</f>
        <v/>
      </c>
      <c r="E4202" s="27" t="str">
        <f>IFERROR((F4201+D4202)*'Investment Calculator'!$C$7/'Investment Calculator'!$F$4,"")</f>
        <v/>
      </c>
      <c r="F4202" s="27" t="str">
        <f>IFERROR(ABS(FV('Investment Calculator'!$C$7/'Investment Calculator'!$F$4,'SIP Schedule'!C4202,'SIP Schedule'!D4202,,1)),"")</f>
        <v/>
      </c>
    </row>
    <row r="4203" spans="3:6" x14ac:dyDescent="0.3">
      <c r="C4203" s="1" t="str">
        <f>IF(C4202&lt;'Investment Calculator'!$C$8*'Investment Calculator'!$F$4,'SIP Schedule'!C4202+1,"")</f>
        <v/>
      </c>
      <c r="D4203" s="27" t="str">
        <f>IF(C4203&lt;='Investment Calculator'!$C$8*'Investment Calculator'!$F$4,'Investment Calculator'!$C$6,"")</f>
        <v/>
      </c>
      <c r="E4203" s="27" t="str">
        <f>IFERROR((F4202+D4203)*'Investment Calculator'!$C$7/'Investment Calculator'!$F$4,"")</f>
        <v/>
      </c>
      <c r="F4203" s="27" t="str">
        <f>IFERROR(ABS(FV('Investment Calculator'!$C$7/'Investment Calculator'!$F$4,'SIP Schedule'!C4203,'SIP Schedule'!D4203,,1)),"")</f>
        <v/>
      </c>
    </row>
    <row r="4204" spans="3:6" x14ac:dyDescent="0.3">
      <c r="C4204" s="1" t="str">
        <f>IF(C4203&lt;'Investment Calculator'!$C$8*'Investment Calculator'!$F$4,'SIP Schedule'!C4203+1,"")</f>
        <v/>
      </c>
      <c r="D4204" s="27" t="str">
        <f>IF(C4204&lt;='Investment Calculator'!$C$8*'Investment Calculator'!$F$4,'Investment Calculator'!$C$6,"")</f>
        <v/>
      </c>
      <c r="E4204" s="27" t="str">
        <f>IFERROR((F4203+D4204)*'Investment Calculator'!$C$7/'Investment Calculator'!$F$4,"")</f>
        <v/>
      </c>
      <c r="F4204" s="27" t="str">
        <f>IFERROR(ABS(FV('Investment Calculator'!$C$7/'Investment Calculator'!$F$4,'SIP Schedule'!C4204,'SIP Schedule'!D4204,,1)),"")</f>
        <v/>
      </c>
    </row>
    <row r="4205" spans="3:6" x14ac:dyDescent="0.3">
      <c r="C4205" s="1" t="str">
        <f>IF(C4204&lt;'Investment Calculator'!$C$8*'Investment Calculator'!$F$4,'SIP Schedule'!C4204+1,"")</f>
        <v/>
      </c>
      <c r="D4205" s="27" t="str">
        <f>IF(C4205&lt;='Investment Calculator'!$C$8*'Investment Calculator'!$F$4,'Investment Calculator'!$C$6,"")</f>
        <v/>
      </c>
      <c r="E4205" s="27" t="str">
        <f>IFERROR((F4204+D4205)*'Investment Calculator'!$C$7/'Investment Calculator'!$F$4,"")</f>
        <v/>
      </c>
      <c r="F4205" s="27" t="str">
        <f>IFERROR(ABS(FV('Investment Calculator'!$C$7/'Investment Calculator'!$F$4,'SIP Schedule'!C4205,'SIP Schedule'!D4205,,1)),"")</f>
        <v/>
      </c>
    </row>
    <row r="4206" spans="3:6" x14ac:dyDescent="0.3">
      <c r="C4206" s="1" t="str">
        <f>IF(C4205&lt;'Investment Calculator'!$C$8*'Investment Calculator'!$F$4,'SIP Schedule'!C4205+1,"")</f>
        <v/>
      </c>
      <c r="D4206" s="27" t="str">
        <f>IF(C4206&lt;='Investment Calculator'!$C$8*'Investment Calculator'!$F$4,'Investment Calculator'!$C$6,"")</f>
        <v/>
      </c>
      <c r="E4206" s="27" t="str">
        <f>IFERROR((F4205+D4206)*'Investment Calculator'!$C$7/'Investment Calculator'!$F$4,"")</f>
        <v/>
      </c>
      <c r="F4206" s="27" t="str">
        <f>IFERROR(ABS(FV('Investment Calculator'!$C$7/'Investment Calculator'!$F$4,'SIP Schedule'!C4206,'SIP Schedule'!D4206,,1)),"")</f>
        <v/>
      </c>
    </row>
    <row r="4207" spans="3:6" x14ac:dyDescent="0.3">
      <c r="C4207" s="1" t="str">
        <f>IF(C4206&lt;'Investment Calculator'!$C$8*'Investment Calculator'!$F$4,'SIP Schedule'!C4206+1,"")</f>
        <v/>
      </c>
      <c r="D4207" s="27" t="str">
        <f>IF(C4207&lt;='Investment Calculator'!$C$8*'Investment Calculator'!$F$4,'Investment Calculator'!$C$6,"")</f>
        <v/>
      </c>
      <c r="E4207" s="27" t="str">
        <f>IFERROR((F4206+D4207)*'Investment Calculator'!$C$7/'Investment Calculator'!$F$4,"")</f>
        <v/>
      </c>
      <c r="F4207" s="27" t="str">
        <f>IFERROR(ABS(FV('Investment Calculator'!$C$7/'Investment Calculator'!$F$4,'SIP Schedule'!C4207,'SIP Schedule'!D4207,,1)),"")</f>
        <v/>
      </c>
    </row>
    <row r="4208" spans="3:6" x14ac:dyDescent="0.3">
      <c r="C4208" s="1" t="str">
        <f>IF(C4207&lt;'Investment Calculator'!$C$8*'Investment Calculator'!$F$4,'SIP Schedule'!C4207+1,"")</f>
        <v/>
      </c>
      <c r="D4208" s="27" t="str">
        <f>IF(C4208&lt;='Investment Calculator'!$C$8*'Investment Calculator'!$F$4,'Investment Calculator'!$C$6,"")</f>
        <v/>
      </c>
      <c r="E4208" s="27" t="str">
        <f>IFERROR((F4207+D4208)*'Investment Calculator'!$C$7/'Investment Calculator'!$F$4,"")</f>
        <v/>
      </c>
      <c r="F4208" s="27" t="str">
        <f>IFERROR(ABS(FV('Investment Calculator'!$C$7/'Investment Calculator'!$F$4,'SIP Schedule'!C4208,'SIP Schedule'!D4208,,1)),"")</f>
        <v/>
      </c>
    </row>
    <row r="4209" spans="3:6" x14ac:dyDescent="0.3">
      <c r="C4209" s="1" t="str">
        <f>IF(C4208&lt;'Investment Calculator'!$C$8*'Investment Calculator'!$F$4,'SIP Schedule'!C4208+1,"")</f>
        <v/>
      </c>
      <c r="D4209" s="27" t="str">
        <f>IF(C4209&lt;='Investment Calculator'!$C$8*'Investment Calculator'!$F$4,'Investment Calculator'!$C$6,"")</f>
        <v/>
      </c>
      <c r="E4209" s="27" t="str">
        <f>IFERROR((F4208+D4209)*'Investment Calculator'!$C$7/'Investment Calculator'!$F$4,"")</f>
        <v/>
      </c>
      <c r="F4209" s="27" t="str">
        <f>IFERROR(ABS(FV('Investment Calculator'!$C$7/'Investment Calculator'!$F$4,'SIP Schedule'!C4209,'SIP Schedule'!D4209,,1)),"")</f>
        <v/>
      </c>
    </row>
    <row r="4210" spans="3:6" x14ac:dyDescent="0.3">
      <c r="C4210" s="1" t="str">
        <f>IF(C4209&lt;'Investment Calculator'!$C$8*'Investment Calculator'!$F$4,'SIP Schedule'!C4209+1,"")</f>
        <v/>
      </c>
      <c r="D4210" s="27" t="str">
        <f>IF(C4210&lt;='Investment Calculator'!$C$8*'Investment Calculator'!$F$4,'Investment Calculator'!$C$6,"")</f>
        <v/>
      </c>
      <c r="E4210" s="27" t="str">
        <f>IFERROR((F4209+D4210)*'Investment Calculator'!$C$7/'Investment Calculator'!$F$4,"")</f>
        <v/>
      </c>
      <c r="F4210" s="27" t="str">
        <f>IFERROR(ABS(FV('Investment Calculator'!$C$7/'Investment Calculator'!$F$4,'SIP Schedule'!C4210,'SIP Schedule'!D4210,,1)),"")</f>
        <v/>
      </c>
    </row>
    <row r="4211" spans="3:6" x14ac:dyDescent="0.3">
      <c r="C4211" s="1" t="str">
        <f>IF(C4210&lt;'Investment Calculator'!$C$8*'Investment Calculator'!$F$4,'SIP Schedule'!C4210+1,"")</f>
        <v/>
      </c>
      <c r="D4211" s="27" t="str">
        <f>IF(C4211&lt;='Investment Calculator'!$C$8*'Investment Calculator'!$F$4,'Investment Calculator'!$C$6,"")</f>
        <v/>
      </c>
      <c r="E4211" s="27" t="str">
        <f>IFERROR((F4210+D4211)*'Investment Calculator'!$C$7/'Investment Calculator'!$F$4,"")</f>
        <v/>
      </c>
      <c r="F4211" s="27" t="str">
        <f>IFERROR(ABS(FV('Investment Calculator'!$C$7/'Investment Calculator'!$F$4,'SIP Schedule'!C4211,'SIP Schedule'!D4211,,1)),"")</f>
        <v/>
      </c>
    </row>
    <row r="4212" spans="3:6" x14ac:dyDescent="0.3">
      <c r="C4212" s="1" t="str">
        <f>IF(C4211&lt;'Investment Calculator'!$C$8*'Investment Calculator'!$F$4,'SIP Schedule'!C4211+1,"")</f>
        <v/>
      </c>
      <c r="D4212" s="27" t="str">
        <f>IF(C4212&lt;='Investment Calculator'!$C$8*'Investment Calculator'!$F$4,'Investment Calculator'!$C$6,"")</f>
        <v/>
      </c>
      <c r="E4212" s="27" t="str">
        <f>IFERROR((F4211+D4212)*'Investment Calculator'!$C$7/'Investment Calculator'!$F$4,"")</f>
        <v/>
      </c>
      <c r="F4212" s="27" t="str">
        <f>IFERROR(ABS(FV('Investment Calculator'!$C$7/'Investment Calculator'!$F$4,'SIP Schedule'!C4212,'SIP Schedule'!D4212,,1)),"")</f>
        <v/>
      </c>
    </row>
    <row r="4213" spans="3:6" x14ac:dyDescent="0.3">
      <c r="C4213" s="1" t="str">
        <f>IF(C4212&lt;'Investment Calculator'!$C$8*'Investment Calculator'!$F$4,'SIP Schedule'!C4212+1,"")</f>
        <v/>
      </c>
      <c r="D4213" s="27" t="str">
        <f>IF(C4213&lt;='Investment Calculator'!$C$8*'Investment Calculator'!$F$4,'Investment Calculator'!$C$6,"")</f>
        <v/>
      </c>
      <c r="E4213" s="27" t="str">
        <f>IFERROR((F4212+D4213)*'Investment Calculator'!$C$7/'Investment Calculator'!$F$4,"")</f>
        <v/>
      </c>
      <c r="F4213" s="27" t="str">
        <f>IFERROR(ABS(FV('Investment Calculator'!$C$7/'Investment Calculator'!$F$4,'SIP Schedule'!C4213,'SIP Schedule'!D4213,,1)),"")</f>
        <v/>
      </c>
    </row>
    <row r="4214" spans="3:6" x14ac:dyDescent="0.3">
      <c r="C4214" s="1" t="str">
        <f>IF(C4213&lt;'Investment Calculator'!$C$8*'Investment Calculator'!$F$4,'SIP Schedule'!C4213+1,"")</f>
        <v/>
      </c>
      <c r="D4214" s="27" t="str">
        <f>IF(C4214&lt;='Investment Calculator'!$C$8*'Investment Calculator'!$F$4,'Investment Calculator'!$C$6,"")</f>
        <v/>
      </c>
      <c r="E4214" s="27" t="str">
        <f>IFERROR((F4213+D4214)*'Investment Calculator'!$C$7/'Investment Calculator'!$F$4,"")</f>
        <v/>
      </c>
      <c r="F4214" s="27" t="str">
        <f>IFERROR(ABS(FV('Investment Calculator'!$C$7/'Investment Calculator'!$F$4,'SIP Schedule'!C4214,'SIP Schedule'!D4214,,1)),"")</f>
        <v/>
      </c>
    </row>
    <row r="4215" spans="3:6" x14ac:dyDescent="0.3">
      <c r="C4215" s="1" t="str">
        <f>IF(C4214&lt;'Investment Calculator'!$C$8*'Investment Calculator'!$F$4,'SIP Schedule'!C4214+1,"")</f>
        <v/>
      </c>
      <c r="D4215" s="27" t="str">
        <f>IF(C4215&lt;='Investment Calculator'!$C$8*'Investment Calculator'!$F$4,'Investment Calculator'!$C$6,"")</f>
        <v/>
      </c>
      <c r="E4215" s="27" t="str">
        <f>IFERROR((F4214+D4215)*'Investment Calculator'!$C$7/'Investment Calculator'!$F$4,"")</f>
        <v/>
      </c>
      <c r="F4215" s="27" t="str">
        <f>IFERROR(ABS(FV('Investment Calculator'!$C$7/'Investment Calculator'!$F$4,'SIP Schedule'!C4215,'SIP Schedule'!D4215,,1)),"")</f>
        <v/>
      </c>
    </row>
    <row r="4216" spans="3:6" x14ac:dyDescent="0.3">
      <c r="C4216" s="1" t="str">
        <f>IF(C4215&lt;'Investment Calculator'!$C$8*'Investment Calculator'!$F$4,'SIP Schedule'!C4215+1,"")</f>
        <v/>
      </c>
      <c r="D4216" s="27" t="str">
        <f>IF(C4216&lt;='Investment Calculator'!$C$8*'Investment Calculator'!$F$4,'Investment Calculator'!$C$6,"")</f>
        <v/>
      </c>
      <c r="E4216" s="27" t="str">
        <f>IFERROR((F4215+D4216)*'Investment Calculator'!$C$7/'Investment Calculator'!$F$4,"")</f>
        <v/>
      </c>
      <c r="F4216" s="27" t="str">
        <f>IFERROR(ABS(FV('Investment Calculator'!$C$7/'Investment Calculator'!$F$4,'SIP Schedule'!C4216,'SIP Schedule'!D4216,,1)),"")</f>
        <v/>
      </c>
    </row>
    <row r="4217" spans="3:6" x14ac:dyDescent="0.3">
      <c r="C4217" s="1" t="str">
        <f>IF(C4216&lt;'Investment Calculator'!$C$8*'Investment Calculator'!$F$4,'SIP Schedule'!C4216+1,"")</f>
        <v/>
      </c>
      <c r="D4217" s="27" t="str">
        <f>IF(C4217&lt;='Investment Calculator'!$C$8*'Investment Calculator'!$F$4,'Investment Calculator'!$C$6,"")</f>
        <v/>
      </c>
      <c r="E4217" s="27" t="str">
        <f>IFERROR((F4216+D4217)*'Investment Calculator'!$C$7/'Investment Calculator'!$F$4,"")</f>
        <v/>
      </c>
      <c r="F4217" s="27" t="str">
        <f>IFERROR(ABS(FV('Investment Calculator'!$C$7/'Investment Calculator'!$F$4,'SIP Schedule'!C4217,'SIP Schedule'!D4217,,1)),"")</f>
        <v/>
      </c>
    </row>
    <row r="4218" spans="3:6" x14ac:dyDescent="0.3">
      <c r="C4218" s="1" t="str">
        <f>IF(C4217&lt;'Investment Calculator'!$C$8*'Investment Calculator'!$F$4,'SIP Schedule'!C4217+1,"")</f>
        <v/>
      </c>
      <c r="D4218" s="27" t="str">
        <f>IF(C4218&lt;='Investment Calculator'!$C$8*'Investment Calculator'!$F$4,'Investment Calculator'!$C$6,"")</f>
        <v/>
      </c>
      <c r="E4218" s="27" t="str">
        <f>IFERROR((F4217+D4218)*'Investment Calculator'!$C$7/'Investment Calculator'!$F$4,"")</f>
        <v/>
      </c>
      <c r="F4218" s="27" t="str">
        <f>IFERROR(ABS(FV('Investment Calculator'!$C$7/'Investment Calculator'!$F$4,'SIP Schedule'!C4218,'SIP Schedule'!D4218,,1)),"")</f>
        <v/>
      </c>
    </row>
    <row r="4219" spans="3:6" x14ac:dyDescent="0.3">
      <c r="C4219" s="1" t="str">
        <f>IF(C4218&lt;'Investment Calculator'!$C$8*'Investment Calculator'!$F$4,'SIP Schedule'!C4218+1,"")</f>
        <v/>
      </c>
      <c r="D4219" s="27" t="str">
        <f>IF(C4219&lt;='Investment Calculator'!$C$8*'Investment Calculator'!$F$4,'Investment Calculator'!$C$6,"")</f>
        <v/>
      </c>
      <c r="E4219" s="27" t="str">
        <f>IFERROR((F4218+D4219)*'Investment Calculator'!$C$7/'Investment Calculator'!$F$4,"")</f>
        <v/>
      </c>
      <c r="F4219" s="27" t="str">
        <f>IFERROR(ABS(FV('Investment Calculator'!$C$7/'Investment Calculator'!$F$4,'SIP Schedule'!C4219,'SIP Schedule'!D4219,,1)),"")</f>
        <v/>
      </c>
    </row>
    <row r="4220" spans="3:6" x14ac:dyDescent="0.3">
      <c r="C4220" s="1" t="str">
        <f>IF(C4219&lt;'Investment Calculator'!$C$8*'Investment Calculator'!$F$4,'SIP Schedule'!C4219+1,"")</f>
        <v/>
      </c>
      <c r="D4220" s="27" t="str">
        <f>IF(C4220&lt;='Investment Calculator'!$C$8*'Investment Calculator'!$F$4,'Investment Calculator'!$C$6,"")</f>
        <v/>
      </c>
      <c r="E4220" s="27" t="str">
        <f>IFERROR((F4219+D4220)*'Investment Calculator'!$C$7/'Investment Calculator'!$F$4,"")</f>
        <v/>
      </c>
      <c r="F4220" s="27" t="str">
        <f>IFERROR(ABS(FV('Investment Calculator'!$C$7/'Investment Calculator'!$F$4,'SIP Schedule'!C4220,'SIP Schedule'!D4220,,1)),"")</f>
        <v/>
      </c>
    </row>
    <row r="4221" spans="3:6" x14ac:dyDescent="0.3">
      <c r="C4221" s="1" t="str">
        <f>IF(C4220&lt;'Investment Calculator'!$C$8*'Investment Calculator'!$F$4,'SIP Schedule'!C4220+1,"")</f>
        <v/>
      </c>
      <c r="D4221" s="27" t="str">
        <f>IF(C4221&lt;='Investment Calculator'!$C$8*'Investment Calculator'!$F$4,'Investment Calculator'!$C$6,"")</f>
        <v/>
      </c>
      <c r="E4221" s="27" t="str">
        <f>IFERROR((F4220+D4221)*'Investment Calculator'!$C$7/'Investment Calculator'!$F$4,"")</f>
        <v/>
      </c>
      <c r="F4221" s="27" t="str">
        <f>IFERROR(ABS(FV('Investment Calculator'!$C$7/'Investment Calculator'!$F$4,'SIP Schedule'!C4221,'SIP Schedule'!D4221,,1)),"")</f>
        <v/>
      </c>
    </row>
    <row r="4222" spans="3:6" x14ac:dyDescent="0.3">
      <c r="C4222" s="1" t="str">
        <f>IF(C4221&lt;'Investment Calculator'!$C$8*'Investment Calculator'!$F$4,'SIP Schedule'!C4221+1,"")</f>
        <v/>
      </c>
      <c r="D4222" s="27" t="str">
        <f>IF(C4222&lt;='Investment Calculator'!$C$8*'Investment Calculator'!$F$4,'Investment Calculator'!$C$6,"")</f>
        <v/>
      </c>
      <c r="E4222" s="27" t="str">
        <f>IFERROR((F4221+D4222)*'Investment Calculator'!$C$7/'Investment Calculator'!$F$4,"")</f>
        <v/>
      </c>
      <c r="F4222" s="27" t="str">
        <f>IFERROR(ABS(FV('Investment Calculator'!$C$7/'Investment Calculator'!$F$4,'SIP Schedule'!C4222,'SIP Schedule'!D4222,,1)),"")</f>
        <v/>
      </c>
    </row>
    <row r="4223" spans="3:6" x14ac:dyDescent="0.3">
      <c r="C4223" s="1" t="str">
        <f>IF(C4222&lt;'Investment Calculator'!$C$8*'Investment Calculator'!$F$4,'SIP Schedule'!C4222+1,"")</f>
        <v/>
      </c>
      <c r="D4223" s="27" t="str">
        <f>IF(C4223&lt;='Investment Calculator'!$C$8*'Investment Calculator'!$F$4,'Investment Calculator'!$C$6,"")</f>
        <v/>
      </c>
      <c r="E4223" s="27" t="str">
        <f>IFERROR((F4222+D4223)*'Investment Calculator'!$C$7/'Investment Calculator'!$F$4,"")</f>
        <v/>
      </c>
      <c r="F4223" s="27" t="str">
        <f>IFERROR(ABS(FV('Investment Calculator'!$C$7/'Investment Calculator'!$F$4,'SIP Schedule'!C4223,'SIP Schedule'!D4223,,1)),"")</f>
        <v/>
      </c>
    </row>
    <row r="4224" spans="3:6" x14ac:dyDescent="0.3">
      <c r="C4224" s="1" t="str">
        <f>IF(C4223&lt;'Investment Calculator'!$C$8*'Investment Calculator'!$F$4,'SIP Schedule'!C4223+1,"")</f>
        <v/>
      </c>
      <c r="D4224" s="27" t="str">
        <f>IF(C4224&lt;='Investment Calculator'!$C$8*'Investment Calculator'!$F$4,'Investment Calculator'!$C$6,"")</f>
        <v/>
      </c>
      <c r="E4224" s="27" t="str">
        <f>IFERROR((F4223+D4224)*'Investment Calculator'!$C$7/'Investment Calculator'!$F$4,"")</f>
        <v/>
      </c>
      <c r="F4224" s="27" t="str">
        <f>IFERROR(ABS(FV('Investment Calculator'!$C$7/'Investment Calculator'!$F$4,'SIP Schedule'!C4224,'SIP Schedule'!D4224,,1)),"")</f>
        <v/>
      </c>
    </row>
    <row r="4225" spans="3:6" x14ac:dyDescent="0.3">
      <c r="C4225" s="1" t="str">
        <f>IF(C4224&lt;'Investment Calculator'!$C$8*'Investment Calculator'!$F$4,'SIP Schedule'!C4224+1,"")</f>
        <v/>
      </c>
      <c r="D4225" s="27" t="str">
        <f>IF(C4225&lt;='Investment Calculator'!$C$8*'Investment Calculator'!$F$4,'Investment Calculator'!$C$6,"")</f>
        <v/>
      </c>
      <c r="E4225" s="27" t="str">
        <f>IFERROR((F4224+D4225)*'Investment Calculator'!$C$7/'Investment Calculator'!$F$4,"")</f>
        <v/>
      </c>
      <c r="F4225" s="27" t="str">
        <f>IFERROR(ABS(FV('Investment Calculator'!$C$7/'Investment Calculator'!$F$4,'SIP Schedule'!C4225,'SIP Schedule'!D4225,,1)),"")</f>
        <v/>
      </c>
    </row>
    <row r="4226" spans="3:6" x14ac:dyDescent="0.3">
      <c r="C4226" s="1" t="str">
        <f>IF(C4225&lt;'Investment Calculator'!$C$8*'Investment Calculator'!$F$4,'SIP Schedule'!C4225+1,"")</f>
        <v/>
      </c>
      <c r="D4226" s="27" t="str">
        <f>IF(C4226&lt;='Investment Calculator'!$C$8*'Investment Calculator'!$F$4,'Investment Calculator'!$C$6,"")</f>
        <v/>
      </c>
      <c r="E4226" s="27" t="str">
        <f>IFERROR((F4225+D4226)*'Investment Calculator'!$C$7/'Investment Calculator'!$F$4,"")</f>
        <v/>
      </c>
      <c r="F4226" s="27" t="str">
        <f>IFERROR(ABS(FV('Investment Calculator'!$C$7/'Investment Calculator'!$F$4,'SIP Schedule'!C4226,'SIP Schedule'!D4226,,1)),"")</f>
        <v/>
      </c>
    </row>
    <row r="4227" spans="3:6" x14ac:dyDescent="0.3">
      <c r="C4227" s="1" t="str">
        <f>IF(C4226&lt;'Investment Calculator'!$C$8*'Investment Calculator'!$F$4,'SIP Schedule'!C4226+1,"")</f>
        <v/>
      </c>
      <c r="D4227" s="27" t="str">
        <f>IF(C4227&lt;='Investment Calculator'!$C$8*'Investment Calculator'!$F$4,'Investment Calculator'!$C$6,"")</f>
        <v/>
      </c>
      <c r="E4227" s="27" t="str">
        <f>IFERROR((F4226+D4227)*'Investment Calculator'!$C$7/'Investment Calculator'!$F$4,"")</f>
        <v/>
      </c>
      <c r="F4227" s="27" t="str">
        <f>IFERROR(ABS(FV('Investment Calculator'!$C$7/'Investment Calculator'!$F$4,'SIP Schedule'!C4227,'SIP Schedule'!D4227,,1)),"")</f>
        <v/>
      </c>
    </row>
    <row r="4228" spans="3:6" x14ac:dyDescent="0.3">
      <c r="C4228" s="1" t="str">
        <f>IF(C4227&lt;'Investment Calculator'!$C$8*'Investment Calculator'!$F$4,'SIP Schedule'!C4227+1,"")</f>
        <v/>
      </c>
      <c r="D4228" s="27" t="str">
        <f>IF(C4228&lt;='Investment Calculator'!$C$8*'Investment Calculator'!$F$4,'Investment Calculator'!$C$6,"")</f>
        <v/>
      </c>
      <c r="E4228" s="27" t="str">
        <f>IFERROR((F4227+D4228)*'Investment Calculator'!$C$7/'Investment Calculator'!$F$4,"")</f>
        <v/>
      </c>
      <c r="F4228" s="27" t="str">
        <f>IFERROR(ABS(FV('Investment Calculator'!$C$7/'Investment Calculator'!$F$4,'SIP Schedule'!C4228,'SIP Schedule'!D4228,,1)),"")</f>
        <v/>
      </c>
    </row>
    <row r="4229" spans="3:6" x14ac:dyDescent="0.3">
      <c r="C4229" s="1" t="str">
        <f>IF(C4228&lt;'Investment Calculator'!$C$8*'Investment Calculator'!$F$4,'SIP Schedule'!C4228+1,"")</f>
        <v/>
      </c>
      <c r="D4229" s="27" t="str">
        <f>IF(C4229&lt;='Investment Calculator'!$C$8*'Investment Calculator'!$F$4,'Investment Calculator'!$C$6,"")</f>
        <v/>
      </c>
      <c r="E4229" s="27" t="str">
        <f>IFERROR((F4228+D4229)*'Investment Calculator'!$C$7/'Investment Calculator'!$F$4,"")</f>
        <v/>
      </c>
      <c r="F4229" s="27" t="str">
        <f>IFERROR(ABS(FV('Investment Calculator'!$C$7/'Investment Calculator'!$F$4,'SIP Schedule'!C4229,'SIP Schedule'!D4229,,1)),"")</f>
        <v/>
      </c>
    </row>
    <row r="4230" spans="3:6" x14ac:dyDescent="0.3">
      <c r="C4230" s="1" t="str">
        <f>IF(C4229&lt;'Investment Calculator'!$C$8*'Investment Calculator'!$F$4,'SIP Schedule'!C4229+1,"")</f>
        <v/>
      </c>
      <c r="D4230" s="27" t="str">
        <f>IF(C4230&lt;='Investment Calculator'!$C$8*'Investment Calculator'!$F$4,'Investment Calculator'!$C$6,"")</f>
        <v/>
      </c>
      <c r="E4230" s="27" t="str">
        <f>IFERROR((F4229+D4230)*'Investment Calculator'!$C$7/'Investment Calculator'!$F$4,"")</f>
        <v/>
      </c>
      <c r="F4230" s="27" t="str">
        <f>IFERROR(ABS(FV('Investment Calculator'!$C$7/'Investment Calculator'!$F$4,'SIP Schedule'!C4230,'SIP Schedule'!D4230,,1)),"")</f>
        <v/>
      </c>
    </row>
    <row r="4231" spans="3:6" x14ac:dyDescent="0.3">
      <c r="C4231" s="1" t="str">
        <f>IF(C4230&lt;'Investment Calculator'!$C$8*'Investment Calculator'!$F$4,'SIP Schedule'!C4230+1,"")</f>
        <v/>
      </c>
      <c r="D4231" s="27" t="str">
        <f>IF(C4231&lt;='Investment Calculator'!$C$8*'Investment Calculator'!$F$4,'Investment Calculator'!$C$6,"")</f>
        <v/>
      </c>
      <c r="E4231" s="27" t="str">
        <f>IFERROR((F4230+D4231)*'Investment Calculator'!$C$7/'Investment Calculator'!$F$4,"")</f>
        <v/>
      </c>
      <c r="F4231" s="27" t="str">
        <f>IFERROR(ABS(FV('Investment Calculator'!$C$7/'Investment Calculator'!$F$4,'SIP Schedule'!C4231,'SIP Schedule'!D4231,,1)),"")</f>
        <v/>
      </c>
    </row>
    <row r="4232" spans="3:6" x14ac:dyDescent="0.3">
      <c r="C4232" s="1" t="str">
        <f>IF(C4231&lt;'Investment Calculator'!$C$8*'Investment Calculator'!$F$4,'SIP Schedule'!C4231+1,"")</f>
        <v/>
      </c>
      <c r="D4232" s="27" t="str">
        <f>IF(C4232&lt;='Investment Calculator'!$C$8*'Investment Calculator'!$F$4,'Investment Calculator'!$C$6,"")</f>
        <v/>
      </c>
      <c r="E4232" s="27" t="str">
        <f>IFERROR((F4231+D4232)*'Investment Calculator'!$C$7/'Investment Calculator'!$F$4,"")</f>
        <v/>
      </c>
      <c r="F4232" s="27" t="str">
        <f>IFERROR(ABS(FV('Investment Calculator'!$C$7/'Investment Calculator'!$F$4,'SIP Schedule'!C4232,'SIP Schedule'!D4232,,1)),"")</f>
        <v/>
      </c>
    </row>
    <row r="4233" spans="3:6" x14ac:dyDescent="0.3">
      <c r="C4233" s="1" t="str">
        <f>IF(C4232&lt;'Investment Calculator'!$C$8*'Investment Calculator'!$F$4,'SIP Schedule'!C4232+1,"")</f>
        <v/>
      </c>
      <c r="D4233" s="27" t="str">
        <f>IF(C4233&lt;='Investment Calculator'!$C$8*'Investment Calculator'!$F$4,'Investment Calculator'!$C$6,"")</f>
        <v/>
      </c>
      <c r="E4233" s="27" t="str">
        <f>IFERROR((F4232+D4233)*'Investment Calculator'!$C$7/'Investment Calculator'!$F$4,"")</f>
        <v/>
      </c>
      <c r="F4233" s="27" t="str">
        <f>IFERROR(ABS(FV('Investment Calculator'!$C$7/'Investment Calculator'!$F$4,'SIP Schedule'!C4233,'SIP Schedule'!D4233,,1)),"")</f>
        <v/>
      </c>
    </row>
    <row r="4234" spans="3:6" x14ac:dyDescent="0.3">
      <c r="C4234" s="1" t="str">
        <f>IF(C4233&lt;'Investment Calculator'!$C$8*'Investment Calculator'!$F$4,'SIP Schedule'!C4233+1,"")</f>
        <v/>
      </c>
      <c r="D4234" s="27" t="str">
        <f>IF(C4234&lt;='Investment Calculator'!$C$8*'Investment Calculator'!$F$4,'Investment Calculator'!$C$6,"")</f>
        <v/>
      </c>
      <c r="E4234" s="27" t="str">
        <f>IFERROR((F4233+D4234)*'Investment Calculator'!$C$7/'Investment Calculator'!$F$4,"")</f>
        <v/>
      </c>
      <c r="F4234" s="27" t="str">
        <f>IFERROR(ABS(FV('Investment Calculator'!$C$7/'Investment Calculator'!$F$4,'SIP Schedule'!C4234,'SIP Schedule'!D4234,,1)),"")</f>
        <v/>
      </c>
    </row>
    <row r="4235" spans="3:6" x14ac:dyDescent="0.3">
      <c r="C4235" s="1" t="str">
        <f>IF(C4234&lt;'Investment Calculator'!$C$8*'Investment Calculator'!$F$4,'SIP Schedule'!C4234+1,"")</f>
        <v/>
      </c>
      <c r="D4235" s="27" t="str">
        <f>IF(C4235&lt;='Investment Calculator'!$C$8*'Investment Calculator'!$F$4,'Investment Calculator'!$C$6,"")</f>
        <v/>
      </c>
      <c r="E4235" s="27" t="str">
        <f>IFERROR((F4234+D4235)*'Investment Calculator'!$C$7/'Investment Calculator'!$F$4,"")</f>
        <v/>
      </c>
      <c r="F4235" s="27" t="str">
        <f>IFERROR(ABS(FV('Investment Calculator'!$C$7/'Investment Calculator'!$F$4,'SIP Schedule'!C4235,'SIP Schedule'!D4235,,1)),"")</f>
        <v/>
      </c>
    </row>
    <row r="4236" spans="3:6" x14ac:dyDescent="0.3">
      <c r="C4236" s="1" t="str">
        <f>IF(C4235&lt;'Investment Calculator'!$C$8*'Investment Calculator'!$F$4,'SIP Schedule'!C4235+1,"")</f>
        <v/>
      </c>
      <c r="D4236" s="27" t="str">
        <f>IF(C4236&lt;='Investment Calculator'!$C$8*'Investment Calculator'!$F$4,'Investment Calculator'!$C$6,"")</f>
        <v/>
      </c>
      <c r="E4236" s="27" t="str">
        <f>IFERROR((F4235+D4236)*'Investment Calculator'!$C$7/'Investment Calculator'!$F$4,"")</f>
        <v/>
      </c>
      <c r="F4236" s="27" t="str">
        <f>IFERROR(ABS(FV('Investment Calculator'!$C$7/'Investment Calculator'!$F$4,'SIP Schedule'!C4236,'SIP Schedule'!D4236,,1)),"")</f>
        <v/>
      </c>
    </row>
    <row r="4237" spans="3:6" x14ac:dyDescent="0.3">
      <c r="C4237" s="1" t="str">
        <f>IF(C4236&lt;'Investment Calculator'!$C$8*'Investment Calculator'!$F$4,'SIP Schedule'!C4236+1,"")</f>
        <v/>
      </c>
      <c r="D4237" s="27" t="str">
        <f>IF(C4237&lt;='Investment Calculator'!$C$8*'Investment Calculator'!$F$4,'Investment Calculator'!$C$6,"")</f>
        <v/>
      </c>
      <c r="E4237" s="27" t="str">
        <f>IFERROR((F4236+D4237)*'Investment Calculator'!$C$7/'Investment Calculator'!$F$4,"")</f>
        <v/>
      </c>
      <c r="F4237" s="27" t="str">
        <f>IFERROR(ABS(FV('Investment Calculator'!$C$7/'Investment Calculator'!$F$4,'SIP Schedule'!C4237,'SIP Schedule'!D4237,,1)),"")</f>
        <v/>
      </c>
    </row>
    <row r="4238" spans="3:6" x14ac:dyDescent="0.3">
      <c r="C4238" s="1" t="str">
        <f>IF(C4237&lt;'Investment Calculator'!$C$8*'Investment Calculator'!$F$4,'SIP Schedule'!C4237+1,"")</f>
        <v/>
      </c>
      <c r="D4238" s="27" t="str">
        <f>IF(C4238&lt;='Investment Calculator'!$C$8*'Investment Calculator'!$F$4,'Investment Calculator'!$C$6,"")</f>
        <v/>
      </c>
      <c r="E4238" s="27" t="str">
        <f>IFERROR((F4237+D4238)*'Investment Calculator'!$C$7/'Investment Calculator'!$F$4,"")</f>
        <v/>
      </c>
      <c r="F4238" s="27" t="str">
        <f>IFERROR(ABS(FV('Investment Calculator'!$C$7/'Investment Calculator'!$F$4,'SIP Schedule'!C4238,'SIP Schedule'!D4238,,1)),"")</f>
        <v/>
      </c>
    </row>
    <row r="4239" spans="3:6" x14ac:dyDescent="0.3">
      <c r="C4239" s="1" t="str">
        <f>IF(C4238&lt;'Investment Calculator'!$C$8*'Investment Calculator'!$F$4,'SIP Schedule'!C4238+1,"")</f>
        <v/>
      </c>
      <c r="D4239" s="27" t="str">
        <f>IF(C4239&lt;='Investment Calculator'!$C$8*'Investment Calculator'!$F$4,'Investment Calculator'!$C$6,"")</f>
        <v/>
      </c>
      <c r="E4239" s="27" t="str">
        <f>IFERROR((F4238+D4239)*'Investment Calculator'!$C$7/'Investment Calculator'!$F$4,"")</f>
        <v/>
      </c>
      <c r="F4239" s="27" t="str">
        <f>IFERROR(ABS(FV('Investment Calculator'!$C$7/'Investment Calculator'!$F$4,'SIP Schedule'!C4239,'SIP Schedule'!D4239,,1)),"")</f>
        <v/>
      </c>
    </row>
    <row r="4240" spans="3:6" x14ac:dyDescent="0.3">
      <c r="C4240" s="1" t="str">
        <f>IF(C4239&lt;'Investment Calculator'!$C$8*'Investment Calculator'!$F$4,'SIP Schedule'!C4239+1,"")</f>
        <v/>
      </c>
      <c r="D4240" s="27" t="str">
        <f>IF(C4240&lt;='Investment Calculator'!$C$8*'Investment Calculator'!$F$4,'Investment Calculator'!$C$6,"")</f>
        <v/>
      </c>
      <c r="E4240" s="27" t="str">
        <f>IFERROR((F4239+D4240)*'Investment Calculator'!$C$7/'Investment Calculator'!$F$4,"")</f>
        <v/>
      </c>
      <c r="F4240" s="27" t="str">
        <f>IFERROR(ABS(FV('Investment Calculator'!$C$7/'Investment Calculator'!$F$4,'SIP Schedule'!C4240,'SIP Schedule'!D4240,,1)),"")</f>
        <v/>
      </c>
    </row>
    <row r="4241" spans="3:6" x14ac:dyDescent="0.3">
      <c r="C4241" s="1" t="str">
        <f>IF(C4240&lt;'Investment Calculator'!$C$8*'Investment Calculator'!$F$4,'SIP Schedule'!C4240+1,"")</f>
        <v/>
      </c>
      <c r="D4241" s="27" t="str">
        <f>IF(C4241&lt;='Investment Calculator'!$C$8*'Investment Calculator'!$F$4,'Investment Calculator'!$C$6,"")</f>
        <v/>
      </c>
      <c r="E4241" s="27" t="str">
        <f>IFERROR((F4240+D4241)*'Investment Calculator'!$C$7/'Investment Calculator'!$F$4,"")</f>
        <v/>
      </c>
      <c r="F4241" s="27" t="str">
        <f>IFERROR(ABS(FV('Investment Calculator'!$C$7/'Investment Calculator'!$F$4,'SIP Schedule'!C4241,'SIP Schedule'!D4241,,1)),"")</f>
        <v/>
      </c>
    </row>
    <row r="4242" spans="3:6" x14ac:dyDescent="0.3">
      <c r="C4242" s="1" t="str">
        <f>IF(C4241&lt;'Investment Calculator'!$C$8*'Investment Calculator'!$F$4,'SIP Schedule'!C4241+1,"")</f>
        <v/>
      </c>
      <c r="D4242" s="27" t="str">
        <f>IF(C4242&lt;='Investment Calculator'!$C$8*'Investment Calculator'!$F$4,'Investment Calculator'!$C$6,"")</f>
        <v/>
      </c>
      <c r="E4242" s="27" t="str">
        <f>IFERROR((F4241+D4242)*'Investment Calculator'!$C$7/'Investment Calculator'!$F$4,"")</f>
        <v/>
      </c>
      <c r="F4242" s="27" t="str">
        <f>IFERROR(ABS(FV('Investment Calculator'!$C$7/'Investment Calculator'!$F$4,'SIP Schedule'!C4242,'SIP Schedule'!D4242,,1)),"")</f>
        <v/>
      </c>
    </row>
    <row r="4243" spans="3:6" x14ac:dyDescent="0.3">
      <c r="C4243" s="1" t="str">
        <f>IF(C4242&lt;'Investment Calculator'!$C$8*'Investment Calculator'!$F$4,'SIP Schedule'!C4242+1,"")</f>
        <v/>
      </c>
      <c r="D4243" s="27" t="str">
        <f>IF(C4243&lt;='Investment Calculator'!$C$8*'Investment Calculator'!$F$4,'Investment Calculator'!$C$6,"")</f>
        <v/>
      </c>
      <c r="E4243" s="27" t="str">
        <f>IFERROR((F4242+D4243)*'Investment Calculator'!$C$7/'Investment Calculator'!$F$4,"")</f>
        <v/>
      </c>
      <c r="F4243" s="27" t="str">
        <f>IFERROR(ABS(FV('Investment Calculator'!$C$7/'Investment Calculator'!$F$4,'SIP Schedule'!C4243,'SIP Schedule'!D4243,,1)),"")</f>
        <v/>
      </c>
    </row>
    <row r="4244" spans="3:6" x14ac:dyDescent="0.3">
      <c r="C4244" s="1" t="str">
        <f>IF(C4243&lt;'Investment Calculator'!$C$8*'Investment Calculator'!$F$4,'SIP Schedule'!C4243+1,"")</f>
        <v/>
      </c>
      <c r="D4244" s="27" t="str">
        <f>IF(C4244&lt;='Investment Calculator'!$C$8*'Investment Calculator'!$F$4,'Investment Calculator'!$C$6,"")</f>
        <v/>
      </c>
      <c r="E4244" s="27" t="str">
        <f>IFERROR((F4243+D4244)*'Investment Calculator'!$C$7/'Investment Calculator'!$F$4,"")</f>
        <v/>
      </c>
      <c r="F4244" s="27" t="str">
        <f>IFERROR(ABS(FV('Investment Calculator'!$C$7/'Investment Calculator'!$F$4,'SIP Schedule'!C4244,'SIP Schedule'!D4244,,1)),"")</f>
        <v/>
      </c>
    </row>
    <row r="4245" spans="3:6" x14ac:dyDescent="0.3">
      <c r="C4245" s="1" t="str">
        <f>IF(C4244&lt;'Investment Calculator'!$C$8*'Investment Calculator'!$F$4,'SIP Schedule'!C4244+1,"")</f>
        <v/>
      </c>
      <c r="D4245" s="27" t="str">
        <f>IF(C4245&lt;='Investment Calculator'!$C$8*'Investment Calculator'!$F$4,'Investment Calculator'!$C$6,"")</f>
        <v/>
      </c>
      <c r="E4245" s="27" t="str">
        <f>IFERROR((F4244+D4245)*'Investment Calculator'!$C$7/'Investment Calculator'!$F$4,"")</f>
        <v/>
      </c>
      <c r="F4245" s="27" t="str">
        <f>IFERROR(ABS(FV('Investment Calculator'!$C$7/'Investment Calculator'!$F$4,'SIP Schedule'!C4245,'SIP Schedule'!D4245,,1)),"")</f>
        <v/>
      </c>
    </row>
    <row r="4246" spans="3:6" x14ac:dyDescent="0.3">
      <c r="C4246" s="1" t="str">
        <f>IF(C4245&lt;'Investment Calculator'!$C$8*'Investment Calculator'!$F$4,'SIP Schedule'!C4245+1,"")</f>
        <v/>
      </c>
      <c r="D4246" s="27" t="str">
        <f>IF(C4246&lt;='Investment Calculator'!$C$8*'Investment Calculator'!$F$4,'Investment Calculator'!$C$6,"")</f>
        <v/>
      </c>
      <c r="E4246" s="27" t="str">
        <f>IFERROR((F4245+D4246)*'Investment Calculator'!$C$7/'Investment Calculator'!$F$4,"")</f>
        <v/>
      </c>
      <c r="F4246" s="27" t="str">
        <f>IFERROR(ABS(FV('Investment Calculator'!$C$7/'Investment Calculator'!$F$4,'SIP Schedule'!C4246,'SIP Schedule'!D4246,,1)),"")</f>
        <v/>
      </c>
    </row>
    <row r="4247" spans="3:6" x14ac:dyDescent="0.3">
      <c r="C4247" s="1" t="str">
        <f>IF(C4246&lt;'Investment Calculator'!$C$8*'Investment Calculator'!$F$4,'SIP Schedule'!C4246+1,"")</f>
        <v/>
      </c>
      <c r="D4247" s="27" t="str">
        <f>IF(C4247&lt;='Investment Calculator'!$C$8*'Investment Calculator'!$F$4,'Investment Calculator'!$C$6,"")</f>
        <v/>
      </c>
      <c r="E4247" s="27" t="str">
        <f>IFERROR((F4246+D4247)*'Investment Calculator'!$C$7/'Investment Calculator'!$F$4,"")</f>
        <v/>
      </c>
      <c r="F4247" s="27" t="str">
        <f>IFERROR(ABS(FV('Investment Calculator'!$C$7/'Investment Calculator'!$F$4,'SIP Schedule'!C4247,'SIP Schedule'!D4247,,1)),"")</f>
        <v/>
      </c>
    </row>
    <row r="4248" spans="3:6" x14ac:dyDescent="0.3">
      <c r="C4248" s="1" t="str">
        <f>IF(C4247&lt;'Investment Calculator'!$C$8*'Investment Calculator'!$F$4,'SIP Schedule'!C4247+1,"")</f>
        <v/>
      </c>
      <c r="D4248" s="27" t="str">
        <f>IF(C4248&lt;='Investment Calculator'!$C$8*'Investment Calculator'!$F$4,'Investment Calculator'!$C$6,"")</f>
        <v/>
      </c>
      <c r="E4248" s="27" t="str">
        <f>IFERROR((F4247+D4248)*'Investment Calculator'!$C$7/'Investment Calculator'!$F$4,"")</f>
        <v/>
      </c>
      <c r="F4248" s="27" t="str">
        <f>IFERROR(ABS(FV('Investment Calculator'!$C$7/'Investment Calculator'!$F$4,'SIP Schedule'!C4248,'SIP Schedule'!D4248,,1)),"")</f>
        <v/>
      </c>
    </row>
    <row r="4249" spans="3:6" x14ac:dyDescent="0.3">
      <c r="C4249" s="1" t="str">
        <f>IF(C4248&lt;'Investment Calculator'!$C$8*'Investment Calculator'!$F$4,'SIP Schedule'!C4248+1,"")</f>
        <v/>
      </c>
      <c r="D4249" s="27" t="str">
        <f>IF(C4249&lt;='Investment Calculator'!$C$8*'Investment Calculator'!$F$4,'Investment Calculator'!$C$6,"")</f>
        <v/>
      </c>
      <c r="E4249" s="27" t="str">
        <f>IFERROR((F4248+D4249)*'Investment Calculator'!$C$7/'Investment Calculator'!$F$4,"")</f>
        <v/>
      </c>
      <c r="F4249" s="27" t="str">
        <f>IFERROR(ABS(FV('Investment Calculator'!$C$7/'Investment Calculator'!$F$4,'SIP Schedule'!C4249,'SIP Schedule'!D4249,,1)),"")</f>
        <v/>
      </c>
    </row>
    <row r="4250" spans="3:6" x14ac:dyDescent="0.3">
      <c r="C4250" s="1" t="str">
        <f>IF(C4249&lt;'Investment Calculator'!$C$8*'Investment Calculator'!$F$4,'SIP Schedule'!C4249+1,"")</f>
        <v/>
      </c>
      <c r="D4250" s="27" t="str">
        <f>IF(C4250&lt;='Investment Calculator'!$C$8*'Investment Calculator'!$F$4,'Investment Calculator'!$C$6,"")</f>
        <v/>
      </c>
      <c r="E4250" s="27" t="str">
        <f>IFERROR((F4249+D4250)*'Investment Calculator'!$C$7/'Investment Calculator'!$F$4,"")</f>
        <v/>
      </c>
      <c r="F4250" s="27" t="str">
        <f>IFERROR(ABS(FV('Investment Calculator'!$C$7/'Investment Calculator'!$F$4,'SIP Schedule'!C4250,'SIP Schedule'!D4250,,1)),"")</f>
        <v/>
      </c>
    </row>
    <row r="4251" spans="3:6" x14ac:dyDescent="0.3">
      <c r="C4251" s="1" t="str">
        <f>IF(C4250&lt;'Investment Calculator'!$C$8*'Investment Calculator'!$F$4,'SIP Schedule'!C4250+1,"")</f>
        <v/>
      </c>
      <c r="D4251" s="27" t="str">
        <f>IF(C4251&lt;='Investment Calculator'!$C$8*'Investment Calculator'!$F$4,'Investment Calculator'!$C$6,"")</f>
        <v/>
      </c>
      <c r="E4251" s="27" t="str">
        <f>IFERROR((F4250+D4251)*'Investment Calculator'!$C$7/'Investment Calculator'!$F$4,"")</f>
        <v/>
      </c>
      <c r="F4251" s="27" t="str">
        <f>IFERROR(ABS(FV('Investment Calculator'!$C$7/'Investment Calculator'!$F$4,'SIP Schedule'!C4251,'SIP Schedule'!D4251,,1)),"")</f>
        <v/>
      </c>
    </row>
    <row r="4252" spans="3:6" x14ac:dyDescent="0.3">
      <c r="C4252" s="1" t="str">
        <f>IF(C4251&lt;'Investment Calculator'!$C$8*'Investment Calculator'!$F$4,'SIP Schedule'!C4251+1,"")</f>
        <v/>
      </c>
      <c r="D4252" s="27" t="str">
        <f>IF(C4252&lt;='Investment Calculator'!$C$8*'Investment Calculator'!$F$4,'Investment Calculator'!$C$6,"")</f>
        <v/>
      </c>
      <c r="E4252" s="27" t="str">
        <f>IFERROR((F4251+D4252)*'Investment Calculator'!$C$7/'Investment Calculator'!$F$4,"")</f>
        <v/>
      </c>
      <c r="F4252" s="27" t="str">
        <f>IFERROR(ABS(FV('Investment Calculator'!$C$7/'Investment Calculator'!$F$4,'SIP Schedule'!C4252,'SIP Schedule'!D4252,,1)),"")</f>
        <v/>
      </c>
    </row>
    <row r="4253" spans="3:6" x14ac:dyDescent="0.3">
      <c r="C4253" s="1" t="str">
        <f>IF(C4252&lt;'Investment Calculator'!$C$8*'Investment Calculator'!$F$4,'SIP Schedule'!C4252+1,"")</f>
        <v/>
      </c>
      <c r="D4253" s="27" t="str">
        <f>IF(C4253&lt;='Investment Calculator'!$C$8*'Investment Calculator'!$F$4,'Investment Calculator'!$C$6,"")</f>
        <v/>
      </c>
      <c r="E4253" s="27" t="str">
        <f>IFERROR((F4252+D4253)*'Investment Calculator'!$C$7/'Investment Calculator'!$F$4,"")</f>
        <v/>
      </c>
      <c r="F4253" s="27" t="str">
        <f>IFERROR(ABS(FV('Investment Calculator'!$C$7/'Investment Calculator'!$F$4,'SIP Schedule'!C4253,'SIP Schedule'!D4253,,1)),"")</f>
        <v/>
      </c>
    </row>
    <row r="4254" spans="3:6" x14ac:dyDescent="0.3">
      <c r="C4254" s="1" t="str">
        <f>IF(C4253&lt;'Investment Calculator'!$C$8*'Investment Calculator'!$F$4,'SIP Schedule'!C4253+1,"")</f>
        <v/>
      </c>
      <c r="D4254" s="27" t="str">
        <f>IF(C4254&lt;='Investment Calculator'!$C$8*'Investment Calculator'!$F$4,'Investment Calculator'!$C$6,"")</f>
        <v/>
      </c>
      <c r="E4254" s="27" t="str">
        <f>IFERROR((F4253+D4254)*'Investment Calculator'!$C$7/'Investment Calculator'!$F$4,"")</f>
        <v/>
      </c>
      <c r="F4254" s="27" t="str">
        <f>IFERROR(ABS(FV('Investment Calculator'!$C$7/'Investment Calculator'!$F$4,'SIP Schedule'!C4254,'SIP Schedule'!D4254,,1)),"")</f>
        <v/>
      </c>
    </row>
    <row r="4255" spans="3:6" x14ac:dyDescent="0.3">
      <c r="C4255" s="1" t="str">
        <f>IF(C4254&lt;'Investment Calculator'!$C$8*'Investment Calculator'!$F$4,'SIP Schedule'!C4254+1,"")</f>
        <v/>
      </c>
      <c r="D4255" s="27" t="str">
        <f>IF(C4255&lt;='Investment Calculator'!$C$8*'Investment Calculator'!$F$4,'Investment Calculator'!$C$6,"")</f>
        <v/>
      </c>
      <c r="E4255" s="27" t="str">
        <f>IFERROR((F4254+D4255)*'Investment Calculator'!$C$7/'Investment Calculator'!$F$4,"")</f>
        <v/>
      </c>
      <c r="F4255" s="27" t="str">
        <f>IFERROR(ABS(FV('Investment Calculator'!$C$7/'Investment Calculator'!$F$4,'SIP Schedule'!C4255,'SIP Schedule'!D4255,,1)),"")</f>
        <v/>
      </c>
    </row>
    <row r="4256" spans="3:6" x14ac:dyDescent="0.3">
      <c r="C4256" s="1" t="str">
        <f>IF(C4255&lt;'Investment Calculator'!$C$8*'Investment Calculator'!$F$4,'SIP Schedule'!C4255+1,"")</f>
        <v/>
      </c>
      <c r="D4256" s="27" t="str">
        <f>IF(C4256&lt;='Investment Calculator'!$C$8*'Investment Calculator'!$F$4,'Investment Calculator'!$C$6,"")</f>
        <v/>
      </c>
      <c r="E4256" s="27" t="str">
        <f>IFERROR((F4255+D4256)*'Investment Calculator'!$C$7/'Investment Calculator'!$F$4,"")</f>
        <v/>
      </c>
      <c r="F4256" s="27" t="str">
        <f>IFERROR(ABS(FV('Investment Calculator'!$C$7/'Investment Calculator'!$F$4,'SIP Schedule'!C4256,'SIP Schedule'!D4256,,1)),"")</f>
        <v/>
      </c>
    </row>
    <row r="4257" spans="3:6" x14ac:dyDescent="0.3">
      <c r="C4257" s="1" t="str">
        <f>IF(C4256&lt;'Investment Calculator'!$C$8*'Investment Calculator'!$F$4,'SIP Schedule'!C4256+1,"")</f>
        <v/>
      </c>
      <c r="D4257" s="27" t="str">
        <f>IF(C4257&lt;='Investment Calculator'!$C$8*'Investment Calculator'!$F$4,'Investment Calculator'!$C$6,"")</f>
        <v/>
      </c>
      <c r="E4257" s="27" t="str">
        <f>IFERROR((F4256+D4257)*'Investment Calculator'!$C$7/'Investment Calculator'!$F$4,"")</f>
        <v/>
      </c>
      <c r="F4257" s="27" t="str">
        <f>IFERROR(ABS(FV('Investment Calculator'!$C$7/'Investment Calculator'!$F$4,'SIP Schedule'!C4257,'SIP Schedule'!D4257,,1)),"")</f>
        <v/>
      </c>
    </row>
    <row r="4258" spans="3:6" x14ac:dyDescent="0.3">
      <c r="C4258" s="1" t="str">
        <f>IF(C4257&lt;'Investment Calculator'!$C$8*'Investment Calculator'!$F$4,'SIP Schedule'!C4257+1,"")</f>
        <v/>
      </c>
      <c r="D4258" s="27" t="str">
        <f>IF(C4258&lt;='Investment Calculator'!$C$8*'Investment Calculator'!$F$4,'Investment Calculator'!$C$6,"")</f>
        <v/>
      </c>
      <c r="E4258" s="27" t="str">
        <f>IFERROR((F4257+D4258)*'Investment Calculator'!$C$7/'Investment Calculator'!$F$4,"")</f>
        <v/>
      </c>
      <c r="F4258" s="27" t="str">
        <f>IFERROR(ABS(FV('Investment Calculator'!$C$7/'Investment Calculator'!$F$4,'SIP Schedule'!C4258,'SIP Schedule'!D4258,,1)),"")</f>
        <v/>
      </c>
    </row>
    <row r="4259" spans="3:6" x14ac:dyDescent="0.3">
      <c r="C4259" s="1" t="str">
        <f>IF(C4258&lt;'Investment Calculator'!$C$8*'Investment Calculator'!$F$4,'SIP Schedule'!C4258+1,"")</f>
        <v/>
      </c>
      <c r="D4259" s="27" t="str">
        <f>IF(C4259&lt;='Investment Calculator'!$C$8*'Investment Calculator'!$F$4,'Investment Calculator'!$C$6,"")</f>
        <v/>
      </c>
      <c r="E4259" s="27" t="str">
        <f>IFERROR((F4258+D4259)*'Investment Calculator'!$C$7/'Investment Calculator'!$F$4,"")</f>
        <v/>
      </c>
      <c r="F4259" s="27" t="str">
        <f>IFERROR(ABS(FV('Investment Calculator'!$C$7/'Investment Calculator'!$F$4,'SIP Schedule'!C4259,'SIP Schedule'!D4259,,1)),"")</f>
        <v/>
      </c>
    </row>
    <row r="4260" spans="3:6" x14ac:dyDescent="0.3">
      <c r="C4260" s="1" t="str">
        <f>IF(C4259&lt;'Investment Calculator'!$C$8*'Investment Calculator'!$F$4,'SIP Schedule'!C4259+1,"")</f>
        <v/>
      </c>
      <c r="D4260" s="27" t="str">
        <f>IF(C4260&lt;='Investment Calculator'!$C$8*'Investment Calculator'!$F$4,'Investment Calculator'!$C$6,"")</f>
        <v/>
      </c>
      <c r="E4260" s="27" t="str">
        <f>IFERROR((F4259+D4260)*'Investment Calculator'!$C$7/'Investment Calculator'!$F$4,"")</f>
        <v/>
      </c>
      <c r="F4260" s="27" t="str">
        <f>IFERROR(ABS(FV('Investment Calculator'!$C$7/'Investment Calculator'!$F$4,'SIP Schedule'!C4260,'SIP Schedule'!D4260,,1)),"")</f>
        <v/>
      </c>
    </row>
    <row r="4261" spans="3:6" x14ac:dyDescent="0.3">
      <c r="C4261" s="1" t="str">
        <f>IF(C4260&lt;'Investment Calculator'!$C$8*'Investment Calculator'!$F$4,'SIP Schedule'!C4260+1,"")</f>
        <v/>
      </c>
      <c r="D4261" s="27" t="str">
        <f>IF(C4261&lt;='Investment Calculator'!$C$8*'Investment Calculator'!$F$4,'Investment Calculator'!$C$6,"")</f>
        <v/>
      </c>
      <c r="E4261" s="27" t="str">
        <f>IFERROR((F4260+D4261)*'Investment Calculator'!$C$7/'Investment Calculator'!$F$4,"")</f>
        <v/>
      </c>
      <c r="F4261" s="27" t="str">
        <f>IFERROR(ABS(FV('Investment Calculator'!$C$7/'Investment Calculator'!$F$4,'SIP Schedule'!C4261,'SIP Schedule'!D4261,,1)),"")</f>
        <v/>
      </c>
    </row>
    <row r="4262" spans="3:6" x14ac:dyDescent="0.3">
      <c r="C4262" s="1" t="str">
        <f>IF(C4261&lt;'Investment Calculator'!$C$8*'Investment Calculator'!$F$4,'SIP Schedule'!C4261+1,"")</f>
        <v/>
      </c>
      <c r="D4262" s="27" t="str">
        <f>IF(C4262&lt;='Investment Calculator'!$C$8*'Investment Calculator'!$F$4,'Investment Calculator'!$C$6,"")</f>
        <v/>
      </c>
      <c r="E4262" s="27" t="str">
        <f>IFERROR((F4261+D4262)*'Investment Calculator'!$C$7/'Investment Calculator'!$F$4,"")</f>
        <v/>
      </c>
      <c r="F4262" s="27" t="str">
        <f>IFERROR(ABS(FV('Investment Calculator'!$C$7/'Investment Calculator'!$F$4,'SIP Schedule'!C4262,'SIP Schedule'!D4262,,1)),"")</f>
        <v/>
      </c>
    </row>
    <row r="4263" spans="3:6" x14ac:dyDescent="0.3">
      <c r="C4263" s="1" t="str">
        <f>IF(C4262&lt;'Investment Calculator'!$C$8*'Investment Calculator'!$F$4,'SIP Schedule'!C4262+1,"")</f>
        <v/>
      </c>
      <c r="D4263" s="27" t="str">
        <f>IF(C4263&lt;='Investment Calculator'!$C$8*'Investment Calculator'!$F$4,'Investment Calculator'!$C$6,"")</f>
        <v/>
      </c>
      <c r="E4263" s="27" t="str">
        <f>IFERROR((F4262+D4263)*'Investment Calculator'!$C$7/'Investment Calculator'!$F$4,"")</f>
        <v/>
      </c>
      <c r="F4263" s="27" t="str">
        <f>IFERROR(ABS(FV('Investment Calculator'!$C$7/'Investment Calculator'!$F$4,'SIP Schedule'!C4263,'SIP Schedule'!D4263,,1)),"")</f>
        <v/>
      </c>
    </row>
    <row r="4264" spans="3:6" x14ac:dyDescent="0.3">
      <c r="C4264" s="1" t="str">
        <f>IF(C4263&lt;'Investment Calculator'!$C$8*'Investment Calculator'!$F$4,'SIP Schedule'!C4263+1,"")</f>
        <v/>
      </c>
      <c r="D4264" s="27" t="str">
        <f>IF(C4264&lt;='Investment Calculator'!$C$8*'Investment Calculator'!$F$4,'Investment Calculator'!$C$6,"")</f>
        <v/>
      </c>
      <c r="E4264" s="27" t="str">
        <f>IFERROR((F4263+D4264)*'Investment Calculator'!$C$7/'Investment Calculator'!$F$4,"")</f>
        <v/>
      </c>
      <c r="F4264" s="27" t="str">
        <f>IFERROR(ABS(FV('Investment Calculator'!$C$7/'Investment Calculator'!$F$4,'SIP Schedule'!C4264,'SIP Schedule'!D4264,,1)),"")</f>
        <v/>
      </c>
    </row>
    <row r="4265" spans="3:6" x14ac:dyDescent="0.3">
      <c r="C4265" s="1" t="str">
        <f>IF(C4264&lt;'Investment Calculator'!$C$8*'Investment Calculator'!$F$4,'SIP Schedule'!C4264+1,"")</f>
        <v/>
      </c>
      <c r="D4265" s="27" t="str">
        <f>IF(C4265&lt;='Investment Calculator'!$C$8*'Investment Calculator'!$F$4,'Investment Calculator'!$C$6,"")</f>
        <v/>
      </c>
      <c r="E4265" s="27" t="str">
        <f>IFERROR((F4264+D4265)*'Investment Calculator'!$C$7/'Investment Calculator'!$F$4,"")</f>
        <v/>
      </c>
      <c r="F4265" s="27" t="str">
        <f>IFERROR(ABS(FV('Investment Calculator'!$C$7/'Investment Calculator'!$F$4,'SIP Schedule'!C4265,'SIP Schedule'!D4265,,1)),"")</f>
        <v/>
      </c>
    </row>
    <row r="4266" spans="3:6" x14ac:dyDescent="0.3">
      <c r="C4266" s="1" t="str">
        <f>IF(C4265&lt;'Investment Calculator'!$C$8*'Investment Calculator'!$F$4,'SIP Schedule'!C4265+1,"")</f>
        <v/>
      </c>
      <c r="D4266" s="27" t="str">
        <f>IF(C4266&lt;='Investment Calculator'!$C$8*'Investment Calculator'!$F$4,'Investment Calculator'!$C$6,"")</f>
        <v/>
      </c>
      <c r="E4266" s="27" t="str">
        <f>IFERROR((F4265+D4266)*'Investment Calculator'!$C$7/'Investment Calculator'!$F$4,"")</f>
        <v/>
      </c>
      <c r="F4266" s="27" t="str">
        <f>IFERROR(ABS(FV('Investment Calculator'!$C$7/'Investment Calculator'!$F$4,'SIP Schedule'!C4266,'SIP Schedule'!D4266,,1)),"")</f>
        <v/>
      </c>
    </row>
    <row r="4267" spans="3:6" x14ac:dyDescent="0.3">
      <c r="C4267" s="1" t="str">
        <f>IF(C4266&lt;'Investment Calculator'!$C$8*'Investment Calculator'!$F$4,'SIP Schedule'!C4266+1,"")</f>
        <v/>
      </c>
      <c r="D4267" s="27" t="str">
        <f>IF(C4267&lt;='Investment Calculator'!$C$8*'Investment Calculator'!$F$4,'Investment Calculator'!$C$6,"")</f>
        <v/>
      </c>
      <c r="E4267" s="27" t="str">
        <f>IFERROR((F4266+D4267)*'Investment Calculator'!$C$7/'Investment Calculator'!$F$4,"")</f>
        <v/>
      </c>
      <c r="F4267" s="27" t="str">
        <f>IFERROR(ABS(FV('Investment Calculator'!$C$7/'Investment Calculator'!$F$4,'SIP Schedule'!C4267,'SIP Schedule'!D4267,,1)),"")</f>
        <v/>
      </c>
    </row>
    <row r="4268" spans="3:6" x14ac:dyDescent="0.3">
      <c r="C4268" s="1" t="str">
        <f>IF(C4267&lt;'Investment Calculator'!$C$8*'Investment Calculator'!$F$4,'SIP Schedule'!C4267+1,"")</f>
        <v/>
      </c>
      <c r="D4268" s="27" t="str">
        <f>IF(C4268&lt;='Investment Calculator'!$C$8*'Investment Calculator'!$F$4,'Investment Calculator'!$C$6,"")</f>
        <v/>
      </c>
      <c r="E4268" s="27" t="str">
        <f>IFERROR((F4267+D4268)*'Investment Calculator'!$C$7/'Investment Calculator'!$F$4,"")</f>
        <v/>
      </c>
      <c r="F4268" s="27" t="str">
        <f>IFERROR(ABS(FV('Investment Calculator'!$C$7/'Investment Calculator'!$F$4,'SIP Schedule'!C4268,'SIP Schedule'!D4268,,1)),"")</f>
        <v/>
      </c>
    </row>
    <row r="4269" spans="3:6" x14ac:dyDescent="0.3">
      <c r="C4269" s="1" t="str">
        <f>IF(C4268&lt;'Investment Calculator'!$C$8*'Investment Calculator'!$F$4,'SIP Schedule'!C4268+1,"")</f>
        <v/>
      </c>
      <c r="D4269" s="27" t="str">
        <f>IF(C4269&lt;='Investment Calculator'!$C$8*'Investment Calculator'!$F$4,'Investment Calculator'!$C$6,"")</f>
        <v/>
      </c>
      <c r="E4269" s="27" t="str">
        <f>IFERROR((F4268+D4269)*'Investment Calculator'!$C$7/'Investment Calculator'!$F$4,"")</f>
        <v/>
      </c>
      <c r="F4269" s="27" t="str">
        <f>IFERROR(ABS(FV('Investment Calculator'!$C$7/'Investment Calculator'!$F$4,'SIP Schedule'!C4269,'SIP Schedule'!D4269,,1)),"")</f>
        <v/>
      </c>
    </row>
    <row r="4270" spans="3:6" x14ac:dyDescent="0.3">
      <c r="C4270" s="1" t="str">
        <f>IF(C4269&lt;'Investment Calculator'!$C$8*'Investment Calculator'!$F$4,'SIP Schedule'!C4269+1,"")</f>
        <v/>
      </c>
      <c r="D4270" s="27" t="str">
        <f>IF(C4270&lt;='Investment Calculator'!$C$8*'Investment Calculator'!$F$4,'Investment Calculator'!$C$6,"")</f>
        <v/>
      </c>
      <c r="E4270" s="27" t="str">
        <f>IFERROR((F4269+D4270)*'Investment Calculator'!$C$7/'Investment Calculator'!$F$4,"")</f>
        <v/>
      </c>
      <c r="F4270" s="27" t="str">
        <f>IFERROR(ABS(FV('Investment Calculator'!$C$7/'Investment Calculator'!$F$4,'SIP Schedule'!C4270,'SIP Schedule'!D4270,,1)),"")</f>
        <v/>
      </c>
    </row>
    <row r="4271" spans="3:6" x14ac:dyDescent="0.3">
      <c r="C4271" s="1" t="str">
        <f>IF(C4270&lt;'Investment Calculator'!$C$8*'Investment Calculator'!$F$4,'SIP Schedule'!C4270+1,"")</f>
        <v/>
      </c>
      <c r="D4271" s="27" t="str">
        <f>IF(C4271&lt;='Investment Calculator'!$C$8*'Investment Calculator'!$F$4,'Investment Calculator'!$C$6,"")</f>
        <v/>
      </c>
      <c r="E4271" s="27" t="str">
        <f>IFERROR((F4270+D4271)*'Investment Calculator'!$C$7/'Investment Calculator'!$F$4,"")</f>
        <v/>
      </c>
      <c r="F4271" s="27" t="str">
        <f>IFERROR(ABS(FV('Investment Calculator'!$C$7/'Investment Calculator'!$F$4,'SIP Schedule'!C4271,'SIP Schedule'!D4271,,1)),"")</f>
        <v/>
      </c>
    </row>
    <row r="4272" spans="3:6" x14ac:dyDescent="0.3">
      <c r="C4272" s="1" t="str">
        <f>IF(C4271&lt;'Investment Calculator'!$C$8*'Investment Calculator'!$F$4,'SIP Schedule'!C4271+1,"")</f>
        <v/>
      </c>
      <c r="D4272" s="27" t="str">
        <f>IF(C4272&lt;='Investment Calculator'!$C$8*'Investment Calculator'!$F$4,'Investment Calculator'!$C$6,"")</f>
        <v/>
      </c>
      <c r="E4272" s="27" t="str">
        <f>IFERROR((F4271+D4272)*'Investment Calculator'!$C$7/'Investment Calculator'!$F$4,"")</f>
        <v/>
      </c>
      <c r="F4272" s="27" t="str">
        <f>IFERROR(ABS(FV('Investment Calculator'!$C$7/'Investment Calculator'!$F$4,'SIP Schedule'!C4272,'SIP Schedule'!D4272,,1)),"")</f>
        <v/>
      </c>
    </row>
    <row r="4273" spans="3:6" x14ac:dyDescent="0.3">
      <c r="C4273" s="1" t="str">
        <f>IF(C4272&lt;'Investment Calculator'!$C$8*'Investment Calculator'!$F$4,'SIP Schedule'!C4272+1,"")</f>
        <v/>
      </c>
      <c r="D4273" s="27" t="str">
        <f>IF(C4273&lt;='Investment Calculator'!$C$8*'Investment Calculator'!$F$4,'Investment Calculator'!$C$6,"")</f>
        <v/>
      </c>
      <c r="E4273" s="27" t="str">
        <f>IFERROR((F4272+D4273)*'Investment Calculator'!$C$7/'Investment Calculator'!$F$4,"")</f>
        <v/>
      </c>
      <c r="F4273" s="27" t="str">
        <f>IFERROR(ABS(FV('Investment Calculator'!$C$7/'Investment Calculator'!$F$4,'SIP Schedule'!C4273,'SIP Schedule'!D4273,,1)),"")</f>
        <v/>
      </c>
    </row>
    <row r="4274" spans="3:6" x14ac:dyDescent="0.3">
      <c r="C4274" s="1" t="str">
        <f>IF(C4273&lt;'Investment Calculator'!$C$8*'Investment Calculator'!$F$4,'SIP Schedule'!C4273+1,"")</f>
        <v/>
      </c>
      <c r="D4274" s="27" t="str">
        <f>IF(C4274&lt;='Investment Calculator'!$C$8*'Investment Calculator'!$F$4,'Investment Calculator'!$C$6,"")</f>
        <v/>
      </c>
      <c r="E4274" s="27" t="str">
        <f>IFERROR((F4273+D4274)*'Investment Calculator'!$C$7/'Investment Calculator'!$F$4,"")</f>
        <v/>
      </c>
      <c r="F4274" s="27" t="str">
        <f>IFERROR(ABS(FV('Investment Calculator'!$C$7/'Investment Calculator'!$F$4,'SIP Schedule'!C4274,'SIP Schedule'!D4274,,1)),"")</f>
        <v/>
      </c>
    </row>
    <row r="4275" spans="3:6" x14ac:dyDescent="0.3">
      <c r="C4275" s="1" t="str">
        <f>IF(C4274&lt;'Investment Calculator'!$C$8*'Investment Calculator'!$F$4,'SIP Schedule'!C4274+1,"")</f>
        <v/>
      </c>
      <c r="D4275" s="27" t="str">
        <f>IF(C4275&lt;='Investment Calculator'!$C$8*'Investment Calculator'!$F$4,'Investment Calculator'!$C$6,"")</f>
        <v/>
      </c>
      <c r="E4275" s="27" t="str">
        <f>IFERROR((F4274+D4275)*'Investment Calculator'!$C$7/'Investment Calculator'!$F$4,"")</f>
        <v/>
      </c>
      <c r="F4275" s="27" t="str">
        <f>IFERROR(ABS(FV('Investment Calculator'!$C$7/'Investment Calculator'!$F$4,'SIP Schedule'!C4275,'SIP Schedule'!D4275,,1)),"")</f>
        <v/>
      </c>
    </row>
    <row r="4276" spans="3:6" x14ac:dyDescent="0.3">
      <c r="C4276" s="1" t="str">
        <f>IF(C4275&lt;'Investment Calculator'!$C$8*'Investment Calculator'!$F$4,'SIP Schedule'!C4275+1,"")</f>
        <v/>
      </c>
      <c r="D4276" s="27" t="str">
        <f>IF(C4276&lt;='Investment Calculator'!$C$8*'Investment Calculator'!$F$4,'Investment Calculator'!$C$6,"")</f>
        <v/>
      </c>
      <c r="E4276" s="27" t="str">
        <f>IFERROR((F4275+D4276)*'Investment Calculator'!$C$7/'Investment Calculator'!$F$4,"")</f>
        <v/>
      </c>
      <c r="F4276" s="27" t="str">
        <f>IFERROR(ABS(FV('Investment Calculator'!$C$7/'Investment Calculator'!$F$4,'SIP Schedule'!C4276,'SIP Schedule'!D4276,,1)),"")</f>
        <v/>
      </c>
    </row>
    <row r="4277" spans="3:6" x14ac:dyDescent="0.3">
      <c r="C4277" s="1" t="str">
        <f>IF(C4276&lt;'Investment Calculator'!$C$8*'Investment Calculator'!$F$4,'SIP Schedule'!C4276+1,"")</f>
        <v/>
      </c>
      <c r="D4277" s="27" t="str">
        <f>IF(C4277&lt;='Investment Calculator'!$C$8*'Investment Calculator'!$F$4,'Investment Calculator'!$C$6,"")</f>
        <v/>
      </c>
      <c r="E4277" s="27" t="str">
        <f>IFERROR((F4276+D4277)*'Investment Calculator'!$C$7/'Investment Calculator'!$F$4,"")</f>
        <v/>
      </c>
      <c r="F4277" s="27" t="str">
        <f>IFERROR(ABS(FV('Investment Calculator'!$C$7/'Investment Calculator'!$F$4,'SIP Schedule'!C4277,'SIP Schedule'!D4277,,1)),"")</f>
        <v/>
      </c>
    </row>
    <row r="4278" spans="3:6" x14ac:dyDescent="0.3">
      <c r="C4278" s="1" t="str">
        <f>IF(C4277&lt;'Investment Calculator'!$C$8*'Investment Calculator'!$F$4,'SIP Schedule'!C4277+1,"")</f>
        <v/>
      </c>
      <c r="D4278" s="27" t="str">
        <f>IF(C4278&lt;='Investment Calculator'!$C$8*'Investment Calculator'!$F$4,'Investment Calculator'!$C$6,"")</f>
        <v/>
      </c>
      <c r="E4278" s="27" t="str">
        <f>IFERROR((F4277+D4278)*'Investment Calculator'!$C$7/'Investment Calculator'!$F$4,"")</f>
        <v/>
      </c>
      <c r="F4278" s="27" t="str">
        <f>IFERROR(ABS(FV('Investment Calculator'!$C$7/'Investment Calculator'!$F$4,'SIP Schedule'!C4278,'SIP Schedule'!D4278,,1)),"")</f>
        <v/>
      </c>
    </row>
    <row r="4279" spans="3:6" x14ac:dyDescent="0.3">
      <c r="C4279" s="1" t="str">
        <f>IF(C4278&lt;'Investment Calculator'!$C$8*'Investment Calculator'!$F$4,'SIP Schedule'!C4278+1,"")</f>
        <v/>
      </c>
      <c r="D4279" s="27" t="str">
        <f>IF(C4279&lt;='Investment Calculator'!$C$8*'Investment Calculator'!$F$4,'Investment Calculator'!$C$6,"")</f>
        <v/>
      </c>
      <c r="E4279" s="27" t="str">
        <f>IFERROR((F4278+D4279)*'Investment Calculator'!$C$7/'Investment Calculator'!$F$4,"")</f>
        <v/>
      </c>
      <c r="F4279" s="27" t="str">
        <f>IFERROR(ABS(FV('Investment Calculator'!$C$7/'Investment Calculator'!$F$4,'SIP Schedule'!C4279,'SIP Schedule'!D4279,,1)),"")</f>
        <v/>
      </c>
    </row>
    <row r="4280" spans="3:6" x14ac:dyDescent="0.3">
      <c r="C4280" s="1" t="str">
        <f>IF(C4279&lt;'Investment Calculator'!$C$8*'Investment Calculator'!$F$4,'SIP Schedule'!C4279+1,"")</f>
        <v/>
      </c>
      <c r="D4280" s="27" t="str">
        <f>IF(C4280&lt;='Investment Calculator'!$C$8*'Investment Calculator'!$F$4,'Investment Calculator'!$C$6,"")</f>
        <v/>
      </c>
      <c r="E4280" s="27" t="str">
        <f>IFERROR((F4279+D4280)*'Investment Calculator'!$C$7/'Investment Calculator'!$F$4,"")</f>
        <v/>
      </c>
      <c r="F4280" s="27" t="str">
        <f>IFERROR(ABS(FV('Investment Calculator'!$C$7/'Investment Calculator'!$F$4,'SIP Schedule'!C4280,'SIP Schedule'!D4280,,1)),"")</f>
        <v/>
      </c>
    </row>
    <row r="4281" spans="3:6" x14ac:dyDescent="0.3">
      <c r="C4281" s="1" t="str">
        <f>IF(C4280&lt;'Investment Calculator'!$C$8*'Investment Calculator'!$F$4,'SIP Schedule'!C4280+1,"")</f>
        <v/>
      </c>
      <c r="D4281" s="27" t="str">
        <f>IF(C4281&lt;='Investment Calculator'!$C$8*'Investment Calculator'!$F$4,'Investment Calculator'!$C$6,"")</f>
        <v/>
      </c>
      <c r="E4281" s="27" t="str">
        <f>IFERROR((F4280+D4281)*'Investment Calculator'!$C$7/'Investment Calculator'!$F$4,"")</f>
        <v/>
      </c>
      <c r="F4281" s="27" t="str">
        <f>IFERROR(ABS(FV('Investment Calculator'!$C$7/'Investment Calculator'!$F$4,'SIP Schedule'!C4281,'SIP Schedule'!D4281,,1)),"")</f>
        <v/>
      </c>
    </row>
    <row r="4282" spans="3:6" x14ac:dyDescent="0.3">
      <c r="C4282" s="1" t="str">
        <f>IF(C4281&lt;'Investment Calculator'!$C$8*'Investment Calculator'!$F$4,'SIP Schedule'!C4281+1,"")</f>
        <v/>
      </c>
      <c r="D4282" s="27" t="str">
        <f>IF(C4282&lt;='Investment Calculator'!$C$8*'Investment Calculator'!$F$4,'Investment Calculator'!$C$6,"")</f>
        <v/>
      </c>
      <c r="E4282" s="27" t="str">
        <f>IFERROR((F4281+D4282)*'Investment Calculator'!$C$7/'Investment Calculator'!$F$4,"")</f>
        <v/>
      </c>
      <c r="F4282" s="27" t="str">
        <f>IFERROR(ABS(FV('Investment Calculator'!$C$7/'Investment Calculator'!$F$4,'SIP Schedule'!C4282,'SIP Schedule'!D4282,,1)),"")</f>
        <v/>
      </c>
    </row>
    <row r="4283" spans="3:6" x14ac:dyDescent="0.3">
      <c r="C4283" s="1" t="str">
        <f>IF(C4282&lt;'Investment Calculator'!$C$8*'Investment Calculator'!$F$4,'SIP Schedule'!C4282+1,"")</f>
        <v/>
      </c>
      <c r="D4283" s="27" t="str">
        <f>IF(C4283&lt;='Investment Calculator'!$C$8*'Investment Calculator'!$F$4,'Investment Calculator'!$C$6,"")</f>
        <v/>
      </c>
      <c r="E4283" s="27" t="str">
        <f>IFERROR((F4282+D4283)*'Investment Calculator'!$C$7/'Investment Calculator'!$F$4,"")</f>
        <v/>
      </c>
      <c r="F4283" s="27" t="str">
        <f>IFERROR(ABS(FV('Investment Calculator'!$C$7/'Investment Calculator'!$F$4,'SIP Schedule'!C4283,'SIP Schedule'!D4283,,1)),"")</f>
        <v/>
      </c>
    </row>
    <row r="4284" spans="3:6" x14ac:dyDescent="0.3">
      <c r="C4284" s="1" t="str">
        <f>IF(C4283&lt;'Investment Calculator'!$C$8*'Investment Calculator'!$F$4,'SIP Schedule'!C4283+1,"")</f>
        <v/>
      </c>
      <c r="D4284" s="27" t="str">
        <f>IF(C4284&lt;='Investment Calculator'!$C$8*'Investment Calculator'!$F$4,'Investment Calculator'!$C$6,"")</f>
        <v/>
      </c>
      <c r="E4284" s="27" t="str">
        <f>IFERROR((F4283+D4284)*'Investment Calculator'!$C$7/'Investment Calculator'!$F$4,"")</f>
        <v/>
      </c>
      <c r="F4284" s="27" t="str">
        <f>IFERROR(ABS(FV('Investment Calculator'!$C$7/'Investment Calculator'!$F$4,'SIP Schedule'!C4284,'SIP Schedule'!D4284,,1)),"")</f>
        <v/>
      </c>
    </row>
    <row r="4285" spans="3:6" x14ac:dyDescent="0.3">
      <c r="C4285" s="1" t="str">
        <f>IF(C4284&lt;'Investment Calculator'!$C$8*'Investment Calculator'!$F$4,'SIP Schedule'!C4284+1,"")</f>
        <v/>
      </c>
      <c r="D4285" s="27" t="str">
        <f>IF(C4285&lt;='Investment Calculator'!$C$8*'Investment Calculator'!$F$4,'Investment Calculator'!$C$6,"")</f>
        <v/>
      </c>
      <c r="E4285" s="27" t="str">
        <f>IFERROR((F4284+D4285)*'Investment Calculator'!$C$7/'Investment Calculator'!$F$4,"")</f>
        <v/>
      </c>
      <c r="F4285" s="27" t="str">
        <f>IFERROR(ABS(FV('Investment Calculator'!$C$7/'Investment Calculator'!$F$4,'SIP Schedule'!C4285,'SIP Schedule'!D4285,,1)),"")</f>
        <v/>
      </c>
    </row>
    <row r="4286" spans="3:6" x14ac:dyDescent="0.3">
      <c r="C4286" s="1" t="str">
        <f>IF(C4285&lt;'Investment Calculator'!$C$8*'Investment Calculator'!$F$4,'SIP Schedule'!C4285+1,"")</f>
        <v/>
      </c>
      <c r="D4286" s="27" t="str">
        <f>IF(C4286&lt;='Investment Calculator'!$C$8*'Investment Calculator'!$F$4,'Investment Calculator'!$C$6,"")</f>
        <v/>
      </c>
      <c r="E4286" s="27" t="str">
        <f>IFERROR((F4285+D4286)*'Investment Calculator'!$C$7/'Investment Calculator'!$F$4,"")</f>
        <v/>
      </c>
      <c r="F4286" s="27" t="str">
        <f>IFERROR(ABS(FV('Investment Calculator'!$C$7/'Investment Calculator'!$F$4,'SIP Schedule'!C4286,'SIP Schedule'!D4286,,1)),"")</f>
        <v/>
      </c>
    </row>
    <row r="4287" spans="3:6" x14ac:dyDescent="0.3">
      <c r="C4287" s="1" t="str">
        <f>IF(C4286&lt;'Investment Calculator'!$C$8*'Investment Calculator'!$F$4,'SIP Schedule'!C4286+1,"")</f>
        <v/>
      </c>
      <c r="D4287" s="27" t="str">
        <f>IF(C4287&lt;='Investment Calculator'!$C$8*'Investment Calculator'!$F$4,'Investment Calculator'!$C$6,"")</f>
        <v/>
      </c>
      <c r="E4287" s="27" t="str">
        <f>IFERROR((F4286+D4287)*'Investment Calculator'!$C$7/'Investment Calculator'!$F$4,"")</f>
        <v/>
      </c>
      <c r="F4287" s="27" t="str">
        <f>IFERROR(ABS(FV('Investment Calculator'!$C$7/'Investment Calculator'!$F$4,'SIP Schedule'!C4287,'SIP Schedule'!D4287,,1)),"")</f>
        <v/>
      </c>
    </row>
    <row r="4288" spans="3:6" x14ac:dyDescent="0.3">
      <c r="C4288" s="1" t="str">
        <f>IF(C4287&lt;'Investment Calculator'!$C$8*'Investment Calculator'!$F$4,'SIP Schedule'!C4287+1,"")</f>
        <v/>
      </c>
      <c r="D4288" s="27" t="str">
        <f>IF(C4288&lt;='Investment Calculator'!$C$8*'Investment Calculator'!$F$4,'Investment Calculator'!$C$6,"")</f>
        <v/>
      </c>
      <c r="E4288" s="27" t="str">
        <f>IFERROR((F4287+D4288)*'Investment Calculator'!$C$7/'Investment Calculator'!$F$4,"")</f>
        <v/>
      </c>
      <c r="F4288" s="27" t="str">
        <f>IFERROR(ABS(FV('Investment Calculator'!$C$7/'Investment Calculator'!$F$4,'SIP Schedule'!C4288,'SIP Schedule'!D4288,,1)),"")</f>
        <v/>
      </c>
    </row>
    <row r="4289" spans="3:6" x14ac:dyDescent="0.3">
      <c r="C4289" s="1" t="str">
        <f>IF(C4288&lt;'Investment Calculator'!$C$8*'Investment Calculator'!$F$4,'SIP Schedule'!C4288+1,"")</f>
        <v/>
      </c>
      <c r="D4289" s="27" t="str">
        <f>IF(C4289&lt;='Investment Calculator'!$C$8*'Investment Calculator'!$F$4,'Investment Calculator'!$C$6,"")</f>
        <v/>
      </c>
      <c r="E4289" s="27" t="str">
        <f>IFERROR((F4288+D4289)*'Investment Calculator'!$C$7/'Investment Calculator'!$F$4,"")</f>
        <v/>
      </c>
      <c r="F4289" s="27" t="str">
        <f>IFERROR(ABS(FV('Investment Calculator'!$C$7/'Investment Calculator'!$F$4,'SIP Schedule'!C4289,'SIP Schedule'!D4289,,1)),"")</f>
        <v/>
      </c>
    </row>
    <row r="4290" spans="3:6" x14ac:dyDescent="0.3">
      <c r="C4290" s="1" t="str">
        <f>IF(C4289&lt;'Investment Calculator'!$C$8*'Investment Calculator'!$F$4,'SIP Schedule'!C4289+1,"")</f>
        <v/>
      </c>
      <c r="D4290" s="27" t="str">
        <f>IF(C4290&lt;='Investment Calculator'!$C$8*'Investment Calculator'!$F$4,'Investment Calculator'!$C$6,"")</f>
        <v/>
      </c>
      <c r="E4290" s="27" t="str">
        <f>IFERROR((F4289+D4290)*'Investment Calculator'!$C$7/'Investment Calculator'!$F$4,"")</f>
        <v/>
      </c>
      <c r="F4290" s="27" t="str">
        <f>IFERROR(ABS(FV('Investment Calculator'!$C$7/'Investment Calculator'!$F$4,'SIP Schedule'!C4290,'SIP Schedule'!D4290,,1)),"")</f>
        <v/>
      </c>
    </row>
    <row r="4291" spans="3:6" x14ac:dyDescent="0.3">
      <c r="C4291" s="1" t="str">
        <f>IF(C4290&lt;'Investment Calculator'!$C$8*'Investment Calculator'!$F$4,'SIP Schedule'!C4290+1,"")</f>
        <v/>
      </c>
      <c r="D4291" s="27" t="str">
        <f>IF(C4291&lt;='Investment Calculator'!$C$8*'Investment Calculator'!$F$4,'Investment Calculator'!$C$6,"")</f>
        <v/>
      </c>
      <c r="E4291" s="27" t="str">
        <f>IFERROR((F4290+D4291)*'Investment Calculator'!$C$7/'Investment Calculator'!$F$4,"")</f>
        <v/>
      </c>
      <c r="F4291" s="27" t="str">
        <f>IFERROR(ABS(FV('Investment Calculator'!$C$7/'Investment Calculator'!$F$4,'SIP Schedule'!C4291,'SIP Schedule'!D4291,,1)),"")</f>
        <v/>
      </c>
    </row>
    <row r="4292" spans="3:6" x14ac:dyDescent="0.3">
      <c r="C4292" s="1" t="str">
        <f>IF(C4291&lt;'Investment Calculator'!$C$8*'Investment Calculator'!$F$4,'SIP Schedule'!C4291+1,"")</f>
        <v/>
      </c>
      <c r="D4292" s="27" t="str">
        <f>IF(C4292&lt;='Investment Calculator'!$C$8*'Investment Calculator'!$F$4,'Investment Calculator'!$C$6,"")</f>
        <v/>
      </c>
      <c r="E4292" s="27" t="str">
        <f>IFERROR((F4291+D4292)*'Investment Calculator'!$C$7/'Investment Calculator'!$F$4,"")</f>
        <v/>
      </c>
      <c r="F4292" s="27" t="str">
        <f>IFERROR(ABS(FV('Investment Calculator'!$C$7/'Investment Calculator'!$F$4,'SIP Schedule'!C4292,'SIP Schedule'!D4292,,1)),"")</f>
        <v/>
      </c>
    </row>
    <row r="4293" spans="3:6" x14ac:dyDescent="0.3">
      <c r="C4293" s="1" t="str">
        <f>IF(C4292&lt;'Investment Calculator'!$C$8*'Investment Calculator'!$F$4,'SIP Schedule'!C4292+1,"")</f>
        <v/>
      </c>
      <c r="D4293" s="27" t="str">
        <f>IF(C4293&lt;='Investment Calculator'!$C$8*'Investment Calculator'!$F$4,'Investment Calculator'!$C$6,"")</f>
        <v/>
      </c>
      <c r="E4293" s="27" t="str">
        <f>IFERROR((F4292+D4293)*'Investment Calculator'!$C$7/'Investment Calculator'!$F$4,"")</f>
        <v/>
      </c>
      <c r="F4293" s="27" t="str">
        <f>IFERROR(ABS(FV('Investment Calculator'!$C$7/'Investment Calculator'!$F$4,'SIP Schedule'!C4293,'SIP Schedule'!D4293,,1)),"")</f>
        <v/>
      </c>
    </row>
    <row r="4294" spans="3:6" x14ac:dyDescent="0.3">
      <c r="C4294" s="1" t="str">
        <f>IF(C4293&lt;'Investment Calculator'!$C$8*'Investment Calculator'!$F$4,'SIP Schedule'!C4293+1,"")</f>
        <v/>
      </c>
      <c r="D4294" s="27" t="str">
        <f>IF(C4294&lt;='Investment Calculator'!$C$8*'Investment Calculator'!$F$4,'Investment Calculator'!$C$6,"")</f>
        <v/>
      </c>
      <c r="E4294" s="27" t="str">
        <f>IFERROR((F4293+D4294)*'Investment Calculator'!$C$7/'Investment Calculator'!$F$4,"")</f>
        <v/>
      </c>
      <c r="F4294" s="27" t="str">
        <f>IFERROR(ABS(FV('Investment Calculator'!$C$7/'Investment Calculator'!$F$4,'SIP Schedule'!C4294,'SIP Schedule'!D4294,,1)),"")</f>
        <v/>
      </c>
    </row>
    <row r="4295" spans="3:6" x14ac:dyDescent="0.3">
      <c r="C4295" s="1" t="str">
        <f>IF(C4294&lt;'Investment Calculator'!$C$8*'Investment Calculator'!$F$4,'SIP Schedule'!C4294+1,"")</f>
        <v/>
      </c>
      <c r="D4295" s="27" t="str">
        <f>IF(C4295&lt;='Investment Calculator'!$C$8*'Investment Calculator'!$F$4,'Investment Calculator'!$C$6,"")</f>
        <v/>
      </c>
      <c r="E4295" s="27" t="str">
        <f>IFERROR((F4294+D4295)*'Investment Calculator'!$C$7/'Investment Calculator'!$F$4,"")</f>
        <v/>
      </c>
      <c r="F4295" s="27" t="str">
        <f>IFERROR(ABS(FV('Investment Calculator'!$C$7/'Investment Calculator'!$F$4,'SIP Schedule'!C4295,'SIP Schedule'!D4295,,1)),"")</f>
        <v/>
      </c>
    </row>
    <row r="4296" spans="3:6" x14ac:dyDescent="0.3">
      <c r="C4296" s="1" t="str">
        <f>IF(C4295&lt;'Investment Calculator'!$C$8*'Investment Calculator'!$F$4,'SIP Schedule'!C4295+1,"")</f>
        <v/>
      </c>
      <c r="D4296" s="27" t="str">
        <f>IF(C4296&lt;='Investment Calculator'!$C$8*'Investment Calculator'!$F$4,'Investment Calculator'!$C$6,"")</f>
        <v/>
      </c>
      <c r="E4296" s="27" t="str">
        <f>IFERROR((F4295+D4296)*'Investment Calculator'!$C$7/'Investment Calculator'!$F$4,"")</f>
        <v/>
      </c>
      <c r="F4296" s="27" t="str">
        <f>IFERROR(ABS(FV('Investment Calculator'!$C$7/'Investment Calculator'!$F$4,'SIP Schedule'!C4296,'SIP Schedule'!D4296,,1)),"")</f>
        <v/>
      </c>
    </row>
    <row r="4297" spans="3:6" x14ac:dyDescent="0.3">
      <c r="C4297" s="1" t="str">
        <f>IF(C4296&lt;'Investment Calculator'!$C$8*'Investment Calculator'!$F$4,'SIP Schedule'!C4296+1,"")</f>
        <v/>
      </c>
      <c r="D4297" s="27" t="str">
        <f>IF(C4297&lt;='Investment Calculator'!$C$8*'Investment Calculator'!$F$4,'Investment Calculator'!$C$6,"")</f>
        <v/>
      </c>
      <c r="E4297" s="27" t="str">
        <f>IFERROR((F4296+D4297)*'Investment Calculator'!$C$7/'Investment Calculator'!$F$4,"")</f>
        <v/>
      </c>
      <c r="F4297" s="27" t="str">
        <f>IFERROR(ABS(FV('Investment Calculator'!$C$7/'Investment Calculator'!$F$4,'SIP Schedule'!C4297,'SIP Schedule'!D4297,,1)),"")</f>
        <v/>
      </c>
    </row>
    <row r="4298" spans="3:6" x14ac:dyDescent="0.3">
      <c r="C4298" s="1" t="str">
        <f>IF(C4297&lt;'Investment Calculator'!$C$8*'Investment Calculator'!$F$4,'SIP Schedule'!C4297+1,"")</f>
        <v/>
      </c>
      <c r="D4298" s="27" t="str">
        <f>IF(C4298&lt;='Investment Calculator'!$C$8*'Investment Calculator'!$F$4,'Investment Calculator'!$C$6,"")</f>
        <v/>
      </c>
      <c r="E4298" s="27" t="str">
        <f>IFERROR((F4297+D4298)*'Investment Calculator'!$C$7/'Investment Calculator'!$F$4,"")</f>
        <v/>
      </c>
      <c r="F4298" s="27" t="str">
        <f>IFERROR(ABS(FV('Investment Calculator'!$C$7/'Investment Calculator'!$F$4,'SIP Schedule'!C4298,'SIP Schedule'!D4298,,1)),"")</f>
        <v/>
      </c>
    </row>
    <row r="4299" spans="3:6" x14ac:dyDescent="0.3">
      <c r="C4299" s="1" t="str">
        <f>IF(C4298&lt;'Investment Calculator'!$C$8*'Investment Calculator'!$F$4,'SIP Schedule'!C4298+1,"")</f>
        <v/>
      </c>
      <c r="D4299" s="27" t="str">
        <f>IF(C4299&lt;='Investment Calculator'!$C$8*'Investment Calculator'!$F$4,'Investment Calculator'!$C$6,"")</f>
        <v/>
      </c>
      <c r="E4299" s="27" t="str">
        <f>IFERROR((F4298+D4299)*'Investment Calculator'!$C$7/'Investment Calculator'!$F$4,"")</f>
        <v/>
      </c>
      <c r="F4299" s="27" t="str">
        <f>IFERROR(ABS(FV('Investment Calculator'!$C$7/'Investment Calculator'!$F$4,'SIP Schedule'!C4299,'SIP Schedule'!D4299,,1)),"")</f>
        <v/>
      </c>
    </row>
    <row r="4300" spans="3:6" x14ac:dyDescent="0.3">
      <c r="C4300" s="1" t="str">
        <f>IF(C4299&lt;'Investment Calculator'!$C$8*'Investment Calculator'!$F$4,'SIP Schedule'!C4299+1,"")</f>
        <v/>
      </c>
      <c r="D4300" s="27" t="str">
        <f>IF(C4300&lt;='Investment Calculator'!$C$8*'Investment Calculator'!$F$4,'Investment Calculator'!$C$6,"")</f>
        <v/>
      </c>
      <c r="E4300" s="27" t="str">
        <f>IFERROR((F4299+D4300)*'Investment Calculator'!$C$7/'Investment Calculator'!$F$4,"")</f>
        <v/>
      </c>
      <c r="F4300" s="27" t="str">
        <f>IFERROR(ABS(FV('Investment Calculator'!$C$7/'Investment Calculator'!$F$4,'SIP Schedule'!C4300,'SIP Schedule'!D4300,,1)),"")</f>
        <v/>
      </c>
    </row>
    <row r="4301" spans="3:6" x14ac:dyDescent="0.3">
      <c r="C4301" s="1" t="str">
        <f>IF(C4300&lt;'Investment Calculator'!$C$8*'Investment Calculator'!$F$4,'SIP Schedule'!C4300+1,"")</f>
        <v/>
      </c>
      <c r="D4301" s="27" t="str">
        <f>IF(C4301&lt;='Investment Calculator'!$C$8*'Investment Calculator'!$F$4,'Investment Calculator'!$C$6,"")</f>
        <v/>
      </c>
      <c r="E4301" s="27" t="str">
        <f>IFERROR((F4300+D4301)*'Investment Calculator'!$C$7/'Investment Calculator'!$F$4,"")</f>
        <v/>
      </c>
      <c r="F4301" s="27" t="str">
        <f>IFERROR(ABS(FV('Investment Calculator'!$C$7/'Investment Calculator'!$F$4,'SIP Schedule'!C4301,'SIP Schedule'!D4301,,1)),"")</f>
        <v/>
      </c>
    </row>
    <row r="4302" spans="3:6" x14ac:dyDescent="0.3">
      <c r="C4302" s="1" t="str">
        <f>IF(C4301&lt;'Investment Calculator'!$C$8*'Investment Calculator'!$F$4,'SIP Schedule'!C4301+1,"")</f>
        <v/>
      </c>
      <c r="D4302" s="27" t="str">
        <f>IF(C4302&lt;='Investment Calculator'!$C$8*'Investment Calculator'!$F$4,'Investment Calculator'!$C$6,"")</f>
        <v/>
      </c>
      <c r="E4302" s="27" t="str">
        <f>IFERROR((F4301+D4302)*'Investment Calculator'!$C$7/'Investment Calculator'!$F$4,"")</f>
        <v/>
      </c>
      <c r="F4302" s="27" t="str">
        <f>IFERROR(ABS(FV('Investment Calculator'!$C$7/'Investment Calculator'!$F$4,'SIP Schedule'!C4302,'SIP Schedule'!D4302,,1)),"")</f>
        <v/>
      </c>
    </row>
    <row r="4303" spans="3:6" x14ac:dyDescent="0.3">
      <c r="C4303" s="1" t="str">
        <f>IF(C4302&lt;'Investment Calculator'!$C$8*'Investment Calculator'!$F$4,'SIP Schedule'!C4302+1,"")</f>
        <v/>
      </c>
      <c r="D4303" s="27" t="str">
        <f>IF(C4303&lt;='Investment Calculator'!$C$8*'Investment Calculator'!$F$4,'Investment Calculator'!$C$6,"")</f>
        <v/>
      </c>
      <c r="E4303" s="27" t="str">
        <f>IFERROR((F4302+D4303)*'Investment Calculator'!$C$7/'Investment Calculator'!$F$4,"")</f>
        <v/>
      </c>
      <c r="F4303" s="27" t="str">
        <f>IFERROR(ABS(FV('Investment Calculator'!$C$7/'Investment Calculator'!$F$4,'SIP Schedule'!C4303,'SIP Schedule'!D4303,,1)),"")</f>
        <v/>
      </c>
    </row>
    <row r="4304" spans="3:6" x14ac:dyDescent="0.3">
      <c r="C4304" s="1" t="str">
        <f>IF(C4303&lt;'Investment Calculator'!$C$8*'Investment Calculator'!$F$4,'SIP Schedule'!C4303+1,"")</f>
        <v/>
      </c>
      <c r="D4304" s="27" t="str">
        <f>IF(C4304&lt;='Investment Calculator'!$C$8*'Investment Calculator'!$F$4,'Investment Calculator'!$C$6,"")</f>
        <v/>
      </c>
      <c r="E4304" s="27" t="str">
        <f>IFERROR((F4303+D4304)*'Investment Calculator'!$C$7/'Investment Calculator'!$F$4,"")</f>
        <v/>
      </c>
      <c r="F4304" s="27" t="str">
        <f>IFERROR(ABS(FV('Investment Calculator'!$C$7/'Investment Calculator'!$F$4,'SIP Schedule'!C4304,'SIP Schedule'!D4304,,1)),"")</f>
        <v/>
      </c>
    </row>
    <row r="4305" spans="3:6" x14ac:dyDescent="0.3">
      <c r="C4305" s="1" t="str">
        <f>IF(C4304&lt;'Investment Calculator'!$C$8*'Investment Calculator'!$F$4,'SIP Schedule'!C4304+1,"")</f>
        <v/>
      </c>
      <c r="D4305" s="27" t="str">
        <f>IF(C4305&lt;='Investment Calculator'!$C$8*'Investment Calculator'!$F$4,'Investment Calculator'!$C$6,"")</f>
        <v/>
      </c>
      <c r="E4305" s="27" t="str">
        <f>IFERROR((F4304+D4305)*'Investment Calculator'!$C$7/'Investment Calculator'!$F$4,"")</f>
        <v/>
      </c>
      <c r="F4305" s="27" t="str">
        <f>IFERROR(ABS(FV('Investment Calculator'!$C$7/'Investment Calculator'!$F$4,'SIP Schedule'!C4305,'SIP Schedule'!D4305,,1)),"")</f>
        <v/>
      </c>
    </row>
    <row r="4306" spans="3:6" x14ac:dyDescent="0.3">
      <c r="C4306" s="1" t="str">
        <f>IF(C4305&lt;'Investment Calculator'!$C$8*'Investment Calculator'!$F$4,'SIP Schedule'!C4305+1,"")</f>
        <v/>
      </c>
      <c r="D4306" s="27" t="str">
        <f>IF(C4306&lt;='Investment Calculator'!$C$8*'Investment Calculator'!$F$4,'Investment Calculator'!$C$6,"")</f>
        <v/>
      </c>
      <c r="E4306" s="27" t="str">
        <f>IFERROR((F4305+D4306)*'Investment Calculator'!$C$7/'Investment Calculator'!$F$4,"")</f>
        <v/>
      </c>
      <c r="F4306" s="27" t="str">
        <f>IFERROR(ABS(FV('Investment Calculator'!$C$7/'Investment Calculator'!$F$4,'SIP Schedule'!C4306,'SIP Schedule'!D4306,,1)),"")</f>
        <v/>
      </c>
    </row>
    <row r="4307" spans="3:6" x14ac:dyDescent="0.3">
      <c r="C4307" s="1" t="str">
        <f>IF(C4306&lt;'Investment Calculator'!$C$8*'Investment Calculator'!$F$4,'SIP Schedule'!C4306+1,"")</f>
        <v/>
      </c>
      <c r="D4307" s="27" t="str">
        <f>IF(C4307&lt;='Investment Calculator'!$C$8*'Investment Calculator'!$F$4,'Investment Calculator'!$C$6,"")</f>
        <v/>
      </c>
      <c r="E4307" s="27" t="str">
        <f>IFERROR((F4306+D4307)*'Investment Calculator'!$C$7/'Investment Calculator'!$F$4,"")</f>
        <v/>
      </c>
      <c r="F4307" s="27" t="str">
        <f>IFERROR(ABS(FV('Investment Calculator'!$C$7/'Investment Calculator'!$F$4,'SIP Schedule'!C4307,'SIP Schedule'!D4307,,1)),"")</f>
        <v/>
      </c>
    </row>
    <row r="4308" spans="3:6" x14ac:dyDescent="0.3">
      <c r="C4308" s="1" t="str">
        <f>IF(C4307&lt;'Investment Calculator'!$C$8*'Investment Calculator'!$F$4,'SIP Schedule'!C4307+1,"")</f>
        <v/>
      </c>
      <c r="D4308" s="27" t="str">
        <f>IF(C4308&lt;='Investment Calculator'!$C$8*'Investment Calculator'!$F$4,'Investment Calculator'!$C$6,"")</f>
        <v/>
      </c>
      <c r="E4308" s="27" t="str">
        <f>IFERROR((F4307+D4308)*'Investment Calculator'!$C$7/'Investment Calculator'!$F$4,"")</f>
        <v/>
      </c>
      <c r="F4308" s="27" t="str">
        <f>IFERROR(ABS(FV('Investment Calculator'!$C$7/'Investment Calculator'!$F$4,'SIP Schedule'!C4308,'SIP Schedule'!D4308,,1)),"")</f>
        <v/>
      </c>
    </row>
    <row r="4309" spans="3:6" x14ac:dyDescent="0.3">
      <c r="C4309" s="1" t="str">
        <f>IF(C4308&lt;'Investment Calculator'!$C$8*'Investment Calculator'!$F$4,'SIP Schedule'!C4308+1,"")</f>
        <v/>
      </c>
      <c r="D4309" s="27" t="str">
        <f>IF(C4309&lt;='Investment Calculator'!$C$8*'Investment Calculator'!$F$4,'Investment Calculator'!$C$6,"")</f>
        <v/>
      </c>
      <c r="E4309" s="27" t="str">
        <f>IFERROR((F4308+D4309)*'Investment Calculator'!$C$7/'Investment Calculator'!$F$4,"")</f>
        <v/>
      </c>
      <c r="F4309" s="27" t="str">
        <f>IFERROR(ABS(FV('Investment Calculator'!$C$7/'Investment Calculator'!$F$4,'SIP Schedule'!C4309,'SIP Schedule'!D4309,,1)),"")</f>
        <v/>
      </c>
    </row>
    <row r="4310" spans="3:6" x14ac:dyDescent="0.3">
      <c r="C4310" s="1" t="str">
        <f>IF(C4309&lt;'Investment Calculator'!$C$8*'Investment Calculator'!$F$4,'SIP Schedule'!C4309+1,"")</f>
        <v/>
      </c>
      <c r="D4310" s="27" t="str">
        <f>IF(C4310&lt;='Investment Calculator'!$C$8*'Investment Calculator'!$F$4,'Investment Calculator'!$C$6,"")</f>
        <v/>
      </c>
      <c r="E4310" s="27" t="str">
        <f>IFERROR((F4309+D4310)*'Investment Calculator'!$C$7/'Investment Calculator'!$F$4,"")</f>
        <v/>
      </c>
      <c r="F4310" s="27" t="str">
        <f>IFERROR(ABS(FV('Investment Calculator'!$C$7/'Investment Calculator'!$F$4,'SIP Schedule'!C4310,'SIP Schedule'!D4310,,1)),"")</f>
        <v/>
      </c>
    </row>
    <row r="4311" spans="3:6" x14ac:dyDescent="0.3">
      <c r="C4311" s="1" t="str">
        <f>IF(C4310&lt;'Investment Calculator'!$C$8*'Investment Calculator'!$F$4,'SIP Schedule'!C4310+1,"")</f>
        <v/>
      </c>
      <c r="D4311" s="27" t="str">
        <f>IF(C4311&lt;='Investment Calculator'!$C$8*'Investment Calculator'!$F$4,'Investment Calculator'!$C$6,"")</f>
        <v/>
      </c>
      <c r="E4311" s="27" t="str">
        <f>IFERROR((F4310+D4311)*'Investment Calculator'!$C$7/'Investment Calculator'!$F$4,"")</f>
        <v/>
      </c>
      <c r="F4311" s="27" t="str">
        <f>IFERROR(ABS(FV('Investment Calculator'!$C$7/'Investment Calculator'!$F$4,'SIP Schedule'!C4311,'SIP Schedule'!D4311,,1)),"")</f>
        <v/>
      </c>
    </row>
    <row r="4312" spans="3:6" x14ac:dyDescent="0.3">
      <c r="C4312" s="1" t="str">
        <f>IF(C4311&lt;'Investment Calculator'!$C$8*'Investment Calculator'!$F$4,'SIP Schedule'!C4311+1,"")</f>
        <v/>
      </c>
      <c r="D4312" s="27" t="str">
        <f>IF(C4312&lt;='Investment Calculator'!$C$8*'Investment Calculator'!$F$4,'Investment Calculator'!$C$6,"")</f>
        <v/>
      </c>
      <c r="E4312" s="27" t="str">
        <f>IFERROR((F4311+D4312)*'Investment Calculator'!$C$7/'Investment Calculator'!$F$4,"")</f>
        <v/>
      </c>
      <c r="F4312" s="27" t="str">
        <f>IFERROR(ABS(FV('Investment Calculator'!$C$7/'Investment Calculator'!$F$4,'SIP Schedule'!C4312,'SIP Schedule'!D4312,,1)),"")</f>
        <v/>
      </c>
    </row>
    <row r="4313" spans="3:6" x14ac:dyDescent="0.3">
      <c r="C4313" s="1" t="str">
        <f>IF(C4312&lt;'Investment Calculator'!$C$8*'Investment Calculator'!$F$4,'SIP Schedule'!C4312+1,"")</f>
        <v/>
      </c>
      <c r="D4313" s="27" t="str">
        <f>IF(C4313&lt;='Investment Calculator'!$C$8*'Investment Calculator'!$F$4,'Investment Calculator'!$C$6,"")</f>
        <v/>
      </c>
      <c r="E4313" s="27" t="str">
        <f>IFERROR((F4312+D4313)*'Investment Calculator'!$C$7/'Investment Calculator'!$F$4,"")</f>
        <v/>
      </c>
      <c r="F4313" s="27" t="str">
        <f>IFERROR(ABS(FV('Investment Calculator'!$C$7/'Investment Calculator'!$F$4,'SIP Schedule'!C4313,'SIP Schedule'!D4313,,1)),"")</f>
        <v/>
      </c>
    </row>
    <row r="4314" spans="3:6" x14ac:dyDescent="0.3">
      <c r="C4314" s="1" t="str">
        <f>IF(C4313&lt;'Investment Calculator'!$C$8*'Investment Calculator'!$F$4,'SIP Schedule'!C4313+1,"")</f>
        <v/>
      </c>
      <c r="D4314" s="27" t="str">
        <f>IF(C4314&lt;='Investment Calculator'!$C$8*'Investment Calculator'!$F$4,'Investment Calculator'!$C$6,"")</f>
        <v/>
      </c>
      <c r="E4314" s="27" t="str">
        <f>IFERROR((F4313+D4314)*'Investment Calculator'!$C$7/'Investment Calculator'!$F$4,"")</f>
        <v/>
      </c>
      <c r="F4314" s="27" t="str">
        <f>IFERROR(ABS(FV('Investment Calculator'!$C$7/'Investment Calculator'!$F$4,'SIP Schedule'!C4314,'SIP Schedule'!D4314,,1)),"")</f>
        <v/>
      </c>
    </row>
    <row r="4315" spans="3:6" x14ac:dyDescent="0.3">
      <c r="C4315" s="1" t="str">
        <f>IF(C4314&lt;'Investment Calculator'!$C$8*'Investment Calculator'!$F$4,'SIP Schedule'!C4314+1,"")</f>
        <v/>
      </c>
      <c r="D4315" s="27" t="str">
        <f>IF(C4315&lt;='Investment Calculator'!$C$8*'Investment Calculator'!$F$4,'Investment Calculator'!$C$6,"")</f>
        <v/>
      </c>
      <c r="E4315" s="27" t="str">
        <f>IFERROR((F4314+D4315)*'Investment Calculator'!$C$7/'Investment Calculator'!$F$4,"")</f>
        <v/>
      </c>
      <c r="F4315" s="27" t="str">
        <f>IFERROR(ABS(FV('Investment Calculator'!$C$7/'Investment Calculator'!$F$4,'SIP Schedule'!C4315,'SIP Schedule'!D4315,,1)),"")</f>
        <v/>
      </c>
    </row>
    <row r="4316" spans="3:6" x14ac:dyDescent="0.3">
      <c r="C4316" s="1" t="str">
        <f>IF(C4315&lt;'Investment Calculator'!$C$8*'Investment Calculator'!$F$4,'SIP Schedule'!C4315+1,"")</f>
        <v/>
      </c>
      <c r="D4316" s="27" t="str">
        <f>IF(C4316&lt;='Investment Calculator'!$C$8*'Investment Calculator'!$F$4,'Investment Calculator'!$C$6,"")</f>
        <v/>
      </c>
      <c r="E4316" s="27" t="str">
        <f>IFERROR((F4315+D4316)*'Investment Calculator'!$C$7/'Investment Calculator'!$F$4,"")</f>
        <v/>
      </c>
      <c r="F4316" s="27" t="str">
        <f>IFERROR(ABS(FV('Investment Calculator'!$C$7/'Investment Calculator'!$F$4,'SIP Schedule'!C4316,'SIP Schedule'!D4316,,1)),"")</f>
        <v/>
      </c>
    </row>
    <row r="4317" spans="3:6" x14ac:dyDescent="0.3">
      <c r="C4317" s="1" t="str">
        <f>IF(C4316&lt;'Investment Calculator'!$C$8*'Investment Calculator'!$F$4,'SIP Schedule'!C4316+1,"")</f>
        <v/>
      </c>
      <c r="D4317" s="27" t="str">
        <f>IF(C4317&lt;='Investment Calculator'!$C$8*'Investment Calculator'!$F$4,'Investment Calculator'!$C$6,"")</f>
        <v/>
      </c>
      <c r="E4317" s="27" t="str">
        <f>IFERROR((F4316+D4317)*'Investment Calculator'!$C$7/'Investment Calculator'!$F$4,"")</f>
        <v/>
      </c>
      <c r="F4317" s="27" t="str">
        <f>IFERROR(ABS(FV('Investment Calculator'!$C$7/'Investment Calculator'!$F$4,'SIP Schedule'!C4317,'SIP Schedule'!D4317,,1)),"")</f>
        <v/>
      </c>
    </row>
    <row r="4318" spans="3:6" x14ac:dyDescent="0.3">
      <c r="C4318" s="1" t="str">
        <f>IF(C4317&lt;'Investment Calculator'!$C$8*'Investment Calculator'!$F$4,'SIP Schedule'!C4317+1,"")</f>
        <v/>
      </c>
      <c r="D4318" s="27" t="str">
        <f>IF(C4318&lt;='Investment Calculator'!$C$8*'Investment Calculator'!$F$4,'Investment Calculator'!$C$6,"")</f>
        <v/>
      </c>
      <c r="E4318" s="27" t="str">
        <f>IFERROR((F4317+D4318)*'Investment Calculator'!$C$7/'Investment Calculator'!$F$4,"")</f>
        <v/>
      </c>
      <c r="F4318" s="27" t="str">
        <f>IFERROR(ABS(FV('Investment Calculator'!$C$7/'Investment Calculator'!$F$4,'SIP Schedule'!C4318,'SIP Schedule'!D4318,,1)),"")</f>
        <v/>
      </c>
    </row>
    <row r="4319" spans="3:6" x14ac:dyDescent="0.3">
      <c r="C4319" s="1" t="str">
        <f>IF(C4318&lt;'Investment Calculator'!$C$8*'Investment Calculator'!$F$4,'SIP Schedule'!C4318+1,"")</f>
        <v/>
      </c>
      <c r="D4319" s="27" t="str">
        <f>IF(C4319&lt;='Investment Calculator'!$C$8*'Investment Calculator'!$F$4,'Investment Calculator'!$C$6,"")</f>
        <v/>
      </c>
      <c r="E4319" s="27" t="str">
        <f>IFERROR((F4318+D4319)*'Investment Calculator'!$C$7/'Investment Calculator'!$F$4,"")</f>
        <v/>
      </c>
      <c r="F4319" s="27" t="str">
        <f>IFERROR(ABS(FV('Investment Calculator'!$C$7/'Investment Calculator'!$F$4,'SIP Schedule'!C4319,'SIP Schedule'!D4319,,1)),"")</f>
        <v/>
      </c>
    </row>
    <row r="4320" spans="3:6" x14ac:dyDescent="0.3">
      <c r="C4320" s="1" t="str">
        <f>IF(C4319&lt;'Investment Calculator'!$C$8*'Investment Calculator'!$F$4,'SIP Schedule'!C4319+1,"")</f>
        <v/>
      </c>
      <c r="D4320" s="27" t="str">
        <f>IF(C4320&lt;='Investment Calculator'!$C$8*'Investment Calculator'!$F$4,'Investment Calculator'!$C$6,"")</f>
        <v/>
      </c>
      <c r="E4320" s="27" t="str">
        <f>IFERROR((F4319+D4320)*'Investment Calculator'!$C$7/'Investment Calculator'!$F$4,"")</f>
        <v/>
      </c>
      <c r="F4320" s="27" t="str">
        <f>IFERROR(ABS(FV('Investment Calculator'!$C$7/'Investment Calculator'!$F$4,'SIP Schedule'!C4320,'SIP Schedule'!D4320,,1)),"")</f>
        <v/>
      </c>
    </row>
    <row r="4321" spans="3:6" x14ac:dyDescent="0.3">
      <c r="C4321" s="1" t="str">
        <f>IF(C4320&lt;'Investment Calculator'!$C$8*'Investment Calculator'!$F$4,'SIP Schedule'!C4320+1,"")</f>
        <v/>
      </c>
      <c r="D4321" s="27" t="str">
        <f>IF(C4321&lt;='Investment Calculator'!$C$8*'Investment Calculator'!$F$4,'Investment Calculator'!$C$6,"")</f>
        <v/>
      </c>
      <c r="E4321" s="27" t="str">
        <f>IFERROR((F4320+D4321)*'Investment Calculator'!$C$7/'Investment Calculator'!$F$4,"")</f>
        <v/>
      </c>
      <c r="F4321" s="27" t="str">
        <f>IFERROR(ABS(FV('Investment Calculator'!$C$7/'Investment Calculator'!$F$4,'SIP Schedule'!C4321,'SIP Schedule'!D4321,,1)),"")</f>
        <v/>
      </c>
    </row>
    <row r="4322" spans="3:6" x14ac:dyDescent="0.3">
      <c r="C4322" s="1" t="str">
        <f>IF(C4321&lt;'Investment Calculator'!$C$8*'Investment Calculator'!$F$4,'SIP Schedule'!C4321+1,"")</f>
        <v/>
      </c>
      <c r="D4322" s="27" t="str">
        <f>IF(C4322&lt;='Investment Calculator'!$C$8*'Investment Calculator'!$F$4,'Investment Calculator'!$C$6,"")</f>
        <v/>
      </c>
      <c r="E4322" s="27" t="str">
        <f>IFERROR((F4321+D4322)*'Investment Calculator'!$C$7/'Investment Calculator'!$F$4,"")</f>
        <v/>
      </c>
      <c r="F4322" s="27" t="str">
        <f>IFERROR(ABS(FV('Investment Calculator'!$C$7/'Investment Calculator'!$F$4,'SIP Schedule'!C4322,'SIP Schedule'!D4322,,1)),"")</f>
        <v/>
      </c>
    </row>
    <row r="4323" spans="3:6" x14ac:dyDescent="0.3">
      <c r="C4323" s="1" t="str">
        <f>IF(C4322&lt;'Investment Calculator'!$C$8*'Investment Calculator'!$F$4,'SIP Schedule'!C4322+1,"")</f>
        <v/>
      </c>
      <c r="D4323" s="27" t="str">
        <f>IF(C4323&lt;='Investment Calculator'!$C$8*'Investment Calculator'!$F$4,'Investment Calculator'!$C$6,"")</f>
        <v/>
      </c>
      <c r="E4323" s="27" t="str">
        <f>IFERROR((F4322+D4323)*'Investment Calculator'!$C$7/'Investment Calculator'!$F$4,"")</f>
        <v/>
      </c>
      <c r="F4323" s="27" t="str">
        <f>IFERROR(ABS(FV('Investment Calculator'!$C$7/'Investment Calculator'!$F$4,'SIP Schedule'!C4323,'SIP Schedule'!D4323,,1)),"")</f>
        <v/>
      </c>
    </row>
    <row r="4324" spans="3:6" x14ac:dyDescent="0.3">
      <c r="C4324" s="1" t="str">
        <f>IF(C4323&lt;'Investment Calculator'!$C$8*'Investment Calculator'!$F$4,'SIP Schedule'!C4323+1,"")</f>
        <v/>
      </c>
      <c r="D4324" s="27" t="str">
        <f>IF(C4324&lt;='Investment Calculator'!$C$8*'Investment Calculator'!$F$4,'Investment Calculator'!$C$6,"")</f>
        <v/>
      </c>
      <c r="E4324" s="27" t="str">
        <f>IFERROR((F4323+D4324)*'Investment Calculator'!$C$7/'Investment Calculator'!$F$4,"")</f>
        <v/>
      </c>
      <c r="F4324" s="27" t="str">
        <f>IFERROR(ABS(FV('Investment Calculator'!$C$7/'Investment Calculator'!$F$4,'SIP Schedule'!C4324,'SIP Schedule'!D4324,,1)),"")</f>
        <v/>
      </c>
    </row>
    <row r="4325" spans="3:6" x14ac:dyDescent="0.3">
      <c r="C4325" s="1" t="str">
        <f>IF(C4324&lt;'Investment Calculator'!$C$8*'Investment Calculator'!$F$4,'SIP Schedule'!C4324+1,"")</f>
        <v/>
      </c>
      <c r="D4325" s="27" t="str">
        <f>IF(C4325&lt;='Investment Calculator'!$C$8*'Investment Calculator'!$F$4,'Investment Calculator'!$C$6,"")</f>
        <v/>
      </c>
      <c r="E4325" s="27" t="str">
        <f>IFERROR((F4324+D4325)*'Investment Calculator'!$C$7/'Investment Calculator'!$F$4,"")</f>
        <v/>
      </c>
      <c r="F4325" s="27" t="str">
        <f>IFERROR(ABS(FV('Investment Calculator'!$C$7/'Investment Calculator'!$F$4,'SIP Schedule'!C4325,'SIP Schedule'!D4325,,1)),"")</f>
        <v/>
      </c>
    </row>
    <row r="4326" spans="3:6" x14ac:dyDescent="0.3">
      <c r="C4326" s="1" t="str">
        <f>IF(C4325&lt;'Investment Calculator'!$C$8*'Investment Calculator'!$F$4,'SIP Schedule'!C4325+1,"")</f>
        <v/>
      </c>
      <c r="D4326" s="27" t="str">
        <f>IF(C4326&lt;='Investment Calculator'!$C$8*'Investment Calculator'!$F$4,'Investment Calculator'!$C$6,"")</f>
        <v/>
      </c>
      <c r="E4326" s="27" t="str">
        <f>IFERROR((F4325+D4326)*'Investment Calculator'!$C$7/'Investment Calculator'!$F$4,"")</f>
        <v/>
      </c>
      <c r="F4326" s="27" t="str">
        <f>IFERROR(ABS(FV('Investment Calculator'!$C$7/'Investment Calculator'!$F$4,'SIP Schedule'!C4326,'SIP Schedule'!D4326,,1)),"")</f>
        <v/>
      </c>
    </row>
    <row r="4327" spans="3:6" x14ac:dyDescent="0.3">
      <c r="C4327" s="1" t="str">
        <f>IF(C4326&lt;'Investment Calculator'!$C$8*'Investment Calculator'!$F$4,'SIP Schedule'!C4326+1,"")</f>
        <v/>
      </c>
      <c r="D4327" s="27" t="str">
        <f>IF(C4327&lt;='Investment Calculator'!$C$8*'Investment Calculator'!$F$4,'Investment Calculator'!$C$6,"")</f>
        <v/>
      </c>
      <c r="E4327" s="27" t="str">
        <f>IFERROR((F4326+D4327)*'Investment Calculator'!$C$7/'Investment Calculator'!$F$4,"")</f>
        <v/>
      </c>
      <c r="F4327" s="27" t="str">
        <f>IFERROR(ABS(FV('Investment Calculator'!$C$7/'Investment Calculator'!$F$4,'SIP Schedule'!C4327,'SIP Schedule'!D4327,,1)),"")</f>
        <v/>
      </c>
    </row>
    <row r="4328" spans="3:6" x14ac:dyDescent="0.3">
      <c r="C4328" s="1" t="str">
        <f>IF(C4327&lt;'Investment Calculator'!$C$8*'Investment Calculator'!$F$4,'SIP Schedule'!C4327+1,"")</f>
        <v/>
      </c>
      <c r="D4328" s="27" t="str">
        <f>IF(C4328&lt;='Investment Calculator'!$C$8*'Investment Calculator'!$F$4,'Investment Calculator'!$C$6,"")</f>
        <v/>
      </c>
      <c r="E4328" s="27" t="str">
        <f>IFERROR((F4327+D4328)*'Investment Calculator'!$C$7/'Investment Calculator'!$F$4,"")</f>
        <v/>
      </c>
      <c r="F4328" s="27" t="str">
        <f>IFERROR(ABS(FV('Investment Calculator'!$C$7/'Investment Calculator'!$F$4,'SIP Schedule'!C4328,'SIP Schedule'!D4328,,1)),"")</f>
        <v/>
      </c>
    </row>
    <row r="4329" spans="3:6" x14ac:dyDescent="0.3">
      <c r="C4329" s="1" t="str">
        <f>IF(C4328&lt;'Investment Calculator'!$C$8*'Investment Calculator'!$F$4,'SIP Schedule'!C4328+1,"")</f>
        <v/>
      </c>
      <c r="D4329" s="27" t="str">
        <f>IF(C4329&lt;='Investment Calculator'!$C$8*'Investment Calculator'!$F$4,'Investment Calculator'!$C$6,"")</f>
        <v/>
      </c>
      <c r="E4329" s="27" t="str">
        <f>IFERROR((F4328+D4329)*'Investment Calculator'!$C$7/'Investment Calculator'!$F$4,"")</f>
        <v/>
      </c>
      <c r="F4329" s="27" t="str">
        <f>IFERROR(ABS(FV('Investment Calculator'!$C$7/'Investment Calculator'!$F$4,'SIP Schedule'!C4329,'SIP Schedule'!D4329,,1)),"")</f>
        <v/>
      </c>
    </row>
    <row r="4330" spans="3:6" x14ac:dyDescent="0.3">
      <c r="C4330" s="1" t="str">
        <f>IF(C4329&lt;'Investment Calculator'!$C$8*'Investment Calculator'!$F$4,'SIP Schedule'!C4329+1,"")</f>
        <v/>
      </c>
      <c r="D4330" s="27" t="str">
        <f>IF(C4330&lt;='Investment Calculator'!$C$8*'Investment Calculator'!$F$4,'Investment Calculator'!$C$6,"")</f>
        <v/>
      </c>
      <c r="E4330" s="27" t="str">
        <f>IFERROR((F4329+D4330)*'Investment Calculator'!$C$7/'Investment Calculator'!$F$4,"")</f>
        <v/>
      </c>
      <c r="F4330" s="27" t="str">
        <f>IFERROR(ABS(FV('Investment Calculator'!$C$7/'Investment Calculator'!$F$4,'SIP Schedule'!C4330,'SIP Schedule'!D4330,,1)),"")</f>
        <v/>
      </c>
    </row>
    <row r="4331" spans="3:6" x14ac:dyDescent="0.3">
      <c r="C4331" s="1" t="str">
        <f>IF(C4330&lt;'Investment Calculator'!$C$8*'Investment Calculator'!$F$4,'SIP Schedule'!C4330+1,"")</f>
        <v/>
      </c>
      <c r="D4331" s="27" t="str">
        <f>IF(C4331&lt;='Investment Calculator'!$C$8*'Investment Calculator'!$F$4,'Investment Calculator'!$C$6,"")</f>
        <v/>
      </c>
      <c r="E4331" s="27" t="str">
        <f>IFERROR((F4330+D4331)*'Investment Calculator'!$C$7/'Investment Calculator'!$F$4,"")</f>
        <v/>
      </c>
      <c r="F4331" s="27" t="str">
        <f>IFERROR(ABS(FV('Investment Calculator'!$C$7/'Investment Calculator'!$F$4,'SIP Schedule'!C4331,'SIP Schedule'!D4331,,1)),"")</f>
        <v/>
      </c>
    </row>
    <row r="4332" spans="3:6" x14ac:dyDescent="0.3">
      <c r="C4332" s="1" t="str">
        <f>IF(C4331&lt;'Investment Calculator'!$C$8*'Investment Calculator'!$F$4,'SIP Schedule'!C4331+1,"")</f>
        <v/>
      </c>
      <c r="D4332" s="27" t="str">
        <f>IF(C4332&lt;='Investment Calculator'!$C$8*'Investment Calculator'!$F$4,'Investment Calculator'!$C$6,"")</f>
        <v/>
      </c>
      <c r="E4332" s="27" t="str">
        <f>IFERROR((F4331+D4332)*'Investment Calculator'!$C$7/'Investment Calculator'!$F$4,"")</f>
        <v/>
      </c>
      <c r="F4332" s="27" t="str">
        <f>IFERROR(ABS(FV('Investment Calculator'!$C$7/'Investment Calculator'!$F$4,'SIP Schedule'!C4332,'SIP Schedule'!D4332,,1)),"")</f>
        <v/>
      </c>
    </row>
    <row r="4333" spans="3:6" x14ac:dyDescent="0.3">
      <c r="C4333" s="1" t="str">
        <f>IF(C4332&lt;'Investment Calculator'!$C$8*'Investment Calculator'!$F$4,'SIP Schedule'!C4332+1,"")</f>
        <v/>
      </c>
      <c r="D4333" s="27" t="str">
        <f>IF(C4333&lt;='Investment Calculator'!$C$8*'Investment Calculator'!$F$4,'Investment Calculator'!$C$6,"")</f>
        <v/>
      </c>
      <c r="E4333" s="27" t="str">
        <f>IFERROR((F4332+D4333)*'Investment Calculator'!$C$7/'Investment Calculator'!$F$4,"")</f>
        <v/>
      </c>
      <c r="F4333" s="27" t="str">
        <f>IFERROR(ABS(FV('Investment Calculator'!$C$7/'Investment Calculator'!$F$4,'SIP Schedule'!C4333,'SIP Schedule'!D4333,,1)),"")</f>
        <v/>
      </c>
    </row>
    <row r="4334" spans="3:6" x14ac:dyDescent="0.3">
      <c r="C4334" s="1" t="str">
        <f>IF(C4333&lt;'Investment Calculator'!$C$8*'Investment Calculator'!$F$4,'SIP Schedule'!C4333+1,"")</f>
        <v/>
      </c>
      <c r="D4334" s="27" t="str">
        <f>IF(C4334&lt;='Investment Calculator'!$C$8*'Investment Calculator'!$F$4,'Investment Calculator'!$C$6,"")</f>
        <v/>
      </c>
      <c r="E4334" s="27" t="str">
        <f>IFERROR((F4333+D4334)*'Investment Calculator'!$C$7/'Investment Calculator'!$F$4,"")</f>
        <v/>
      </c>
      <c r="F4334" s="27" t="str">
        <f>IFERROR(ABS(FV('Investment Calculator'!$C$7/'Investment Calculator'!$F$4,'SIP Schedule'!C4334,'SIP Schedule'!D4334,,1)),"")</f>
        <v/>
      </c>
    </row>
    <row r="4335" spans="3:6" x14ac:dyDescent="0.3">
      <c r="C4335" s="1" t="str">
        <f>IF(C4334&lt;'Investment Calculator'!$C$8*'Investment Calculator'!$F$4,'SIP Schedule'!C4334+1,"")</f>
        <v/>
      </c>
      <c r="D4335" s="27" t="str">
        <f>IF(C4335&lt;='Investment Calculator'!$C$8*'Investment Calculator'!$F$4,'Investment Calculator'!$C$6,"")</f>
        <v/>
      </c>
      <c r="E4335" s="27" t="str">
        <f>IFERROR((F4334+D4335)*'Investment Calculator'!$C$7/'Investment Calculator'!$F$4,"")</f>
        <v/>
      </c>
      <c r="F4335" s="27" t="str">
        <f>IFERROR(ABS(FV('Investment Calculator'!$C$7/'Investment Calculator'!$F$4,'SIP Schedule'!C4335,'SIP Schedule'!D4335,,1)),"")</f>
        <v/>
      </c>
    </row>
    <row r="4336" spans="3:6" x14ac:dyDescent="0.3">
      <c r="C4336" s="1" t="str">
        <f>IF(C4335&lt;'Investment Calculator'!$C$8*'Investment Calculator'!$F$4,'SIP Schedule'!C4335+1,"")</f>
        <v/>
      </c>
      <c r="D4336" s="27" t="str">
        <f>IF(C4336&lt;='Investment Calculator'!$C$8*'Investment Calculator'!$F$4,'Investment Calculator'!$C$6,"")</f>
        <v/>
      </c>
      <c r="E4336" s="27" t="str">
        <f>IFERROR((F4335+D4336)*'Investment Calculator'!$C$7/'Investment Calculator'!$F$4,"")</f>
        <v/>
      </c>
      <c r="F4336" s="27" t="str">
        <f>IFERROR(ABS(FV('Investment Calculator'!$C$7/'Investment Calculator'!$F$4,'SIP Schedule'!C4336,'SIP Schedule'!D4336,,1)),"")</f>
        <v/>
      </c>
    </row>
    <row r="4337" spans="3:6" x14ac:dyDescent="0.3">
      <c r="C4337" s="1" t="str">
        <f>IF(C4336&lt;'Investment Calculator'!$C$8*'Investment Calculator'!$F$4,'SIP Schedule'!C4336+1,"")</f>
        <v/>
      </c>
      <c r="D4337" s="27" t="str">
        <f>IF(C4337&lt;='Investment Calculator'!$C$8*'Investment Calculator'!$F$4,'Investment Calculator'!$C$6,"")</f>
        <v/>
      </c>
      <c r="E4337" s="27" t="str">
        <f>IFERROR((F4336+D4337)*'Investment Calculator'!$C$7/'Investment Calculator'!$F$4,"")</f>
        <v/>
      </c>
      <c r="F4337" s="27" t="str">
        <f>IFERROR(ABS(FV('Investment Calculator'!$C$7/'Investment Calculator'!$F$4,'SIP Schedule'!C4337,'SIP Schedule'!D4337,,1)),"")</f>
        <v/>
      </c>
    </row>
    <row r="4338" spans="3:6" x14ac:dyDescent="0.3">
      <c r="C4338" s="1" t="str">
        <f>IF(C4337&lt;'Investment Calculator'!$C$8*'Investment Calculator'!$F$4,'SIP Schedule'!C4337+1,"")</f>
        <v/>
      </c>
      <c r="D4338" s="27" t="str">
        <f>IF(C4338&lt;='Investment Calculator'!$C$8*'Investment Calculator'!$F$4,'Investment Calculator'!$C$6,"")</f>
        <v/>
      </c>
      <c r="E4338" s="27" t="str">
        <f>IFERROR((F4337+D4338)*'Investment Calculator'!$C$7/'Investment Calculator'!$F$4,"")</f>
        <v/>
      </c>
      <c r="F4338" s="27" t="str">
        <f>IFERROR(ABS(FV('Investment Calculator'!$C$7/'Investment Calculator'!$F$4,'SIP Schedule'!C4338,'SIP Schedule'!D4338,,1)),"")</f>
        <v/>
      </c>
    </row>
    <row r="4339" spans="3:6" x14ac:dyDescent="0.3">
      <c r="C4339" s="1" t="str">
        <f>IF(C4338&lt;'Investment Calculator'!$C$8*'Investment Calculator'!$F$4,'SIP Schedule'!C4338+1,"")</f>
        <v/>
      </c>
      <c r="D4339" s="27" t="str">
        <f>IF(C4339&lt;='Investment Calculator'!$C$8*'Investment Calculator'!$F$4,'Investment Calculator'!$C$6,"")</f>
        <v/>
      </c>
      <c r="E4339" s="27" t="str">
        <f>IFERROR((F4338+D4339)*'Investment Calculator'!$C$7/'Investment Calculator'!$F$4,"")</f>
        <v/>
      </c>
      <c r="F4339" s="27" t="str">
        <f>IFERROR(ABS(FV('Investment Calculator'!$C$7/'Investment Calculator'!$F$4,'SIP Schedule'!C4339,'SIP Schedule'!D4339,,1)),"")</f>
        <v/>
      </c>
    </row>
    <row r="4340" spans="3:6" x14ac:dyDescent="0.3">
      <c r="C4340" s="1" t="str">
        <f>IF(C4339&lt;'Investment Calculator'!$C$8*'Investment Calculator'!$F$4,'SIP Schedule'!C4339+1,"")</f>
        <v/>
      </c>
      <c r="D4340" s="27" t="str">
        <f>IF(C4340&lt;='Investment Calculator'!$C$8*'Investment Calculator'!$F$4,'Investment Calculator'!$C$6,"")</f>
        <v/>
      </c>
      <c r="E4340" s="27" t="str">
        <f>IFERROR((F4339+D4340)*'Investment Calculator'!$C$7/'Investment Calculator'!$F$4,"")</f>
        <v/>
      </c>
      <c r="F4340" s="27" t="str">
        <f>IFERROR(ABS(FV('Investment Calculator'!$C$7/'Investment Calculator'!$F$4,'SIP Schedule'!C4340,'SIP Schedule'!D4340,,1)),"")</f>
        <v/>
      </c>
    </row>
    <row r="4341" spans="3:6" x14ac:dyDescent="0.3">
      <c r="C4341" s="1" t="str">
        <f>IF(C4340&lt;'Investment Calculator'!$C$8*'Investment Calculator'!$F$4,'SIP Schedule'!C4340+1,"")</f>
        <v/>
      </c>
      <c r="D4341" s="27" t="str">
        <f>IF(C4341&lt;='Investment Calculator'!$C$8*'Investment Calculator'!$F$4,'Investment Calculator'!$C$6,"")</f>
        <v/>
      </c>
      <c r="E4341" s="27" t="str">
        <f>IFERROR((F4340+D4341)*'Investment Calculator'!$C$7/'Investment Calculator'!$F$4,"")</f>
        <v/>
      </c>
      <c r="F4341" s="27" t="str">
        <f>IFERROR(ABS(FV('Investment Calculator'!$C$7/'Investment Calculator'!$F$4,'SIP Schedule'!C4341,'SIP Schedule'!D4341,,1)),"")</f>
        <v/>
      </c>
    </row>
    <row r="4342" spans="3:6" x14ac:dyDescent="0.3">
      <c r="C4342" s="1" t="str">
        <f>IF(C4341&lt;'Investment Calculator'!$C$8*'Investment Calculator'!$F$4,'SIP Schedule'!C4341+1,"")</f>
        <v/>
      </c>
      <c r="D4342" s="27" t="str">
        <f>IF(C4342&lt;='Investment Calculator'!$C$8*'Investment Calculator'!$F$4,'Investment Calculator'!$C$6,"")</f>
        <v/>
      </c>
      <c r="E4342" s="27" t="str">
        <f>IFERROR((F4341+D4342)*'Investment Calculator'!$C$7/'Investment Calculator'!$F$4,"")</f>
        <v/>
      </c>
      <c r="F4342" s="27" t="str">
        <f>IFERROR(ABS(FV('Investment Calculator'!$C$7/'Investment Calculator'!$F$4,'SIP Schedule'!C4342,'SIP Schedule'!D4342,,1)),"")</f>
        <v/>
      </c>
    </row>
    <row r="4343" spans="3:6" x14ac:dyDescent="0.3">
      <c r="C4343" s="1" t="str">
        <f>IF(C4342&lt;'Investment Calculator'!$C$8*'Investment Calculator'!$F$4,'SIP Schedule'!C4342+1,"")</f>
        <v/>
      </c>
      <c r="D4343" s="27" t="str">
        <f>IF(C4343&lt;='Investment Calculator'!$C$8*'Investment Calculator'!$F$4,'Investment Calculator'!$C$6,"")</f>
        <v/>
      </c>
      <c r="E4343" s="27" t="str">
        <f>IFERROR((F4342+D4343)*'Investment Calculator'!$C$7/'Investment Calculator'!$F$4,"")</f>
        <v/>
      </c>
      <c r="F4343" s="27" t="str">
        <f>IFERROR(ABS(FV('Investment Calculator'!$C$7/'Investment Calculator'!$F$4,'SIP Schedule'!C4343,'SIP Schedule'!D4343,,1)),"")</f>
        <v/>
      </c>
    </row>
    <row r="4344" spans="3:6" x14ac:dyDescent="0.3">
      <c r="C4344" s="1" t="str">
        <f>IF(C4343&lt;'Investment Calculator'!$C$8*'Investment Calculator'!$F$4,'SIP Schedule'!C4343+1,"")</f>
        <v/>
      </c>
      <c r="D4344" s="27" t="str">
        <f>IF(C4344&lt;='Investment Calculator'!$C$8*'Investment Calculator'!$F$4,'Investment Calculator'!$C$6,"")</f>
        <v/>
      </c>
      <c r="E4344" s="27" t="str">
        <f>IFERROR((F4343+D4344)*'Investment Calculator'!$C$7/'Investment Calculator'!$F$4,"")</f>
        <v/>
      </c>
      <c r="F4344" s="27" t="str">
        <f>IFERROR(ABS(FV('Investment Calculator'!$C$7/'Investment Calculator'!$F$4,'SIP Schedule'!C4344,'SIP Schedule'!D4344,,1)),"")</f>
        <v/>
      </c>
    </row>
    <row r="4345" spans="3:6" x14ac:dyDescent="0.3">
      <c r="C4345" s="1" t="str">
        <f>IF(C4344&lt;'Investment Calculator'!$C$8*'Investment Calculator'!$F$4,'SIP Schedule'!C4344+1,"")</f>
        <v/>
      </c>
      <c r="D4345" s="27" t="str">
        <f>IF(C4345&lt;='Investment Calculator'!$C$8*'Investment Calculator'!$F$4,'Investment Calculator'!$C$6,"")</f>
        <v/>
      </c>
      <c r="E4345" s="27" t="str">
        <f>IFERROR((F4344+D4345)*'Investment Calculator'!$C$7/'Investment Calculator'!$F$4,"")</f>
        <v/>
      </c>
      <c r="F4345" s="27" t="str">
        <f>IFERROR(ABS(FV('Investment Calculator'!$C$7/'Investment Calculator'!$F$4,'SIP Schedule'!C4345,'SIP Schedule'!D4345,,1)),"")</f>
        <v/>
      </c>
    </row>
    <row r="4346" spans="3:6" x14ac:dyDescent="0.3">
      <c r="C4346" s="1" t="str">
        <f>IF(C4345&lt;'Investment Calculator'!$C$8*'Investment Calculator'!$F$4,'SIP Schedule'!C4345+1,"")</f>
        <v/>
      </c>
      <c r="D4346" s="27" t="str">
        <f>IF(C4346&lt;='Investment Calculator'!$C$8*'Investment Calculator'!$F$4,'Investment Calculator'!$C$6,"")</f>
        <v/>
      </c>
      <c r="E4346" s="27" t="str">
        <f>IFERROR((F4345+D4346)*'Investment Calculator'!$C$7/'Investment Calculator'!$F$4,"")</f>
        <v/>
      </c>
      <c r="F4346" s="27" t="str">
        <f>IFERROR(ABS(FV('Investment Calculator'!$C$7/'Investment Calculator'!$F$4,'SIP Schedule'!C4346,'SIP Schedule'!D4346,,1)),"")</f>
        <v/>
      </c>
    </row>
    <row r="4347" spans="3:6" x14ac:dyDescent="0.3">
      <c r="C4347" s="1" t="str">
        <f>IF(C4346&lt;'Investment Calculator'!$C$8*'Investment Calculator'!$F$4,'SIP Schedule'!C4346+1,"")</f>
        <v/>
      </c>
      <c r="D4347" s="27" t="str">
        <f>IF(C4347&lt;='Investment Calculator'!$C$8*'Investment Calculator'!$F$4,'Investment Calculator'!$C$6,"")</f>
        <v/>
      </c>
      <c r="E4347" s="27" t="str">
        <f>IFERROR((F4346+D4347)*'Investment Calculator'!$C$7/'Investment Calculator'!$F$4,"")</f>
        <v/>
      </c>
      <c r="F4347" s="27" t="str">
        <f>IFERROR(ABS(FV('Investment Calculator'!$C$7/'Investment Calculator'!$F$4,'SIP Schedule'!C4347,'SIP Schedule'!D4347,,1)),"")</f>
        <v/>
      </c>
    </row>
    <row r="4348" spans="3:6" x14ac:dyDescent="0.3">
      <c r="C4348" s="1" t="str">
        <f>IF(C4347&lt;'Investment Calculator'!$C$8*'Investment Calculator'!$F$4,'SIP Schedule'!C4347+1,"")</f>
        <v/>
      </c>
      <c r="D4348" s="27" t="str">
        <f>IF(C4348&lt;='Investment Calculator'!$C$8*'Investment Calculator'!$F$4,'Investment Calculator'!$C$6,"")</f>
        <v/>
      </c>
      <c r="E4348" s="27" t="str">
        <f>IFERROR((F4347+D4348)*'Investment Calculator'!$C$7/'Investment Calculator'!$F$4,"")</f>
        <v/>
      </c>
      <c r="F4348" s="27" t="str">
        <f>IFERROR(ABS(FV('Investment Calculator'!$C$7/'Investment Calculator'!$F$4,'SIP Schedule'!C4348,'SIP Schedule'!D4348,,1)),"")</f>
        <v/>
      </c>
    </row>
    <row r="4349" spans="3:6" x14ac:dyDescent="0.3">
      <c r="C4349" s="1" t="str">
        <f>IF(C4348&lt;'Investment Calculator'!$C$8*'Investment Calculator'!$F$4,'SIP Schedule'!C4348+1,"")</f>
        <v/>
      </c>
      <c r="D4349" s="27" t="str">
        <f>IF(C4349&lt;='Investment Calculator'!$C$8*'Investment Calculator'!$F$4,'Investment Calculator'!$C$6,"")</f>
        <v/>
      </c>
      <c r="E4349" s="27" t="str">
        <f>IFERROR((F4348+D4349)*'Investment Calculator'!$C$7/'Investment Calculator'!$F$4,"")</f>
        <v/>
      </c>
      <c r="F4349" s="27" t="str">
        <f>IFERROR(ABS(FV('Investment Calculator'!$C$7/'Investment Calculator'!$F$4,'SIP Schedule'!C4349,'SIP Schedule'!D4349,,1)),"")</f>
        <v/>
      </c>
    </row>
    <row r="4350" spans="3:6" x14ac:dyDescent="0.3">
      <c r="C4350" s="1" t="str">
        <f>IF(C4349&lt;'Investment Calculator'!$C$8*'Investment Calculator'!$F$4,'SIP Schedule'!C4349+1,"")</f>
        <v/>
      </c>
      <c r="D4350" s="27" t="str">
        <f>IF(C4350&lt;='Investment Calculator'!$C$8*'Investment Calculator'!$F$4,'Investment Calculator'!$C$6,"")</f>
        <v/>
      </c>
      <c r="E4350" s="27" t="str">
        <f>IFERROR((F4349+D4350)*'Investment Calculator'!$C$7/'Investment Calculator'!$F$4,"")</f>
        <v/>
      </c>
      <c r="F4350" s="27" t="str">
        <f>IFERROR(ABS(FV('Investment Calculator'!$C$7/'Investment Calculator'!$F$4,'SIP Schedule'!C4350,'SIP Schedule'!D4350,,1)),"")</f>
        <v/>
      </c>
    </row>
    <row r="4351" spans="3:6" x14ac:dyDescent="0.3">
      <c r="C4351" s="1" t="str">
        <f>IF(C4350&lt;'Investment Calculator'!$C$8*'Investment Calculator'!$F$4,'SIP Schedule'!C4350+1,"")</f>
        <v/>
      </c>
      <c r="D4351" s="27" t="str">
        <f>IF(C4351&lt;='Investment Calculator'!$C$8*'Investment Calculator'!$F$4,'Investment Calculator'!$C$6,"")</f>
        <v/>
      </c>
      <c r="E4351" s="27" t="str">
        <f>IFERROR((F4350+D4351)*'Investment Calculator'!$C$7/'Investment Calculator'!$F$4,"")</f>
        <v/>
      </c>
      <c r="F4351" s="27" t="str">
        <f>IFERROR(ABS(FV('Investment Calculator'!$C$7/'Investment Calculator'!$F$4,'SIP Schedule'!C4351,'SIP Schedule'!D4351,,1)),"")</f>
        <v/>
      </c>
    </row>
    <row r="4352" spans="3:6" x14ac:dyDescent="0.3">
      <c r="C4352" s="1" t="str">
        <f>IF(C4351&lt;'Investment Calculator'!$C$8*'Investment Calculator'!$F$4,'SIP Schedule'!C4351+1,"")</f>
        <v/>
      </c>
      <c r="D4352" s="27" t="str">
        <f>IF(C4352&lt;='Investment Calculator'!$C$8*'Investment Calculator'!$F$4,'Investment Calculator'!$C$6,"")</f>
        <v/>
      </c>
      <c r="E4352" s="27" t="str">
        <f>IFERROR((F4351+D4352)*'Investment Calculator'!$C$7/'Investment Calculator'!$F$4,"")</f>
        <v/>
      </c>
      <c r="F4352" s="27" t="str">
        <f>IFERROR(ABS(FV('Investment Calculator'!$C$7/'Investment Calculator'!$F$4,'SIP Schedule'!C4352,'SIP Schedule'!D4352,,1)),"")</f>
        <v/>
      </c>
    </row>
    <row r="4353" spans="3:6" x14ac:dyDescent="0.3">
      <c r="C4353" s="1" t="str">
        <f>IF(C4352&lt;'Investment Calculator'!$C$8*'Investment Calculator'!$F$4,'SIP Schedule'!C4352+1,"")</f>
        <v/>
      </c>
      <c r="D4353" s="27" t="str">
        <f>IF(C4353&lt;='Investment Calculator'!$C$8*'Investment Calculator'!$F$4,'Investment Calculator'!$C$6,"")</f>
        <v/>
      </c>
      <c r="E4353" s="27" t="str">
        <f>IFERROR((F4352+D4353)*'Investment Calculator'!$C$7/'Investment Calculator'!$F$4,"")</f>
        <v/>
      </c>
      <c r="F4353" s="27" t="str">
        <f>IFERROR(ABS(FV('Investment Calculator'!$C$7/'Investment Calculator'!$F$4,'SIP Schedule'!C4353,'SIP Schedule'!D4353,,1)),"")</f>
        <v/>
      </c>
    </row>
    <row r="4354" spans="3:6" x14ac:dyDescent="0.3">
      <c r="C4354" s="1" t="str">
        <f>IF(C4353&lt;'Investment Calculator'!$C$8*'Investment Calculator'!$F$4,'SIP Schedule'!C4353+1,"")</f>
        <v/>
      </c>
      <c r="D4354" s="27" t="str">
        <f>IF(C4354&lt;='Investment Calculator'!$C$8*'Investment Calculator'!$F$4,'Investment Calculator'!$C$6,"")</f>
        <v/>
      </c>
      <c r="E4354" s="27" t="str">
        <f>IFERROR((F4353+D4354)*'Investment Calculator'!$C$7/'Investment Calculator'!$F$4,"")</f>
        <v/>
      </c>
      <c r="F4354" s="27" t="str">
        <f>IFERROR(ABS(FV('Investment Calculator'!$C$7/'Investment Calculator'!$F$4,'SIP Schedule'!C4354,'SIP Schedule'!D4354,,1)),"")</f>
        <v/>
      </c>
    </row>
    <row r="4355" spans="3:6" x14ac:dyDescent="0.3">
      <c r="C4355" s="1" t="str">
        <f>IF(C4354&lt;'Investment Calculator'!$C$8*'Investment Calculator'!$F$4,'SIP Schedule'!C4354+1,"")</f>
        <v/>
      </c>
      <c r="D4355" s="27" t="str">
        <f>IF(C4355&lt;='Investment Calculator'!$C$8*'Investment Calculator'!$F$4,'Investment Calculator'!$C$6,"")</f>
        <v/>
      </c>
      <c r="E4355" s="27" t="str">
        <f>IFERROR((F4354+D4355)*'Investment Calculator'!$C$7/'Investment Calculator'!$F$4,"")</f>
        <v/>
      </c>
      <c r="F4355" s="27" t="str">
        <f>IFERROR(ABS(FV('Investment Calculator'!$C$7/'Investment Calculator'!$F$4,'SIP Schedule'!C4355,'SIP Schedule'!D4355,,1)),"")</f>
        <v/>
      </c>
    </row>
    <row r="4356" spans="3:6" x14ac:dyDescent="0.3">
      <c r="C4356" s="1" t="str">
        <f>IF(C4355&lt;'Investment Calculator'!$C$8*'Investment Calculator'!$F$4,'SIP Schedule'!C4355+1,"")</f>
        <v/>
      </c>
      <c r="D4356" s="27" t="str">
        <f>IF(C4356&lt;='Investment Calculator'!$C$8*'Investment Calculator'!$F$4,'Investment Calculator'!$C$6,"")</f>
        <v/>
      </c>
      <c r="E4356" s="27" t="str">
        <f>IFERROR((F4355+D4356)*'Investment Calculator'!$C$7/'Investment Calculator'!$F$4,"")</f>
        <v/>
      </c>
      <c r="F4356" s="27" t="str">
        <f>IFERROR(ABS(FV('Investment Calculator'!$C$7/'Investment Calculator'!$F$4,'SIP Schedule'!C4356,'SIP Schedule'!D4356,,1)),"")</f>
        <v/>
      </c>
    </row>
    <row r="4357" spans="3:6" x14ac:dyDescent="0.3">
      <c r="C4357" s="1" t="str">
        <f>IF(C4356&lt;'Investment Calculator'!$C$8*'Investment Calculator'!$F$4,'SIP Schedule'!C4356+1,"")</f>
        <v/>
      </c>
      <c r="D4357" s="27" t="str">
        <f>IF(C4357&lt;='Investment Calculator'!$C$8*'Investment Calculator'!$F$4,'Investment Calculator'!$C$6,"")</f>
        <v/>
      </c>
      <c r="E4357" s="27" t="str">
        <f>IFERROR((F4356+D4357)*'Investment Calculator'!$C$7/'Investment Calculator'!$F$4,"")</f>
        <v/>
      </c>
      <c r="F4357" s="27" t="str">
        <f>IFERROR(ABS(FV('Investment Calculator'!$C$7/'Investment Calculator'!$F$4,'SIP Schedule'!C4357,'SIP Schedule'!D4357,,1)),"")</f>
        <v/>
      </c>
    </row>
    <row r="4358" spans="3:6" x14ac:dyDescent="0.3">
      <c r="C4358" s="1" t="str">
        <f>IF(C4357&lt;'Investment Calculator'!$C$8*'Investment Calculator'!$F$4,'SIP Schedule'!C4357+1,"")</f>
        <v/>
      </c>
      <c r="D4358" s="27" t="str">
        <f>IF(C4358&lt;='Investment Calculator'!$C$8*'Investment Calculator'!$F$4,'Investment Calculator'!$C$6,"")</f>
        <v/>
      </c>
      <c r="E4358" s="27" t="str">
        <f>IFERROR((F4357+D4358)*'Investment Calculator'!$C$7/'Investment Calculator'!$F$4,"")</f>
        <v/>
      </c>
      <c r="F4358" s="27" t="str">
        <f>IFERROR(ABS(FV('Investment Calculator'!$C$7/'Investment Calculator'!$F$4,'SIP Schedule'!C4358,'SIP Schedule'!D4358,,1)),"")</f>
        <v/>
      </c>
    </row>
    <row r="4359" spans="3:6" x14ac:dyDescent="0.3">
      <c r="C4359" s="1" t="str">
        <f>IF(C4358&lt;'Investment Calculator'!$C$8*'Investment Calculator'!$F$4,'SIP Schedule'!C4358+1,"")</f>
        <v/>
      </c>
      <c r="D4359" s="27" t="str">
        <f>IF(C4359&lt;='Investment Calculator'!$C$8*'Investment Calculator'!$F$4,'Investment Calculator'!$C$6,"")</f>
        <v/>
      </c>
      <c r="E4359" s="27" t="str">
        <f>IFERROR((F4358+D4359)*'Investment Calculator'!$C$7/'Investment Calculator'!$F$4,"")</f>
        <v/>
      </c>
      <c r="F4359" s="27" t="str">
        <f>IFERROR(ABS(FV('Investment Calculator'!$C$7/'Investment Calculator'!$F$4,'SIP Schedule'!C4359,'SIP Schedule'!D4359,,1)),"")</f>
        <v/>
      </c>
    </row>
    <row r="4360" spans="3:6" x14ac:dyDescent="0.3">
      <c r="C4360" s="1" t="str">
        <f>IF(C4359&lt;'Investment Calculator'!$C$8*'Investment Calculator'!$F$4,'SIP Schedule'!C4359+1,"")</f>
        <v/>
      </c>
      <c r="D4360" s="27" t="str">
        <f>IF(C4360&lt;='Investment Calculator'!$C$8*'Investment Calculator'!$F$4,'Investment Calculator'!$C$6,"")</f>
        <v/>
      </c>
      <c r="E4360" s="27" t="str">
        <f>IFERROR((F4359+D4360)*'Investment Calculator'!$C$7/'Investment Calculator'!$F$4,"")</f>
        <v/>
      </c>
      <c r="F4360" s="27" t="str">
        <f>IFERROR(ABS(FV('Investment Calculator'!$C$7/'Investment Calculator'!$F$4,'SIP Schedule'!C4360,'SIP Schedule'!D4360,,1)),"")</f>
        <v/>
      </c>
    </row>
    <row r="4361" spans="3:6" x14ac:dyDescent="0.3">
      <c r="C4361" s="1" t="str">
        <f>IF(C4360&lt;'Investment Calculator'!$C$8*'Investment Calculator'!$F$4,'SIP Schedule'!C4360+1,"")</f>
        <v/>
      </c>
      <c r="D4361" s="27" t="str">
        <f>IF(C4361&lt;='Investment Calculator'!$C$8*'Investment Calculator'!$F$4,'Investment Calculator'!$C$6,"")</f>
        <v/>
      </c>
      <c r="E4361" s="27" t="str">
        <f>IFERROR((F4360+D4361)*'Investment Calculator'!$C$7/'Investment Calculator'!$F$4,"")</f>
        <v/>
      </c>
      <c r="F4361" s="27" t="str">
        <f>IFERROR(ABS(FV('Investment Calculator'!$C$7/'Investment Calculator'!$F$4,'SIP Schedule'!C4361,'SIP Schedule'!D4361,,1)),"")</f>
        <v/>
      </c>
    </row>
    <row r="4362" spans="3:6" x14ac:dyDescent="0.3">
      <c r="C4362" s="1" t="str">
        <f>IF(C4361&lt;'Investment Calculator'!$C$8*'Investment Calculator'!$F$4,'SIP Schedule'!C4361+1,"")</f>
        <v/>
      </c>
      <c r="D4362" s="27" t="str">
        <f>IF(C4362&lt;='Investment Calculator'!$C$8*'Investment Calculator'!$F$4,'Investment Calculator'!$C$6,"")</f>
        <v/>
      </c>
      <c r="E4362" s="27" t="str">
        <f>IFERROR((F4361+D4362)*'Investment Calculator'!$C$7/'Investment Calculator'!$F$4,"")</f>
        <v/>
      </c>
      <c r="F4362" s="27" t="str">
        <f>IFERROR(ABS(FV('Investment Calculator'!$C$7/'Investment Calculator'!$F$4,'SIP Schedule'!C4362,'SIP Schedule'!D4362,,1)),"")</f>
        <v/>
      </c>
    </row>
    <row r="4363" spans="3:6" x14ac:dyDescent="0.3">
      <c r="C4363" s="1" t="str">
        <f>IF(C4362&lt;'Investment Calculator'!$C$8*'Investment Calculator'!$F$4,'SIP Schedule'!C4362+1,"")</f>
        <v/>
      </c>
      <c r="D4363" s="27" t="str">
        <f>IF(C4363&lt;='Investment Calculator'!$C$8*'Investment Calculator'!$F$4,'Investment Calculator'!$C$6,"")</f>
        <v/>
      </c>
      <c r="E4363" s="27" t="str">
        <f>IFERROR((F4362+D4363)*'Investment Calculator'!$C$7/'Investment Calculator'!$F$4,"")</f>
        <v/>
      </c>
      <c r="F4363" s="27" t="str">
        <f>IFERROR(ABS(FV('Investment Calculator'!$C$7/'Investment Calculator'!$F$4,'SIP Schedule'!C4363,'SIP Schedule'!D4363,,1)),"")</f>
        <v/>
      </c>
    </row>
    <row r="4364" spans="3:6" x14ac:dyDescent="0.3">
      <c r="C4364" s="1" t="str">
        <f>IF(C4363&lt;'Investment Calculator'!$C$8*'Investment Calculator'!$F$4,'SIP Schedule'!C4363+1,"")</f>
        <v/>
      </c>
      <c r="D4364" s="27" t="str">
        <f>IF(C4364&lt;='Investment Calculator'!$C$8*'Investment Calculator'!$F$4,'Investment Calculator'!$C$6,"")</f>
        <v/>
      </c>
      <c r="E4364" s="27" t="str">
        <f>IFERROR((F4363+D4364)*'Investment Calculator'!$C$7/'Investment Calculator'!$F$4,"")</f>
        <v/>
      </c>
      <c r="F4364" s="27" t="str">
        <f>IFERROR(ABS(FV('Investment Calculator'!$C$7/'Investment Calculator'!$F$4,'SIP Schedule'!C4364,'SIP Schedule'!D4364,,1)),"")</f>
        <v/>
      </c>
    </row>
    <row r="4365" spans="3:6" x14ac:dyDescent="0.3">
      <c r="C4365" s="1" t="str">
        <f>IF(C4364&lt;'Investment Calculator'!$C$8*'Investment Calculator'!$F$4,'SIP Schedule'!C4364+1,"")</f>
        <v/>
      </c>
      <c r="D4365" s="27" t="str">
        <f>IF(C4365&lt;='Investment Calculator'!$C$8*'Investment Calculator'!$F$4,'Investment Calculator'!$C$6,"")</f>
        <v/>
      </c>
      <c r="E4365" s="27" t="str">
        <f>IFERROR((F4364+D4365)*'Investment Calculator'!$C$7/'Investment Calculator'!$F$4,"")</f>
        <v/>
      </c>
      <c r="F4365" s="27" t="str">
        <f>IFERROR(ABS(FV('Investment Calculator'!$C$7/'Investment Calculator'!$F$4,'SIP Schedule'!C4365,'SIP Schedule'!D4365,,1)),"")</f>
        <v/>
      </c>
    </row>
    <row r="4366" spans="3:6" x14ac:dyDescent="0.3">
      <c r="C4366" s="1" t="str">
        <f>IF(C4365&lt;'Investment Calculator'!$C$8*'Investment Calculator'!$F$4,'SIP Schedule'!C4365+1,"")</f>
        <v/>
      </c>
      <c r="D4366" s="27" t="str">
        <f>IF(C4366&lt;='Investment Calculator'!$C$8*'Investment Calculator'!$F$4,'Investment Calculator'!$C$6,"")</f>
        <v/>
      </c>
      <c r="E4366" s="27" t="str">
        <f>IFERROR((F4365+D4366)*'Investment Calculator'!$C$7/'Investment Calculator'!$F$4,"")</f>
        <v/>
      </c>
      <c r="F4366" s="27" t="str">
        <f>IFERROR(ABS(FV('Investment Calculator'!$C$7/'Investment Calculator'!$F$4,'SIP Schedule'!C4366,'SIP Schedule'!D4366,,1)),"")</f>
        <v/>
      </c>
    </row>
    <row r="4367" spans="3:6" x14ac:dyDescent="0.3">
      <c r="C4367" s="1" t="str">
        <f>IF(C4366&lt;'Investment Calculator'!$C$8*'Investment Calculator'!$F$4,'SIP Schedule'!C4366+1,"")</f>
        <v/>
      </c>
      <c r="D4367" s="27" t="str">
        <f>IF(C4367&lt;='Investment Calculator'!$C$8*'Investment Calculator'!$F$4,'Investment Calculator'!$C$6,"")</f>
        <v/>
      </c>
      <c r="E4367" s="27" t="str">
        <f>IFERROR((F4366+D4367)*'Investment Calculator'!$C$7/'Investment Calculator'!$F$4,"")</f>
        <v/>
      </c>
      <c r="F4367" s="27" t="str">
        <f>IFERROR(ABS(FV('Investment Calculator'!$C$7/'Investment Calculator'!$F$4,'SIP Schedule'!C4367,'SIP Schedule'!D4367,,1)),"")</f>
        <v/>
      </c>
    </row>
    <row r="4368" spans="3:6" x14ac:dyDescent="0.3">
      <c r="C4368" s="1" t="str">
        <f>IF(C4367&lt;'Investment Calculator'!$C$8*'Investment Calculator'!$F$4,'SIP Schedule'!C4367+1,"")</f>
        <v/>
      </c>
      <c r="D4368" s="27" t="str">
        <f>IF(C4368&lt;='Investment Calculator'!$C$8*'Investment Calculator'!$F$4,'Investment Calculator'!$C$6,"")</f>
        <v/>
      </c>
      <c r="E4368" s="27" t="str">
        <f>IFERROR((F4367+D4368)*'Investment Calculator'!$C$7/'Investment Calculator'!$F$4,"")</f>
        <v/>
      </c>
      <c r="F4368" s="27" t="str">
        <f>IFERROR(ABS(FV('Investment Calculator'!$C$7/'Investment Calculator'!$F$4,'SIP Schedule'!C4368,'SIP Schedule'!D4368,,1)),"")</f>
        <v/>
      </c>
    </row>
    <row r="4369" spans="3:6" x14ac:dyDescent="0.3">
      <c r="C4369" s="1" t="str">
        <f>IF(C4368&lt;'Investment Calculator'!$C$8*'Investment Calculator'!$F$4,'SIP Schedule'!C4368+1,"")</f>
        <v/>
      </c>
      <c r="D4369" s="27" t="str">
        <f>IF(C4369&lt;='Investment Calculator'!$C$8*'Investment Calculator'!$F$4,'Investment Calculator'!$C$6,"")</f>
        <v/>
      </c>
      <c r="E4369" s="27" t="str">
        <f>IFERROR((F4368+D4369)*'Investment Calculator'!$C$7/'Investment Calculator'!$F$4,"")</f>
        <v/>
      </c>
      <c r="F4369" s="27" t="str">
        <f>IFERROR(ABS(FV('Investment Calculator'!$C$7/'Investment Calculator'!$F$4,'SIP Schedule'!C4369,'SIP Schedule'!D4369,,1)),"")</f>
        <v/>
      </c>
    </row>
    <row r="4370" spans="3:6" x14ac:dyDescent="0.3">
      <c r="C4370" s="1" t="str">
        <f>IF(C4369&lt;'Investment Calculator'!$C$8*'Investment Calculator'!$F$4,'SIP Schedule'!C4369+1,"")</f>
        <v/>
      </c>
      <c r="D4370" s="27" t="str">
        <f>IF(C4370&lt;='Investment Calculator'!$C$8*'Investment Calculator'!$F$4,'Investment Calculator'!$C$6,"")</f>
        <v/>
      </c>
      <c r="E4370" s="27" t="str">
        <f>IFERROR((F4369+D4370)*'Investment Calculator'!$C$7/'Investment Calculator'!$F$4,"")</f>
        <v/>
      </c>
      <c r="F4370" s="27" t="str">
        <f>IFERROR(ABS(FV('Investment Calculator'!$C$7/'Investment Calculator'!$F$4,'SIP Schedule'!C4370,'SIP Schedule'!D4370,,1)),"")</f>
        <v/>
      </c>
    </row>
    <row r="4371" spans="3:6" x14ac:dyDescent="0.3">
      <c r="C4371" s="1" t="str">
        <f>IF(C4370&lt;'Investment Calculator'!$C$8*'Investment Calculator'!$F$4,'SIP Schedule'!C4370+1,"")</f>
        <v/>
      </c>
      <c r="D4371" s="27" t="str">
        <f>IF(C4371&lt;='Investment Calculator'!$C$8*'Investment Calculator'!$F$4,'Investment Calculator'!$C$6,"")</f>
        <v/>
      </c>
      <c r="E4371" s="27" t="str">
        <f>IFERROR((F4370+D4371)*'Investment Calculator'!$C$7/'Investment Calculator'!$F$4,"")</f>
        <v/>
      </c>
      <c r="F4371" s="27" t="str">
        <f>IFERROR(ABS(FV('Investment Calculator'!$C$7/'Investment Calculator'!$F$4,'SIP Schedule'!C4371,'SIP Schedule'!D4371,,1)),"")</f>
        <v/>
      </c>
    </row>
    <row r="4372" spans="3:6" x14ac:dyDescent="0.3">
      <c r="C4372" s="1" t="str">
        <f>IF(C4371&lt;'Investment Calculator'!$C$8*'Investment Calculator'!$F$4,'SIP Schedule'!C4371+1,"")</f>
        <v/>
      </c>
      <c r="D4372" s="27" t="str">
        <f>IF(C4372&lt;='Investment Calculator'!$C$8*'Investment Calculator'!$F$4,'Investment Calculator'!$C$6,"")</f>
        <v/>
      </c>
      <c r="E4372" s="27" t="str">
        <f>IFERROR((F4371+D4372)*'Investment Calculator'!$C$7/'Investment Calculator'!$F$4,"")</f>
        <v/>
      </c>
      <c r="F4372" s="27" t="str">
        <f>IFERROR(ABS(FV('Investment Calculator'!$C$7/'Investment Calculator'!$F$4,'SIP Schedule'!C4372,'SIP Schedule'!D4372,,1)),"")</f>
        <v/>
      </c>
    </row>
    <row r="4373" spans="3:6" x14ac:dyDescent="0.3">
      <c r="C4373" s="1" t="str">
        <f>IF(C4372&lt;'Investment Calculator'!$C$8*'Investment Calculator'!$F$4,'SIP Schedule'!C4372+1,"")</f>
        <v/>
      </c>
      <c r="D4373" s="27" t="str">
        <f>IF(C4373&lt;='Investment Calculator'!$C$8*'Investment Calculator'!$F$4,'Investment Calculator'!$C$6,"")</f>
        <v/>
      </c>
      <c r="E4373" s="27" t="str">
        <f>IFERROR((F4372+D4373)*'Investment Calculator'!$C$7/'Investment Calculator'!$F$4,"")</f>
        <v/>
      </c>
      <c r="F4373" s="27" t="str">
        <f>IFERROR(ABS(FV('Investment Calculator'!$C$7/'Investment Calculator'!$F$4,'SIP Schedule'!C4373,'SIP Schedule'!D4373,,1)),"")</f>
        <v/>
      </c>
    </row>
    <row r="4374" spans="3:6" x14ac:dyDescent="0.3">
      <c r="C4374" s="1" t="str">
        <f>IF(C4373&lt;'Investment Calculator'!$C$8*'Investment Calculator'!$F$4,'SIP Schedule'!C4373+1,"")</f>
        <v/>
      </c>
      <c r="D4374" s="27" t="str">
        <f>IF(C4374&lt;='Investment Calculator'!$C$8*'Investment Calculator'!$F$4,'Investment Calculator'!$C$6,"")</f>
        <v/>
      </c>
      <c r="E4374" s="27" t="str">
        <f>IFERROR((F4373+D4374)*'Investment Calculator'!$C$7/'Investment Calculator'!$F$4,"")</f>
        <v/>
      </c>
      <c r="F4374" s="27" t="str">
        <f>IFERROR(ABS(FV('Investment Calculator'!$C$7/'Investment Calculator'!$F$4,'SIP Schedule'!C4374,'SIP Schedule'!D4374,,1)),"")</f>
        <v/>
      </c>
    </row>
    <row r="4375" spans="3:6" x14ac:dyDescent="0.3">
      <c r="C4375" s="1" t="str">
        <f>IF(C4374&lt;'Investment Calculator'!$C$8*'Investment Calculator'!$F$4,'SIP Schedule'!C4374+1,"")</f>
        <v/>
      </c>
      <c r="D4375" s="27" t="str">
        <f>IF(C4375&lt;='Investment Calculator'!$C$8*'Investment Calculator'!$F$4,'Investment Calculator'!$C$6,"")</f>
        <v/>
      </c>
      <c r="E4375" s="27" t="str">
        <f>IFERROR((F4374+D4375)*'Investment Calculator'!$C$7/'Investment Calculator'!$F$4,"")</f>
        <v/>
      </c>
      <c r="F4375" s="27" t="str">
        <f>IFERROR(ABS(FV('Investment Calculator'!$C$7/'Investment Calculator'!$F$4,'SIP Schedule'!C4375,'SIP Schedule'!D4375,,1)),"")</f>
        <v/>
      </c>
    </row>
    <row r="4376" spans="3:6" x14ac:dyDescent="0.3">
      <c r="C4376" s="1" t="str">
        <f>IF(C4375&lt;'Investment Calculator'!$C$8*'Investment Calculator'!$F$4,'SIP Schedule'!C4375+1,"")</f>
        <v/>
      </c>
      <c r="D4376" s="27" t="str">
        <f>IF(C4376&lt;='Investment Calculator'!$C$8*'Investment Calculator'!$F$4,'Investment Calculator'!$C$6,"")</f>
        <v/>
      </c>
      <c r="E4376" s="27" t="str">
        <f>IFERROR((F4375+D4376)*'Investment Calculator'!$C$7/'Investment Calculator'!$F$4,"")</f>
        <v/>
      </c>
      <c r="F4376" s="27" t="str">
        <f>IFERROR(ABS(FV('Investment Calculator'!$C$7/'Investment Calculator'!$F$4,'SIP Schedule'!C4376,'SIP Schedule'!D4376,,1)),"")</f>
        <v/>
      </c>
    </row>
    <row r="4377" spans="3:6" x14ac:dyDescent="0.3">
      <c r="C4377" s="1" t="str">
        <f>IF(C4376&lt;'Investment Calculator'!$C$8*'Investment Calculator'!$F$4,'SIP Schedule'!C4376+1,"")</f>
        <v/>
      </c>
      <c r="D4377" s="27" t="str">
        <f>IF(C4377&lt;='Investment Calculator'!$C$8*'Investment Calculator'!$F$4,'Investment Calculator'!$C$6,"")</f>
        <v/>
      </c>
      <c r="E4377" s="27" t="str">
        <f>IFERROR((F4376+D4377)*'Investment Calculator'!$C$7/'Investment Calculator'!$F$4,"")</f>
        <v/>
      </c>
      <c r="F4377" s="27" t="str">
        <f>IFERROR(ABS(FV('Investment Calculator'!$C$7/'Investment Calculator'!$F$4,'SIP Schedule'!C4377,'SIP Schedule'!D4377,,1)),"")</f>
        <v/>
      </c>
    </row>
    <row r="4378" spans="3:6" x14ac:dyDescent="0.3">
      <c r="C4378" s="1" t="str">
        <f>IF(C4377&lt;'Investment Calculator'!$C$8*'Investment Calculator'!$F$4,'SIP Schedule'!C4377+1,"")</f>
        <v/>
      </c>
      <c r="D4378" s="27" t="str">
        <f>IF(C4378&lt;='Investment Calculator'!$C$8*'Investment Calculator'!$F$4,'Investment Calculator'!$C$6,"")</f>
        <v/>
      </c>
      <c r="E4378" s="27" t="str">
        <f>IFERROR((F4377+D4378)*'Investment Calculator'!$C$7/'Investment Calculator'!$F$4,"")</f>
        <v/>
      </c>
      <c r="F4378" s="27" t="str">
        <f>IFERROR(ABS(FV('Investment Calculator'!$C$7/'Investment Calculator'!$F$4,'SIP Schedule'!C4378,'SIP Schedule'!D4378,,1)),"")</f>
        <v/>
      </c>
    </row>
    <row r="4379" spans="3:6" x14ac:dyDescent="0.3">
      <c r="C4379" s="1" t="str">
        <f>IF(C4378&lt;'Investment Calculator'!$C$8*'Investment Calculator'!$F$4,'SIP Schedule'!C4378+1,"")</f>
        <v/>
      </c>
      <c r="D4379" s="27" t="str">
        <f>IF(C4379&lt;='Investment Calculator'!$C$8*'Investment Calculator'!$F$4,'Investment Calculator'!$C$6,"")</f>
        <v/>
      </c>
      <c r="E4379" s="27" t="str">
        <f>IFERROR((F4378+D4379)*'Investment Calculator'!$C$7/'Investment Calculator'!$F$4,"")</f>
        <v/>
      </c>
      <c r="F4379" s="27" t="str">
        <f>IFERROR(ABS(FV('Investment Calculator'!$C$7/'Investment Calculator'!$F$4,'SIP Schedule'!C4379,'SIP Schedule'!D4379,,1)),"")</f>
        <v/>
      </c>
    </row>
    <row r="4380" spans="3:6" x14ac:dyDescent="0.3">
      <c r="C4380" s="1" t="str">
        <f>IF(C4379&lt;'Investment Calculator'!$C$8*'Investment Calculator'!$F$4,'SIP Schedule'!C4379+1,"")</f>
        <v/>
      </c>
      <c r="D4380" s="27" t="str">
        <f>IF(C4380&lt;='Investment Calculator'!$C$8*'Investment Calculator'!$F$4,'Investment Calculator'!$C$6,"")</f>
        <v/>
      </c>
      <c r="E4380" s="27" t="str">
        <f>IFERROR((F4379+D4380)*'Investment Calculator'!$C$7/'Investment Calculator'!$F$4,"")</f>
        <v/>
      </c>
      <c r="F4380" s="27" t="str">
        <f>IFERROR(ABS(FV('Investment Calculator'!$C$7/'Investment Calculator'!$F$4,'SIP Schedule'!C4380,'SIP Schedule'!D4380,,1)),"")</f>
        <v/>
      </c>
    </row>
    <row r="4381" spans="3:6" x14ac:dyDescent="0.3">
      <c r="C4381" s="1" t="str">
        <f>IF(C4380&lt;'Investment Calculator'!$C$8*'Investment Calculator'!$F$4,'SIP Schedule'!C4380+1,"")</f>
        <v/>
      </c>
      <c r="D4381" s="27" t="str">
        <f>IF(C4381&lt;='Investment Calculator'!$C$8*'Investment Calculator'!$F$4,'Investment Calculator'!$C$6,"")</f>
        <v/>
      </c>
      <c r="E4381" s="27" t="str">
        <f>IFERROR((F4380+D4381)*'Investment Calculator'!$C$7/'Investment Calculator'!$F$4,"")</f>
        <v/>
      </c>
      <c r="F4381" s="27" t="str">
        <f>IFERROR(ABS(FV('Investment Calculator'!$C$7/'Investment Calculator'!$F$4,'SIP Schedule'!C4381,'SIP Schedule'!D4381,,1)),"")</f>
        <v/>
      </c>
    </row>
    <row r="4382" spans="3:6" x14ac:dyDescent="0.3">
      <c r="C4382" s="1" t="str">
        <f>IF(C4381&lt;'Investment Calculator'!$C$8*'Investment Calculator'!$F$4,'SIP Schedule'!C4381+1,"")</f>
        <v/>
      </c>
      <c r="D4382" s="27" t="str">
        <f>IF(C4382&lt;='Investment Calculator'!$C$8*'Investment Calculator'!$F$4,'Investment Calculator'!$C$6,"")</f>
        <v/>
      </c>
      <c r="E4382" s="27" t="str">
        <f>IFERROR((F4381+D4382)*'Investment Calculator'!$C$7/'Investment Calculator'!$F$4,"")</f>
        <v/>
      </c>
      <c r="F4382" s="27" t="str">
        <f>IFERROR(ABS(FV('Investment Calculator'!$C$7/'Investment Calculator'!$F$4,'SIP Schedule'!C4382,'SIP Schedule'!D4382,,1)),"")</f>
        <v/>
      </c>
    </row>
    <row r="4383" spans="3:6" x14ac:dyDescent="0.3">
      <c r="C4383" s="1" t="str">
        <f>IF(C4382&lt;'Investment Calculator'!$C$8*'Investment Calculator'!$F$4,'SIP Schedule'!C4382+1,"")</f>
        <v/>
      </c>
      <c r="D4383" s="27" t="str">
        <f>IF(C4383&lt;='Investment Calculator'!$C$8*'Investment Calculator'!$F$4,'Investment Calculator'!$C$6,"")</f>
        <v/>
      </c>
      <c r="E4383" s="27" t="str">
        <f>IFERROR((F4382+D4383)*'Investment Calculator'!$C$7/'Investment Calculator'!$F$4,"")</f>
        <v/>
      </c>
      <c r="F4383" s="27" t="str">
        <f>IFERROR(ABS(FV('Investment Calculator'!$C$7/'Investment Calculator'!$F$4,'SIP Schedule'!C4383,'SIP Schedule'!D4383,,1)),"")</f>
        <v/>
      </c>
    </row>
    <row r="4384" spans="3:6" x14ac:dyDescent="0.3">
      <c r="C4384" s="1" t="str">
        <f>IF(C4383&lt;'Investment Calculator'!$C$8*'Investment Calculator'!$F$4,'SIP Schedule'!C4383+1,"")</f>
        <v/>
      </c>
      <c r="D4384" s="27" t="str">
        <f>IF(C4384&lt;='Investment Calculator'!$C$8*'Investment Calculator'!$F$4,'Investment Calculator'!$C$6,"")</f>
        <v/>
      </c>
      <c r="E4384" s="27" t="str">
        <f>IFERROR((F4383+D4384)*'Investment Calculator'!$C$7/'Investment Calculator'!$F$4,"")</f>
        <v/>
      </c>
      <c r="F4384" s="27" t="str">
        <f>IFERROR(ABS(FV('Investment Calculator'!$C$7/'Investment Calculator'!$F$4,'SIP Schedule'!C4384,'SIP Schedule'!D4384,,1)),"")</f>
        <v/>
      </c>
    </row>
    <row r="4385" spans="3:6" x14ac:dyDescent="0.3">
      <c r="C4385" s="1" t="str">
        <f>IF(C4384&lt;'Investment Calculator'!$C$8*'Investment Calculator'!$F$4,'SIP Schedule'!C4384+1,"")</f>
        <v/>
      </c>
      <c r="D4385" s="27" t="str">
        <f>IF(C4385&lt;='Investment Calculator'!$C$8*'Investment Calculator'!$F$4,'Investment Calculator'!$C$6,"")</f>
        <v/>
      </c>
      <c r="E4385" s="27" t="str">
        <f>IFERROR((F4384+D4385)*'Investment Calculator'!$C$7/'Investment Calculator'!$F$4,"")</f>
        <v/>
      </c>
      <c r="F4385" s="27" t="str">
        <f>IFERROR(ABS(FV('Investment Calculator'!$C$7/'Investment Calculator'!$F$4,'SIP Schedule'!C4385,'SIP Schedule'!D4385,,1)),"")</f>
        <v/>
      </c>
    </row>
    <row r="4386" spans="3:6" x14ac:dyDescent="0.3">
      <c r="C4386" s="1" t="str">
        <f>IF(C4385&lt;'Investment Calculator'!$C$8*'Investment Calculator'!$F$4,'SIP Schedule'!C4385+1,"")</f>
        <v/>
      </c>
      <c r="D4386" s="27" t="str">
        <f>IF(C4386&lt;='Investment Calculator'!$C$8*'Investment Calculator'!$F$4,'Investment Calculator'!$C$6,"")</f>
        <v/>
      </c>
      <c r="E4386" s="27" t="str">
        <f>IFERROR((F4385+D4386)*'Investment Calculator'!$C$7/'Investment Calculator'!$F$4,"")</f>
        <v/>
      </c>
      <c r="F4386" s="27" t="str">
        <f>IFERROR(ABS(FV('Investment Calculator'!$C$7/'Investment Calculator'!$F$4,'SIP Schedule'!C4386,'SIP Schedule'!D4386,,1)),"")</f>
        <v/>
      </c>
    </row>
    <row r="4387" spans="3:6" x14ac:dyDescent="0.3">
      <c r="C4387" s="1" t="str">
        <f>IF(C4386&lt;'Investment Calculator'!$C$8*'Investment Calculator'!$F$4,'SIP Schedule'!C4386+1,"")</f>
        <v/>
      </c>
      <c r="D4387" s="27" t="str">
        <f>IF(C4387&lt;='Investment Calculator'!$C$8*'Investment Calculator'!$F$4,'Investment Calculator'!$C$6,"")</f>
        <v/>
      </c>
      <c r="E4387" s="27" t="str">
        <f>IFERROR((F4386+D4387)*'Investment Calculator'!$C$7/'Investment Calculator'!$F$4,"")</f>
        <v/>
      </c>
      <c r="F4387" s="27" t="str">
        <f>IFERROR(ABS(FV('Investment Calculator'!$C$7/'Investment Calculator'!$F$4,'SIP Schedule'!C4387,'SIP Schedule'!D4387,,1)),"")</f>
        <v/>
      </c>
    </row>
    <row r="4388" spans="3:6" x14ac:dyDescent="0.3">
      <c r="C4388" s="1" t="str">
        <f>IF(C4387&lt;'Investment Calculator'!$C$8*'Investment Calculator'!$F$4,'SIP Schedule'!C4387+1,"")</f>
        <v/>
      </c>
      <c r="D4388" s="27" t="str">
        <f>IF(C4388&lt;='Investment Calculator'!$C$8*'Investment Calculator'!$F$4,'Investment Calculator'!$C$6,"")</f>
        <v/>
      </c>
      <c r="E4388" s="27" t="str">
        <f>IFERROR((F4387+D4388)*'Investment Calculator'!$C$7/'Investment Calculator'!$F$4,"")</f>
        <v/>
      </c>
      <c r="F4388" s="27" t="str">
        <f>IFERROR(ABS(FV('Investment Calculator'!$C$7/'Investment Calculator'!$F$4,'SIP Schedule'!C4388,'SIP Schedule'!D4388,,1)),"")</f>
        <v/>
      </c>
    </row>
    <row r="4389" spans="3:6" x14ac:dyDescent="0.3">
      <c r="C4389" s="1" t="str">
        <f>IF(C4388&lt;'Investment Calculator'!$C$8*'Investment Calculator'!$F$4,'SIP Schedule'!C4388+1,"")</f>
        <v/>
      </c>
      <c r="D4389" s="27" t="str">
        <f>IF(C4389&lt;='Investment Calculator'!$C$8*'Investment Calculator'!$F$4,'Investment Calculator'!$C$6,"")</f>
        <v/>
      </c>
      <c r="E4389" s="27" t="str">
        <f>IFERROR((F4388+D4389)*'Investment Calculator'!$C$7/'Investment Calculator'!$F$4,"")</f>
        <v/>
      </c>
      <c r="F4389" s="27" t="str">
        <f>IFERROR(ABS(FV('Investment Calculator'!$C$7/'Investment Calculator'!$F$4,'SIP Schedule'!C4389,'SIP Schedule'!D4389,,1)),"")</f>
        <v/>
      </c>
    </row>
    <row r="4390" spans="3:6" x14ac:dyDescent="0.3">
      <c r="C4390" s="1" t="str">
        <f>IF(C4389&lt;'Investment Calculator'!$C$8*'Investment Calculator'!$F$4,'SIP Schedule'!C4389+1,"")</f>
        <v/>
      </c>
      <c r="D4390" s="27" t="str">
        <f>IF(C4390&lt;='Investment Calculator'!$C$8*'Investment Calculator'!$F$4,'Investment Calculator'!$C$6,"")</f>
        <v/>
      </c>
      <c r="E4390" s="27" t="str">
        <f>IFERROR((F4389+D4390)*'Investment Calculator'!$C$7/'Investment Calculator'!$F$4,"")</f>
        <v/>
      </c>
      <c r="F4390" s="27" t="str">
        <f>IFERROR(ABS(FV('Investment Calculator'!$C$7/'Investment Calculator'!$F$4,'SIP Schedule'!C4390,'SIP Schedule'!D4390,,1)),"")</f>
        <v/>
      </c>
    </row>
    <row r="4391" spans="3:6" x14ac:dyDescent="0.3">
      <c r="C4391" s="1" t="str">
        <f>IF(C4390&lt;'Investment Calculator'!$C$8*'Investment Calculator'!$F$4,'SIP Schedule'!C4390+1,"")</f>
        <v/>
      </c>
      <c r="D4391" s="27" t="str">
        <f>IF(C4391&lt;='Investment Calculator'!$C$8*'Investment Calculator'!$F$4,'Investment Calculator'!$C$6,"")</f>
        <v/>
      </c>
      <c r="E4391" s="27" t="str">
        <f>IFERROR((F4390+D4391)*'Investment Calculator'!$C$7/'Investment Calculator'!$F$4,"")</f>
        <v/>
      </c>
      <c r="F4391" s="27" t="str">
        <f>IFERROR(ABS(FV('Investment Calculator'!$C$7/'Investment Calculator'!$F$4,'SIP Schedule'!C4391,'SIP Schedule'!D4391,,1)),"")</f>
        <v/>
      </c>
    </row>
    <row r="4392" spans="3:6" x14ac:dyDescent="0.3">
      <c r="C4392" s="1" t="str">
        <f>IF(C4391&lt;'Investment Calculator'!$C$8*'Investment Calculator'!$F$4,'SIP Schedule'!C4391+1,"")</f>
        <v/>
      </c>
      <c r="D4392" s="27" t="str">
        <f>IF(C4392&lt;='Investment Calculator'!$C$8*'Investment Calculator'!$F$4,'Investment Calculator'!$C$6,"")</f>
        <v/>
      </c>
      <c r="E4392" s="27" t="str">
        <f>IFERROR((F4391+D4392)*'Investment Calculator'!$C$7/'Investment Calculator'!$F$4,"")</f>
        <v/>
      </c>
      <c r="F4392" s="27" t="str">
        <f>IFERROR(ABS(FV('Investment Calculator'!$C$7/'Investment Calculator'!$F$4,'SIP Schedule'!C4392,'SIP Schedule'!D4392,,1)),"")</f>
        <v/>
      </c>
    </row>
    <row r="4393" spans="3:6" x14ac:dyDescent="0.3">
      <c r="C4393" s="1" t="str">
        <f>IF(C4392&lt;'Investment Calculator'!$C$8*'Investment Calculator'!$F$4,'SIP Schedule'!C4392+1,"")</f>
        <v/>
      </c>
      <c r="D4393" s="27" t="str">
        <f>IF(C4393&lt;='Investment Calculator'!$C$8*'Investment Calculator'!$F$4,'Investment Calculator'!$C$6,"")</f>
        <v/>
      </c>
      <c r="E4393" s="27" t="str">
        <f>IFERROR((F4392+D4393)*'Investment Calculator'!$C$7/'Investment Calculator'!$F$4,"")</f>
        <v/>
      </c>
      <c r="F4393" s="27" t="str">
        <f>IFERROR(ABS(FV('Investment Calculator'!$C$7/'Investment Calculator'!$F$4,'SIP Schedule'!C4393,'SIP Schedule'!D4393,,1)),"")</f>
        <v/>
      </c>
    </row>
    <row r="4394" spans="3:6" x14ac:dyDescent="0.3">
      <c r="C4394" s="1" t="str">
        <f>IF(C4393&lt;'Investment Calculator'!$C$8*'Investment Calculator'!$F$4,'SIP Schedule'!C4393+1,"")</f>
        <v/>
      </c>
      <c r="D4394" s="27" t="str">
        <f>IF(C4394&lt;='Investment Calculator'!$C$8*'Investment Calculator'!$F$4,'Investment Calculator'!$C$6,"")</f>
        <v/>
      </c>
      <c r="E4394" s="27" t="str">
        <f>IFERROR((F4393+D4394)*'Investment Calculator'!$C$7/'Investment Calculator'!$F$4,"")</f>
        <v/>
      </c>
      <c r="F4394" s="27" t="str">
        <f>IFERROR(ABS(FV('Investment Calculator'!$C$7/'Investment Calculator'!$F$4,'SIP Schedule'!C4394,'SIP Schedule'!D4394,,1)),"")</f>
        <v/>
      </c>
    </row>
    <row r="4395" spans="3:6" x14ac:dyDescent="0.3">
      <c r="C4395" s="1" t="str">
        <f>IF(C4394&lt;'Investment Calculator'!$C$8*'Investment Calculator'!$F$4,'SIP Schedule'!C4394+1,"")</f>
        <v/>
      </c>
      <c r="D4395" s="27" t="str">
        <f>IF(C4395&lt;='Investment Calculator'!$C$8*'Investment Calculator'!$F$4,'Investment Calculator'!$C$6,"")</f>
        <v/>
      </c>
      <c r="E4395" s="27" t="str">
        <f>IFERROR((F4394+D4395)*'Investment Calculator'!$C$7/'Investment Calculator'!$F$4,"")</f>
        <v/>
      </c>
      <c r="F4395" s="27" t="str">
        <f>IFERROR(ABS(FV('Investment Calculator'!$C$7/'Investment Calculator'!$F$4,'SIP Schedule'!C4395,'SIP Schedule'!D4395,,1)),"")</f>
        <v/>
      </c>
    </row>
    <row r="4396" spans="3:6" x14ac:dyDescent="0.3">
      <c r="C4396" s="1" t="str">
        <f>IF(C4395&lt;'Investment Calculator'!$C$8*'Investment Calculator'!$F$4,'SIP Schedule'!C4395+1,"")</f>
        <v/>
      </c>
      <c r="D4396" s="27" t="str">
        <f>IF(C4396&lt;='Investment Calculator'!$C$8*'Investment Calculator'!$F$4,'Investment Calculator'!$C$6,"")</f>
        <v/>
      </c>
      <c r="E4396" s="27" t="str">
        <f>IFERROR((F4395+D4396)*'Investment Calculator'!$C$7/'Investment Calculator'!$F$4,"")</f>
        <v/>
      </c>
      <c r="F4396" s="27" t="str">
        <f>IFERROR(ABS(FV('Investment Calculator'!$C$7/'Investment Calculator'!$F$4,'SIP Schedule'!C4396,'SIP Schedule'!D4396,,1)),"")</f>
        <v/>
      </c>
    </row>
    <row r="4397" spans="3:6" x14ac:dyDescent="0.3">
      <c r="C4397" s="1" t="str">
        <f>IF(C4396&lt;'Investment Calculator'!$C$8*'Investment Calculator'!$F$4,'SIP Schedule'!C4396+1,"")</f>
        <v/>
      </c>
      <c r="D4397" s="27" t="str">
        <f>IF(C4397&lt;='Investment Calculator'!$C$8*'Investment Calculator'!$F$4,'Investment Calculator'!$C$6,"")</f>
        <v/>
      </c>
      <c r="E4397" s="27" t="str">
        <f>IFERROR((F4396+D4397)*'Investment Calculator'!$C$7/'Investment Calculator'!$F$4,"")</f>
        <v/>
      </c>
      <c r="F4397" s="27" t="str">
        <f>IFERROR(ABS(FV('Investment Calculator'!$C$7/'Investment Calculator'!$F$4,'SIP Schedule'!C4397,'SIP Schedule'!D4397,,1)),"")</f>
        <v/>
      </c>
    </row>
    <row r="4398" spans="3:6" x14ac:dyDescent="0.3">
      <c r="C4398" s="1" t="str">
        <f>IF(C4397&lt;'Investment Calculator'!$C$8*'Investment Calculator'!$F$4,'SIP Schedule'!C4397+1,"")</f>
        <v/>
      </c>
      <c r="D4398" s="27" t="str">
        <f>IF(C4398&lt;='Investment Calculator'!$C$8*'Investment Calculator'!$F$4,'Investment Calculator'!$C$6,"")</f>
        <v/>
      </c>
      <c r="E4398" s="27" t="str">
        <f>IFERROR((F4397+D4398)*'Investment Calculator'!$C$7/'Investment Calculator'!$F$4,"")</f>
        <v/>
      </c>
      <c r="F4398" s="27" t="str">
        <f>IFERROR(ABS(FV('Investment Calculator'!$C$7/'Investment Calculator'!$F$4,'SIP Schedule'!C4398,'SIP Schedule'!D4398,,1)),"")</f>
        <v/>
      </c>
    </row>
    <row r="4399" spans="3:6" x14ac:dyDescent="0.3">
      <c r="C4399" s="1" t="str">
        <f>IF(C4398&lt;'Investment Calculator'!$C$8*'Investment Calculator'!$F$4,'SIP Schedule'!C4398+1,"")</f>
        <v/>
      </c>
      <c r="D4399" s="27" t="str">
        <f>IF(C4399&lt;='Investment Calculator'!$C$8*'Investment Calculator'!$F$4,'Investment Calculator'!$C$6,"")</f>
        <v/>
      </c>
      <c r="E4399" s="27" t="str">
        <f>IFERROR((F4398+D4399)*'Investment Calculator'!$C$7/'Investment Calculator'!$F$4,"")</f>
        <v/>
      </c>
      <c r="F4399" s="27" t="str">
        <f>IFERROR(ABS(FV('Investment Calculator'!$C$7/'Investment Calculator'!$F$4,'SIP Schedule'!C4399,'SIP Schedule'!D4399,,1)),"")</f>
        <v/>
      </c>
    </row>
    <row r="4400" spans="3:6" x14ac:dyDescent="0.3">
      <c r="C4400" s="1" t="str">
        <f>IF(C4399&lt;'Investment Calculator'!$C$8*'Investment Calculator'!$F$4,'SIP Schedule'!C4399+1,"")</f>
        <v/>
      </c>
      <c r="D4400" s="27" t="str">
        <f>IF(C4400&lt;='Investment Calculator'!$C$8*'Investment Calculator'!$F$4,'Investment Calculator'!$C$6,"")</f>
        <v/>
      </c>
      <c r="E4400" s="27" t="str">
        <f>IFERROR((F4399+D4400)*'Investment Calculator'!$C$7/'Investment Calculator'!$F$4,"")</f>
        <v/>
      </c>
      <c r="F4400" s="27" t="str">
        <f>IFERROR(ABS(FV('Investment Calculator'!$C$7/'Investment Calculator'!$F$4,'SIP Schedule'!C4400,'SIP Schedule'!D4400,,1)),"")</f>
        <v/>
      </c>
    </row>
    <row r="4401" spans="3:6" x14ac:dyDescent="0.3">
      <c r="C4401" s="1" t="str">
        <f>IF(C4400&lt;'Investment Calculator'!$C$8*'Investment Calculator'!$F$4,'SIP Schedule'!C4400+1,"")</f>
        <v/>
      </c>
      <c r="D4401" s="27" t="str">
        <f>IF(C4401&lt;='Investment Calculator'!$C$8*'Investment Calculator'!$F$4,'Investment Calculator'!$C$6,"")</f>
        <v/>
      </c>
      <c r="E4401" s="27" t="str">
        <f>IFERROR((F4400+D4401)*'Investment Calculator'!$C$7/'Investment Calculator'!$F$4,"")</f>
        <v/>
      </c>
      <c r="F4401" s="27" t="str">
        <f>IFERROR(ABS(FV('Investment Calculator'!$C$7/'Investment Calculator'!$F$4,'SIP Schedule'!C4401,'SIP Schedule'!D4401,,1)),"")</f>
        <v/>
      </c>
    </row>
    <row r="4402" spans="3:6" x14ac:dyDescent="0.3">
      <c r="C4402" s="1" t="str">
        <f>IF(C4401&lt;'Investment Calculator'!$C$8*'Investment Calculator'!$F$4,'SIP Schedule'!C4401+1,"")</f>
        <v/>
      </c>
      <c r="D4402" s="27" t="str">
        <f>IF(C4402&lt;='Investment Calculator'!$C$8*'Investment Calculator'!$F$4,'Investment Calculator'!$C$6,"")</f>
        <v/>
      </c>
      <c r="E4402" s="27" t="str">
        <f>IFERROR((F4401+D4402)*'Investment Calculator'!$C$7/'Investment Calculator'!$F$4,"")</f>
        <v/>
      </c>
      <c r="F4402" s="27" t="str">
        <f>IFERROR(ABS(FV('Investment Calculator'!$C$7/'Investment Calculator'!$F$4,'SIP Schedule'!C4402,'SIP Schedule'!D4402,,1)),"")</f>
        <v/>
      </c>
    </row>
    <row r="4403" spans="3:6" x14ac:dyDescent="0.3">
      <c r="C4403" s="1" t="str">
        <f>IF(C4402&lt;'Investment Calculator'!$C$8*'Investment Calculator'!$F$4,'SIP Schedule'!C4402+1,"")</f>
        <v/>
      </c>
      <c r="D4403" s="27" t="str">
        <f>IF(C4403&lt;='Investment Calculator'!$C$8*'Investment Calculator'!$F$4,'Investment Calculator'!$C$6,"")</f>
        <v/>
      </c>
      <c r="E4403" s="27" t="str">
        <f>IFERROR((F4402+D4403)*'Investment Calculator'!$C$7/'Investment Calculator'!$F$4,"")</f>
        <v/>
      </c>
      <c r="F4403" s="27" t="str">
        <f>IFERROR(ABS(FV('Investment Calculator'!$C$7/'Investment Calculator'!$F$4,'SIP Schedule'!C4403,'SIP Schedule'!D4403,,1)),"")</f>
        <v/>
      </c>
    </row>
    <row r="4404" spans="3:6" x14ac:dyDescent="0.3">
      <c r="C4404" s="1" t="str">
        <f>IF(C4403&lt;'Investment Calculator'!$C$8*'Investment Calculator'!$F$4,'SIP Schedule'!C4403+1,"")</f>
        <v/>
      </c>
      <c r="D4404" s="27" t="str">
        <f>IF(C4404&lt;='Investment Calculator'!$C$8*'Investment Calculator'!$F$4,'Investment Calculator'!$C$6,"")</f>
        <v/>
      </c>
      <c r="E4404" s="27" t="str">
        <f>IFERROR((F4403+D4404)*'Investment Calculator'!$C$7/'Investment Calculator'!$F$4,"")</f>
        <v/>
      </c>
      <c r="F4404" s="27" t="str">
        <f>IFERROR(ABS(FV('Investment Calculator'!$C$7/'Investment Calculator'!$F$4,'SIP Schedule'!C4404,'SIP Schedule'!D4404,,1)),"")</f>
        <v/>
      </c>
    </row>
    <row r="4405" spans="3:6" x14ac:dyDescent="0.3">
      <c r="C4405" s="1" t="str">
        <f>IF(C4404&lt;'Investment Calculator'!$C$8*'Investment Calculator'!$F$4,'SIP Schedule'!C4404+1,"")</f>
        <v/>
      </c>
      <c r="D4405" s="27" t="str">
        <f>IF(C4405&lt;='Investment Calculator'!$C$8*'Investment Calculator'!$F$4,'Investment Calculator'!$C$6,"")</f>
        <v/>
      </c>
      <c r="E4405" s="27" t="str">
        <f>IFERROR((F4404+D4405)*'Investment Calculator'!$C$7/'Investment Calculator'!$F$4,"")</f>
        <v/>
      </c>
      <c r="F4405" s="27" t="str">
        <f>IFERROR(ABS(FV('Investment Calculator'!$C$7/'Investment Calculator'!$F$4,'SIP Schedule'!C4405,'SIP Schedule'!D4405,,1)),"")</f>
        <v/>
      </c>
    </row>
    <row r="4406" spans="3:6" x14ac:dyDescent="0.3">
      <c r="C4406" s="1" t="str">
        <f>IF(C4405&lt;'Investment Calculator'!$C$8*'Investment Calculator'!$F$4,'SIP Schedule'!C4405+1,"")</f>
        <v/>
      </c>
      <c r="D4406" s="27" t="str">
        <f>IF(C4406&lt;='Investment Calculator'!$C$8*'Investment Calculator'!$F$4,'Investment Calculator'!$C$6,"")</f>
        <v/>
      </c>
      <c r="E4406" s="27" t="str">
        <f>IFERROR((F4405+D4406)*'Investment Calculator'!$C$7/'Investment Calculator'!$F$4,"")</f>
        <v/>
      </c>
      <c r="F4406" s="27" t="str">
        <f>IFERROR(ABS(FV('Investment Calculator'!$C$7/'Investment Calculator'!$F$4,'SIP Schedule'!C4406,'SIP Schedule'!D4406,,1)),"")</f>
        <v/>
      </c>
    </row>
    <row r="4407" spans="3:6" x14ac:dyDescent="0.3">
      <c r="C4407" s="1" t="str">
        <f>IF(C4406&lt;'Investment Calculator'!$C$8*'Investment Calculator'!$F$4,'SIP Schedule'!C4406+1,"")</f>
        <v/>
      </c>
      <c r="D4407" s="27" t="str">
        <f>IF(C4407&lt;='Investment Calculator'!$C$8*'Investment Calculator'!$F$4,'Investment Calculator'!$C$6,"")</f>
        <v/>
      </c>
      <c r="E4407" s="27" t="str">
        <f>IFERROR((F4406+D4407)*'Investment Calculator'!$C$7/'Investment Calculator'!$F$4,"")</f>
        <v/>
      </c>
      <c r="F4407" s="27" t="str">
        <f>IFERROR(ABS(FV('Investment Calculator'!$C$7/'Investment Calculator'!$F$4,'SIP Schedule'!C4407,'SIP Schedule'!D4407,,1)),"")</f>
        <v/>
      </c>
    </row>
    <row r="4408" spans="3:6" x14ac:dyDescent="0.3">
      <c r="C4408" s="1" t="str">
        <f>IF(C4407&lt;'Investment Calculator'!$C$8*'Investment Calculator'!$F$4,'SIP Schedule'!C4407+1,"")</f>
        <v/>
      </c>
      <c r="D4408" s="27" t="str">
        <f>IF(C4408&lt;='Investment Calculator'!$C$8*'Investment Calculator'!$F$4,'Investment Calculator'!$C$6,"")</f>
        <v/>
      </c>
      <c r="E4408" s="27" t="str">
        <f>IFERROR((F4407+D4408)*'Investment Calculator'!$C$7/'Investment Calculator'!$F$4,"")</f>
        <v/>
      </c>
      <c r="F4408" s="27" t="str">
        <f>IFERROR(ABS(FV('Investment Calculator'!$C$7/'Investment Calculator'!$F$4,'SIP Schedule'!C4408,'SIP Schedule'!D4408,,1)),"")</f>
        <v/>
      </c>
    </row>
    <row r="4409" spans="3:6" x14ac:dyDescent="0.3">
      <c r="C4409" s="1" t="str">
        <f>IF(C4408&lt;'Investment Calculator'!$C$8*'Investment Calculator'!$F$4,'SIP Schedule'!C4408+1,"")</f>
        <v/>
      </c>
      <c r="D4409" s="27" t="str">
        <f>IF(C4409&lt;='Investment Calculator'!$C$8*'Investment Calculator'!$F$4,'Investment Calculator'!$C$6,"")</f>
        <v/>
      </c>
      <c r="E4409" s="27" t="str">
        <f>IFERROR((F4408+D4409)*'Investment Calculator'!$C$7/'Investment Calculator'!$F$4,"")</f>
        <v/>
      </c>
      <c r="F4409" s="27" t="str">
        <f>IFERROR(ABS(FV('Investment Calculator'!$C$7/'Investment Calculator'!$F$4,'SIP Schedule'!C4409,'SIP Schedule'!D4409,,1)),"")</f>
        <v/>
      </c>
    </row>
    <row r="4410" spans="3:6" x14ac:dyDescent="0.3">
      <c r="C4410" s="1" t="str">
        <f>IF(C4409&lt;'Investment Calculator'!$C$8*'Investment Calculator'!$F$4,'SIP Schedule'!C4409+1,"")</f>
        <v/>
      </c>
      <c r="D4410" s="27" t="str">
        <f>IF(C4410&lt;='Investment Calculator'!$C$8*'Investment Calculator'!$F$4,'Investment Calculator'!$C$6,"")</f>
        <v/>
      </c>
      <c r="E4410" s="27" t="str">
        <f>IFERROR((F4409+D4410)*'Investment Calculator'!$C$7/'Investment Calculator'!$F$4,"")</f>
        <v/>
      </c>
      <c r="F4410" s="27" t="str">
        <f>IFERROR(ABS(FV('Investment Calculator'!$C$7/'Investment Calculator'!$F$4,'SIP Schedule'!C4410,'SIP Schedule'!D4410,,1)),"")</f>
        <v/>
      </c>
    </row>
    <row r="4411" spans="3:6" x14ac:dyDescent="0.3">
      <c r="C4411" s="1" t="str">
        <f>IF(C4410&lt;'Investment Calculator'!$C$8*'Investment Calculator'!$F$4,'SIP Schedule'!C4410+1,"")</f>
        <v/>
      </c>
      <c r="D4411" s="27" t="str">
        <f>IF(C4411&lt;='Investment Calculator'!$C$8*'Investment Calculator'!$F$4,'Investment Calculator'!$C$6,"")</f>
        <v/>
      </c>
      <c r="E4411" s="27" t="str">
        <f>IFERROR((F4410+D4411)*'Investment Calculator'!$C$7/'Investment Calculator'!$F$4,"")</f>
        <v/>
      </c>
      <c r="F4411" s="27" t="str">
        <f>IFERROR(ABS(FV('Investment Calculator'!$C$7/'Investment Calculator'!$F$4,'SIP Schedule'!C4411,'SIP Schedule'!D4411,,1)),"")</f>
        <v/>
      </c>
    </row>
    <row r="4412" spans="3:6" x14ac:dyDescent="0.3">
      <c r="C4412" s="1" t="str">
        <f>IF(C4411&lt;'Investment Calculator'!$C$8*'Investment Calculator'!$F$4,'SIP Schedule'!C4411+1,"")</f>
        <v/>
      </c>
      <c r="D4412" s="27" t="str">
        <f>IF(C4412&lt;='Investment Calculator'!$C$8*'Investment Calculator'!$F$4,'Investment Calculator'!$C$6,"")</f>
        <v/>
      </c>
      <c r="E4412" s="27" t="str">
        <f>IFERROR((F4411+D4412)*'Investment Calculator'!$C$7/'Investment Calculator'!$F$4,"")</f>
        <v/>
      </c>
      <c r="F4412" s="27" t="str">
        <f>IFERROR(ABS(FV('Investment Calculator'!$C$7/'Investment Calculator'!$F$4,'SIP Schedule'!C4412,'SIP Schedule'!D4412,,1)),"")</f>
        <v/>
      </c>
    </row>
    <row r="4413" spans="3:6" x14ac:dyDescent="0.3">
      <c r="C4413" s="1" t="str">
        <f>IF(C4412&lt;'Investment Calculator'!$C$8*'Investment Calculator'!$F$4,'SIP Schedule'!C4412+1,"")</f>
        <v/>
      </c>
      <c r="D4413" s="27" t="str">
        <f>IF(C4413&lt;='Investment Calculator'!$C$8*'Investment Calculator'!$F$4,'Investment Calculator'!$C$6,"")</f>
        <v/>
      </c>
      <c r="E4413" s="27" t="str">
        <f>IFERROR((F4412+D4413)*'Investment Calculator'!$C$7/'Investment Calculator'!$F$4,"")</f>
        <v/>
      </c>
      <c r="F4413" s="27" t="str">
        <f>IFERROR(ABS(FV('Investment Calculator'!$C$7/'Investment Calculator'!$F$4,'SIP Schedule'!C4413,'SIP Schedule'!D4413,,1)),"")</f>
        <v/>
      </c>
    </row>
    <row r="4414" spans="3:6" x14ac:dyDescent="0.3">
      <c r="C4414" s="1" t="str">
        <f>IF(C4413&lt;'Investment Calculator'!$C$8*'Investment Calculator'!$F$4,'SIP Schedule'!C4413+1,"")</f>
        <v/>
      </c>
      <c r="D4414" s="27" t="str">
        <f>IF(C4414&lt;='Investment Calculator'!$C$8*'Investment Calculator'!$F$4,'Investment Calculator'!$C$6,"")</f>
        <v/>
      </c>
      <c r="E4414" s="27" t="str">
        <f>IFERROR((F4413+D4414)*'Investment Calculator'!$C$7/'Investment Calculator'!$F$4,"")</f>
        <v/>
      </c>
      <c r="F4414" s="27" t="str">
        <f>IFERROR(ABS(FV('Investment Calculator'!$C$7/'Investment Calculator'!$F$4,'SIP Schedule'!C4414,'SIP Schedule'!D4414,,1)),"")</f>
        <v/>
      </c>
    </row>
    <row r="4415" spans="3:6" x14ac:dyDescent="0.3">
      <c r="C4415" s="1" t="str">
        <f>IF(C4414&lt;'Investment Calculator'!$C$8*'Investment Calculator'!$F$4,'SIP Schedule'!C4414+1,"")</f>
        <v/>
      </c>
      <c r="D4415" s="27" t="str">
        <f>IF(C4415&lt;='Investment Calculator'!$C$8*'Investment Calculator'!$F$4,'Investment Calculator'!$C$6,"")</f>
        <v/>
      </c>
      <c r="E4415" s="27" t="str">
        <f>IFERROR((F4414+D4415)*'Investment Calculator'!$C$7/'Investment Calculator'!$F$4,"")</f>
        <v/>
      </c>
      <c r="F4415" s="27" t="str">
        <f>IFERROR(ABS(FV('Investment Calculator'!$C$7/'Investment Calculator'!$F$4,'SIP Schedule'!C4415,'SIP Schedule'!D4415,,1)),"")</f>
        <v/>
      </c>
    </row>
    <row r="4416" spans="3:6" x14ac:dyDescent="0.3">
      <c r="C4416" s="1" t="str">
        <f>IF(C4415&lt;'Investment Calculator'!$C$8*'Investment Calculator'!$F$4,'SIP Schedule'!C4415+1,"")</f>
        <v/>
      </c>
      <c r="D4416" s="27" t="str">
        <f>IF(C4416&lt;='Investment Calculator'!$C$8*'Investment Calculator'!$F$4,'Investment Calculator'!$C$6,"")</f>
        <v/>
      </c>
      <c r="E4416" s="27" t="str">
        <f>IFERROR((F4415+D4416)*'Investment Calculator'!$C$7/'Investment Calculator'!$F$4,"")</f>
        <v/>
      </c>
      <c r="F4416" s="27" t="str">
        <f>IFERROR(ABS(FV('Investment Calculator'!$C$7/'Investment Calculator'!$F$4,'SIP Schedule'!C4416,'SIP Schedule'!D4416,,1)),"")</f>
        <v/>
      </c>
    </row>
    <row r="4417" spans="3:6" x14ac:dyDescent="0.3">
      <c r="C4417" s="1" t="str">
        <f>IF(C4416&lt;'Investment Calculator'!$C$8*'Investment Calculator'!$F$4,'SIP Schedule'!C4416+1,"")</f>
        <v/>
      </c>
      <c r="D4417" s="27" t="str">
        <f>IF(C4417&lt;='Investment Calculator'!$C$8*'Investment Calculator'!$F$4,'Investment Calculator'!$C$6,"")</f>
        <v/>
      </c>
      <c r="E4417" s="27" t="str">
        <f>IFERROR((F4416+D4417)*'Investment Calculator'!$C$7/'Investment Calculator'!$F$4,"")</f>
        <v/>
      </c>
      <c r="F4417" s="27" t="str">
        <f>IFERROR(ABS(FV('Investment Calculator'!$C$7/'Investment Calculator'!$F$4,'SIP Schedule'!C4417,'SIP Schedule'!D4417,,1)),"")</f>
        <v/>
      </c>
    </row>
    <row r="4418" spans="3:6" x14ac:dyDescent="0.3">
      <c r="C4418" s="1" t="str">
        <f>IF(C4417&lt;'Investment Calculator'!$C$8*'Investment Calculator'!$F$4,'SIP Schedule'!C4417+1,"")</f>
        <v/>
      </c>
      <c r="D4418" s="27" t="str">
        <f>IF(C4418&lt;='Investment Calculator'!$C$8*'Investment Calculator'!$F$4,'Investment Calculator'!$C$6,"")</f>
        <v/>
      </c>
      <c r="E4418" s="27" t="str">
        <f>IFERROR((F4417+D4418)*'Investment Calculator'!$C$7/'Investment Calculator'!$F$4,"")</f>
        <v/>
      </c>
      <c r="F4418" s="27" t="str">
        <f>IFERROR(ABS(FV('Investment Calculator'!$C$7/'Investment Calculator'!$F$4,'SIP Schedule'!C4418,'SIP Schedule'!D4418,,1)),"")</f>
        <v/>
      </c>
    </row>
    <row r="4419" spans="3:6" x14ac:dyDescent="0.3">
      <c r="C4419" s="1" t="str">
        <f>IF(C4418&lt;'Investment Calculator'!$C$8*'Investment Calculator'!$F$4,'SIP Schedule'!C4418+1,"")</f>
        <v/>
      </c>
      <c r="D4419" s="27" t="str">
        <f>IF(C4419&lt;='Investment Calculator'!$C$8*'Investment Calculator'!$F$4,'Investment Calculator'!$C$6,"")</f>
        <v/>
      </c>
      <c r="E4419" s="27" t="str">
        <f>IFERROR((F4418+D4419)*'Investment Calculator'!$C$7/'Investment Calculator'!$F$4,"")</f>
        <v/>
      </c>
      <c r="F4419" s="27" t="str">
        <f>IFERROR(ABS(FV('Investment Calculator'!$C$7/'Investment Calculator'!$F$4,'SIP Schedule'!C4419,'SIP Schedule'!D4419,,1)),"")</f>
        <v/>
      </c>
    </row>
    <row r="4420" spans="3:6" x14ac:dyDescent="0.3">
      <c r="C4420" s="1" t="str">
        <f>IF(C4419&lt;'Investment Calculator'!$C$8*'Investment Calculator'!$F$4,'SIP Schedule'!C4419+1,"")</f>
        <v/>
      </c>
      <c r="D4420" s="27" t="str">
        <f>IF(C4420&lt;='Investment Calculator'!$C$8*'Investment Calculator'!$F$4,'Investment Calculator'!$C$6,"")</f>
        <v/>
      </c>
      <c r="E4420" s="27" t="str">
        <f>IFERROR((F4419+D4420)*'Investment Calculator'!$C$7/'Investment Calculator'!$F$4,"")</f>
        <v/>
      </c>
      <c r="F4420" s="27" t="str">
        <f>IFERROR(ABS(FV('Investment Calculator'!$C$7/'Investment Calculator'!$F$4,'SIP Schedule'!C4420,'SIP Schedule'!D4420,,1)),"")</f>
        <v/>
      </c>
    </row>
    <row r="4421" spans="3:6" x14ac:dyDescent="0.3">
      <c r="C4421" s="1" t="str">
        <f>IF(C4420&lt;'Investment Calculator'!$C$8*'Investment Calculator'!$F$4,'SIP Schedule'!C4420+1,"")</f>
        <v/>
      </c>
      <c r="D4421" s="27" t="str">
        <f>IF(C4421&lt;='Investment Calculator'!$C$8*'Investment Calculator'!$F$4,'Investment Calculator'!$C$6,"")</f>
        <v/>
      </c>
      <c r="E4421" s="27" t="str">
        <f>IFERROR((F4420+D4421)*'Investment Calculator'!$C$7/'Investment Calculator'!$F$4,"")</f>
        <v/>
      </c>
      <c r="F4421" s="27" t="str">
        <f>IFERROR(ABS(FV('Investment Calculator'!$C$7/'Investment Calculator'!$F$4,'SIP Schedule'!C4421,'SIP Schedule'!D4421,,1)),"")</f>
        <v/>
      </c>
    </row>
    <row r="4422" spans="3:6" x14ac:dyDescent="0.3">
      <c r="C4422" s="1" t="str">
        <f>IF(C4421&lt;'Investment Calculator'!$C$8*'Investment Calculator'!$F$4,'SIP Schedule'!C4421+1,"")</f>
        <v/>
      </c>
      <c r="D4422" s="27" t="str">
        <f>IF(C4422&lt;='Investment Calculator'!$C$8*'Investment Calculator'!$F$4,'Investment Calculator'!$C$6,"")</f>
        <v/>
      </c>
      <c r="E4422" s="27" t="str">
        <f>IFERROR((F4421+D4422)*'Investment Calculator'!$C$7/'Investment Calculator'!$F$4,"")</f>
        <v/>
      </c>
      <c r="F4422" s="27" t="str">
        <f>IFERROR(ABS(FV('Investment Calculator'!$C$7/'Investment Calculator'!$F$4,'SIP Schedule'!C4422,'SIP Schedule'!D4422,,1)),"")</f>
        <v/>
      </c>
    </row>
    <row r="4423" spans="3:6" x14ac:dyDescent="0.3">
      <c r="C4423" s="1" t="str">
        <f>IF(C4422&lt;'Investment Calculator'!$C$8*'Investment Calculator'!$F$4,'SIP Schedule'!C4422+1,"")</f>
        <v/>
      </c>
      <c r="D4423" s="27" t="str">
        <f>IF(C4423&lt;='Investment Calculator'!$C$8*'Investment Calculator'!$F$4,'Investment Calculator'!$C$6,"")</f>
        <v/>
      </c>
      <c r="E4423" s="27" t="str">
        <f>IFERROR((F4422+D4423)*'Investment Calculator'!$C$7/'Investment Calculator'!$F$4,"")</f>
        <v/>
      </c>
      <c r="F4423" s="27" t="str">
        <f>IFERROR(ABS(FV('Investment Calculator'!$C$7/'Investment Calculator'!$F$4,'SIP Schedule'!C4423,'SIP Schedule'!D4423,,1)),"")</f>
        <v/>
      </c>
    </row>
    <row r="4424" spans="3:6" x14ac:dyDescent="0.3">
      <c r="C4424" s="1" t="str">
        <f>IF(C4423&lt;'Investment Calculator'!$C$8*'Investment Calculator'!$F$4,'SIP Schedule'!C4423+1,"")</f>
        <v/>
      </c>
      <c r="D4424" s="27" t="str">
        <f>IF(C4424&lt;='Investment Calculator'!$C$8*'Investment Calculator'!$F$4,'Investment Calculator'!$C$6,"")</f>
        <v/>
      </c>
      <c r="E4424" s="27" t="str">
        <f>IFERROR((F4423+D4424)*'Investment Calculator'!$C$7/'Investment Calculator'!$F$4,"")</f>
        <v/>
      </c>
      <c r="F4424" s="27" t="str">
        <f>IFERROR(ABS(FV('Investment Calculator'!$C$7/'Investment Calculator'!$F$4,'SIP Schedule'!C4424,'SIP Schedule'!D4424,,1)),"")</f>
        <v/>
      </c>
    </row>
    <row r="4425" spans="3:6" x14ac:dyDescent="0.3">
      <c r="C4425" s="1" t="str">
        <f>IF(C4424&lt;'Investment Calculator'!$C$8*'Investment Calculator'!$F$4,'SIP Schedule'!C4424+1,"")</f>
        <v/>
      </c>
      <c r="D4425" s="27" t="str">
        <f>IF(C4425&lt;='Investment Calculator'!$C$8*'Investment Calculator'!$F$4,'Investment Calculator'!$C$6,"")</f>
        <v/>
      </c>
      <c r="E4425" s="27" t="str">
        <f>IFERROR((F4424+D4425)*'Investment Calculator'!$C$7/'Investment Calculator'!$F$4,"")</f>
        <v/>
      </c>
      <c r="F4425" s="27" t="str">
        <f>IFERROR(ABS(FV('Investment Calculator'!$C$7/'Investment Calculator'!$F$4,'SIP Schedule'!C4425,'SIP Schedule'!D4425,,1)),"")</f>
        <v/>
      </c>
    </row>
    <row r="4426" spans="3:6" x14ac:dyDescent="0.3">
      <c r="C4426" s="1" t="str">
        <f>IF(C4425&lt;'Investment Calculator'!$C$8*'Investment Calculator'!$F$4,'SIP Schedule'!C4425+1,"")</f>
        <v/>
      </c>
      <c r="D4426" s="27" t="str">
        <f>IF(C4426&lt;='Investment Calculator'!$C$8*'Investment Calculator'!$F$4,'Investment Calculator'!$C$6,"")</f>
        <v/>
      </c>
      <c r="E4426" s="27" t="str">
        <f>IFERROR((F4425+D4426)*'Investment Calculator'!$C$7/'Investment Calculator'!$F$4,"")</f>
        <v/>
      </c>
      <c r="F4426" s="27" t="str">
        <f>IFERROR(ABS(FV('Investment Calculator'!$C$7/'Investment Calculator'!$F$4,'SIP Schedule'!C4426,'SIP Schedule'!D4426,,1)),"")</f>
        <v/>
      </c>
    </row>
    <row r="4427" spans="3:6" x14ac:dyDescent="0.3">
      <c r="C4427" s="1" t="str">
        <f>IF(C4426&lt;'Investment Calculator'!$C$8*'Investment Calculator'!$F$4,'SIP Schedule'!C4426+1,"")</f>
        <v/>
      </c>
      <c r="D4427" s="27" t="str">
        <f>IF(C4427&lt;='Investment Calculator'!$C$8*'Investment Calculator'!$F$4,'Investment Calculator'!$C$6,"")</f>
        <v/>
      </c>
      <c r="E4427" s="27" t="str">
        <f>IFERROR((F4426+D4427)*'Investment Calculator'!$C$7/'Investment Calculator'!$F$4,"")</f>
        <v/>
      </c>
      <c r="F4427" s="27" t="str">
        <f>IFERROR(ABS(FV('Investment Calculator'!$C$7/'Investment Calculator'!$F$4,'SIP Schedule'!C4427,'SIP Schedule'!D4427,,1)),"")</f>
        <v/>
      </c>
    </row>
    <row r="4428" spans="3:6" x14ac:dyDescent="0.3">
      <c r="C4428" s="1" t="str">
        <f>IF(C4427&lt;'Investment Calculator'!$C$8*'Investment Calculator'!$F$4,'SIP Schedule'!C4427+1,"")</f>
        <v/>
      </c>
      <c r="D4428" s="27" t="str">
        <f>IF(C4428&lt;='Investment Calculator'!$C$8*'Investment Calculator'!$F$4,'Investment Calculator'!$C$6,"")</f>
        <v/>
      </c>
      <c r="E4428" s="27" t="str">
        <f>IFERROR((F4427+D4428)*'Investment Calculator'!$C$7/'Investment Calculator'!$F$4,"")</f>
        <v/>
      </c>
      <c r="F4428" s="27" t="str">
        <f>IFERROR(ABS(FV('Investment Calculator'!$C$7/'Investment Calculator'!$F$4,'SIP Schedule'!C4428,'SIP Schedule'!D4428,,1)),"")</f>
        <v/>
      </c>
    </row>
    <row r="4429" spans="3:6" x14ac:dyDescent="0.3">
      <c r="C4429" s="1" t="str">
        <f>IF(C4428&lt;'Investment Calculator'!$C$8*'Investment Calculator'!$F$4,'SIP Schedule'!C4428+1,"")</f>
        <v/>
      </c>
      <c r="D4429" s="27" t="str">
        <f>IF(C4429&lt;='Investment Calculator'!$C$8*'Investment Calculator'!$F$4,'Investment Calculator'!$C$6,"")</f>
        <v/>
      </c>
      <c r="E4429" s="27" t="str">
        <f>IFERROR((F4428+D4429)*'Investment Calculator'!$C$7/'Investment Calculator'!$F$4,"")</f>
        <v/>
      </c>
      <c r="F4429" s="27" t="str">
        <f>IFERROR(ABS(FV('Investment Calculator'!$C$7/'Investment Calculator'!$F$4,'SIP Schedule'!C4429,'SIP Schedule'!D4429,,1)),"")</f>
        <v/>
      </c>
    </row>
    <row r="4430" spans="3:6" x14ac:dyDescent="0.3">
      <c r="C4430" s="1" t="str">
        <f>IF(C4429&lt;'Investment Calculator'!$C$8*'Investment Calculator'!$F$4,'SIP Schedule'!C4429+1,"")</f>
        <v/>
      </c>
      <c r="D4430" s="27" t="str">
        <f>IF(C4430&lt;='Investment Calculator'!$C$8*'Investment Calculator'!$F$4,'Investment Calculator'!$C$6,"")</f>
        <v/>
      </c>
      <c r="E4430" s="27" t="str">
        <f>IFERROR((F4429+D4430)*'Investment Calculator'!$C$7/'Investment Calculator'!$F$4,"")</f>
        <v/>
      </c>
      <c r="F4430" s="27" t="str">
        <f>IFERROR(ABS(FV('Investment Calculator'!$C$7/'Investment Calculator'!$F$4,'SIP Schedule'!C4430,'SIP Schedule'!D4430,,1)),"")</f>
        <v/>
      </c>
    </row>
    <row r="4431" spans="3:6" x14ac:dyDescent="0.3">
      <c r="C4431" s="1" t="str">
        <f>IF(C4430&lt;'Investment Calculator'!$C$8*'Investment Calculator'!$F$4,'SIP Schedule'!C4430+1,"")</f>
        <v/>
      </c>
      <c r="D4431" s="27" t="str">
        <f>IF(C4431&lt;='Investment Calculator'!$C$8*'Investment Calculator'!$F$4,'Investment Calculator'!$C$6,"")</f>
        <v/>
      </c>
      <c r="E4431" s="27" t="str">
        <f>IFERROR((F4430+D4431)*'Investment Calculator'!$C$7/'Investment Calculator'!$F$4,"")</f>
        <v/>
      </c>
      <c r="F4431" s="27" t="str">
        <f>IFERROR(ABS(FV('Investment Calculator'!$C$7/'Investment Calculator'!$F$4,'SIP Schedule'!C4431,'SIP Schedule'!D4431,,1)),"")</f>
        <v/>
      </c>
    </row>
    <row r="4432" spans="3:6" x14ac:dyDescent="0.3">
      <c r="C4432" s="1" t="str">
        <f>IF(C4431&lt;'Investment Calculator'!$C$8*'Investment Calculator'!$F$4,'SIP Schedule'!C4431+1,"")</f>
        <v/>
      </c>
      <c r="D4432" s="27" t="str">
        <f>IF(C4432&lt;='Investment Calculator'!$C$8*'Investment Calculator'!$F$4,'Investment Calculator'!$C$6,"")</f>
        <v/>
      </c>
      <c r="E4432" s="27" t="str">
        <f>IFERROR((F4431+D4432)*'Investment Calculator'!$C$7/'Investment Calculator'!$F$4,"")</f>
        <v/>
      </c>
      <c r="F4432" s="27" t="str">
        <f>IFERROR(ABS(FV('Investment Calculator'!$C$7/'Investment Calculator'!$F$4,'SIP Schedule'!C4432,'SIP Schedule'!D4432,,1)),"")</f>
        <v/>
      </c>
    </row>
    <row r="4433" spans="3:6" x14ac:dyDescent="0.3">
      <c r="C4433" s="1" t="str">
        <f>IF(C4432&lt;'Investment Calculator'!$C$8*'Investment Calculator'!$F$4,'SIP Schedule'!C4432+1,"")</f>
        <v/>
      </c>
      <c r="D4433" s="27" t="str">
        <f>IF(C4433&lt;='Investment Calculator'!$C$8*'Investment Calculator'!$F$4,'Investment Calculator'!$C$6,"")</f>
        <v/>
      </c>
      <c r="E4433" s="27" t="str">
        <f>IFERROR((F4432+D4433)*'Investment Calculator'!$C$7/'Investment Calculator'!$F$4,"")</f>
        <v/>
      </c>
      <c r="F4433" s="27" t="str">
        <f>IFERROR(ABS(FV('Investment Calculator'!$C$7/'Investment Calculator'!$F$4,'SIP Schedule'!C4433,'SIP Schedule'!D4433,,1)),"")</f>
        <v/>
      </c>
    </row>
    <row r="4434" spans="3:6" x14ac:dyDescent="0.3">
      <c r="C4434" s="1" t="str">
        <f>IF(C4433&lt;'Investment Calculator'!$C$8*'Investment Calculator'!$F$4,'SIP Schedule'!C4433+1,"")</f>
        <v/>
      </c>
      <c r="D4434" s="27" t="str">
        <f>IF(C4434&lt;='Investment Calculator'!$C$8*'Investment Calculator'!$F$4,'Investment Calculator'!$C$6,"")</f>
        <v/>
      </c>
      <c r="E4434" s="27" t="str">
        <f>IFERROR((F4433+D4434)*'Investment Calculator'!$C$7/'Investment Calculator'!$F$4,"")</f>
        <v/>
      </c>
      <c r="F4434" s="27" t="str">
        <f>IFERROR(ABS(FV('Investment Calculator'!$C$7/'Investment Calculator'!$F$4,'SIP Schedule'!C4434,'SIP Schedule'!D4434,,1)),"")</f>
        <v/>
      </c>
    </row>
    <row r="4435" spans="3:6" x14ac:dyDescent="0.3">
      <c r="C4435" s="1" t="str">
        <f>IF(C4434&lt;'Investment Calculator'!$C$8*'Investment Calculator'!$F$4,'SIP Schedule'!C4434+1,"")</f>
        <v/>
      </c>
      <c r="D4435" s="27" t="str">
        <f>IF(C4435&lt;='Investment Calculator'!$C$8*'Investment Calculator'!$F$4,'Investment Calculator'!$C$6,"")</f>
        <v/>
      </c>
      <c r="E4435" s="27" t="str">
        <f>IFERROR((F4434+D4435)*'Investment Calculator'!$C$7/'Investment Calculator'!$F$4,"")</f>
        <v/>
      </c>
      <c r="F4435" s="27" t="str">
        <f>IFERROR(ABS(FV('Investment Calculator'!$C$7/'Investment Calculator'!$F$4,'SIP Schedule'!C4435,'SIP Schedule'!D4435,,1)),"")</f>
        <v/>
      </c>
    </row>
    <row r="4436" spans="3:6" x14ac:dyDescent="0.3">
      <c r="C4436" s="1" t="str">
        <f>IF(C4435&lt;'Investment Calculator'!$C$8*'Investment Calculator'!$F$4,'SIP Schedule'!C4435+1,"")</f>
        <v/>
      </c>
      <c r="D4436" s="27" t="str">
        <f>IF(C4436&lt;='Investment Calculator'!$C$8*'Investment Calculator'!$F$4,'Investment Calculator'!$C$6,"")</f>
        <v/>
      </c>
      <c r="E4436" s="27" t="str">
        <f>IFERROR((F4435+D4436)*'Investment Calculator'!$C$7/'Investment Calculator'!$F$4,"")</f>
        <v/>
      </c>
      <c r="F4436" s="27" t="str">
        <f>IFERROR(ABS(FV('Investment Calculator'!$C$7/'Investment Calculator'!$F$4,'SIP Schedule'!C4436,'SIP Schedule'!D4436,,1)),"")</f>
        <v/>
      </c>
    </row>
    <row r="4437" spans="3:6" x14ac:dyDescent="0.3">
      <c r="C4437" s="1" t="str">
        <f>IF(C4436&lt;'Investment Calculator'!$C$8*'Investment Calculator'!$F$4,'SIP Schedule'!C4436+1,"")</f>
        <v/>
      </c>
      <c r="D4437" s="27" t="str">
        <f>IF(C4437&lt;='Investment Calculator'!$C$8*'Investment Calculator'!$F$4,'Investment Calculator'!$C$6,"")</f>
        <v/>
      </c>
      <c r="E4437" s="27" t="str">
        <f>IFERROR((F4436+D4437)*'Investment Calculator'!$C$7/'Investment Calculator'!$F$4,"")</f>
        <v/>
      </c>
      <c r="F4437" s="27" t="str">
        <f>IFERROR(ABS(FV('Investment Calculator'!$C$7/'Investment Calculator'!$F$4,'SIP Schedule'!C4437,'SIP Schedule'!D4437,,1)),"")</f>
        <v/>
      </c>
    </row>
    <row r="4438" spans="3:6" x14ac:dyDescent="0.3">
      <c r="C4438" s="1" t="str">
        <f>IF(C4437&lt;'Investment Calculator'!$C$8*'Investment Calculator'!$F$4,'SIP Schedule'!C4437+1,"")</f>
        <v/>
      </c>
      <c r="D4438" s="27" t="str">
        <f>IF(C4438&lt;='Investment Calculator'!$C$8*'Investment Calculator'!$F$4,'Investment Calculator'!$C$6,"")</f>
        <v/>
      </c>
      <c r="E4438" s="27" t="str">
        <f>IFERROR((F4437+D4438)*'Investment Calculator'!$C$7/'Investment Calculator'!$F$4,"")</f>
        <v/>
      </c>
      <c r="F4438" s="27" t="str">
        <f>IFERROR(ABS(FV('Investment Calculator'!$C$7/'Investment Calculator'!$F$4,'SIP Schedule'!C4438,'SIP Schedule'!D4438,,1)),"")</f>
        <v/>
      </c>
    </row>
    <row r="4439" spans="3:6" x14ac:dyDescent="0.3">
      <c r="C4439" s="1" t="str">
        <f>IF(C4438&lt;'Investment Calculator'!$C$8*'Investment Calculator'!$F$4,'SIP Schedule'!C4438+1,"")</f>
        <v/>
      </c>
      <c r="D4439" s="27" t="str">
        <f>IF(C4439&lt;='Investment Calculator'!$C$8*'Investment Calculator'!$F$4,'Investment Calculator'!$C$6,"")</f>
        <v/>
      </c>
      <c r="E4439" s="27" t="str">
        <f>IFERROR((F4438+D4439)*'Investment Calculator'!$C$7/'Investment Calculator'!$F$4,"")</f>
        <v/>
      </c>
      <c r="F4439" s="27" t="str">
        <f>IFERROR(ABS(FV('Investment Calculator'!$C$7/'Investment Calculator'!$F$4,'SIP Schedule'!C4439,'SIP Schedule'!D4439,,1)),"")</f>
        <v/>
      </c>
    </row>
    <row r="4440" spans="3:6" x14ac:dyDescent="0.3">
      <c r="C4440" s="1" t="str">
        <f>IF(C4439&lt;'Investment Calculator'!$C$8*'Investment Calculator'!$F$4,'SIP Schedule'!C4439+1,"")</f>
        <v/>
      </c>
      <c r="D4440" s="27" t="str">
        <f>IF(C4440&lt;='Investment Calculator'!$C$8*'Investment Calculator'!$F$4,'Investment Calculator'!$C$6,"")</f>
        <v/>
      </c>
      <c r="E4440" s="27" t="str">
        <f>IFERROR((F4439+D4440)*'Investment Calculator'!$C$7/'Investment Calculator'!$F$4,"")</f>
        <v/>
      </c>
      <c r="F4440" s="27" t="str">
        <f>IFERROR(ABS(FV('Investment Calculator'!$C$7/'Investment Calculator'!$F$4,'SIP Schedule'!C4440,'SIP Schedule'!D4440,,1)),"")</f>
        <v/>
      </c>
    </row>
    <row r="4441" spans="3:6" x14ac:dyDescent="0.3">
      <c r="C4441" s="1" t="str">
        <f>IF(C4440&lt;'Investment Calculator'!$C$8*'Investment Calculator'!$F$4,'SIP Schedule'!C4440+1,"")</f>
        <v/>
      </c>
      <c r="D4441" s="27" t="str">
        <f>IF(C4441&lt;='Investment Calculator'!$C$8*'Investment Calculator'!$F$4,'Investment Calculator'!$C$6,"")</f>
        <v/>
      </c>
      <c r="E4441" s="27" t="str">
        <f>IFERROR((F4440+D4441)*'Investment Calculator'!$C$7/'Investment Calculator'!$F$4,"")</f>
        <v/>
      </c>
      <c r="F4441" s="27" t="str">
        <f>IFERROR(ABS(FV('Investment Calculator'!$C$7/'Investment Calculator'!$F$4,'SIP Schedule'!C4441,'SIP Schedule'!D4441,,1)),"")</f>
        <v/>
      </c>
    </row>
    <row r="4442" spans="3:6" x14ac:dyDescent="0.3">
      <c r="C4442" s="1" t="str">
        <f>IF(C4441&lt;'Investment Calculator'!$C$8*'Investment Calculator'!$F$4,'SIP Schedule'!C4441+1,"")</f>
        <v/>
      </c>
      <c r="D4442" s="27" t="str">
        <f>IF(C4442&lt;='Investment Calculator'!$C$8*'Investment Calculator'!$F$4,'Investment Calculator'!$C$6,"")</f>
        <v/>
      </c>
      <c r="E4442" s="27" t="str">
        <f>IFERROR((F4441+D4442)*'Investment Calculator'!$C$7/'Investment Calculator'!$F$4,"")</f>
        <v/>
      </c>
      <c r="F4442" s="27" t="str">
        <f>IFERROR(ABS(FV('Investment Calculator'!$C$7/'Investment Calculator'!$F$4,'SIP Schedule'!C4442,'SIP Schedule'!D4442,,1)),"")</f>
        <v/>
      </c>
    </row>
    <row r="4443" spans="3:6" x14ac:dyDescent="0.3">
      <c r="C4443" s="1" t="str">
        <f>IF(C4442&lt;'Investment Calculator'!$C$8*'Investment Calculator'!$F$4,'SIP Schedule'!C4442+1,"")</f>
        <v/>
      </c>
      <c r="D4443" s="27" t="str">
        <f>IF(C4443&lt;='Investment Calculator'!$C$8*'Investment Calculator'!$F$4,'Investment Calculator'!$C$6,"")</f>
        <v/>
      </c>
      <c r="E4443" s="27" t="str">
        <f>IFERROR((F4442+D4443)*'Investment Calculator'!$C$7/'Investment Calculator'!$F$4,"")</f>
        <v/>
      </c>
      <c r="F4443" s="27" t="str">
        <f>IFERROR(ABS(FV('Investment Calculator'!$C$7/'Investment Calculator'!$F$4,'SIP Schedule'!C4443,'SIP Schedule'!D4443,,1)),"")</f>
        <v/>
      </c>
    </row>
    <row r="4444" spans="3:6" x14ac:dyDescent="0.3">
      <c r="C4444" s="1" t="str">
        <f>IF(C4443&lt;'Investment Calculator'!$C$8*'Investment Calculator'!$F$4,'SIP Schedule'!C4443+1,"")</f>
        <v/>
      </c>
      <c r="D4444" s="27" t="str">
        <f>IF(C4444&lt;='Investment Calculator'!$C$8*'Investment Calculator'!$F$4,'Investment Calculator'!$C$6,"")</f>
        <v/>
      </c>
      <c r="E4444" s="27" t="str">
        <f>IFERROR((F4443+D4444)*'Investment Calculator'!$C$7/'Investment Calculator'!$F$4,"")</f>
        <v/>
      </c>
      <c r="F4444" s="27" t="str">
        <f>IFERROR(ABS(FV('Investment Calculator'!$C$7/'Investment Calculator'!$F$4,'SIP Schedule'!C4444,'SIP Schedule'!D4444,,1)),"")</f>
        <v/>
      </c>
    </row>
    <row r="4445" spans="3:6" x14ac:dyDescent="0.3">
      <c r="C4445" s="1" t="str">
        <f>IF(C4444&lt;'Investment Calculator'!$C$8*'Investment Calculator'!$F$4,'SIP Schedule'!C4444+1,"")</f>
        <v/>
      </c>
      <c r="D4445" s="27" t="str">
        <f>IF(C4445&lt;='Investment Calculator'!$C$8*'Investment Calculator'!$F$4,'Investment Calculator'!$C$6,"")</f>
        <v/>
      </c>
      <c r="E4445" s="27" t="str">
        <f>IFERROR((F4444+D4445)*'Investment Calculator'!$C$7/'Investment Calculator'!$F$4,"")</f>
        <v/>
      </c>
      <c r="F4445" s="27" t="str">
        <f>IFERROR(ABS(FV('Investment Calculator'!$C$7/'Investment Calculator'!$F$4,'SIP Schedule'!C4445,'SIP Schedule'!D4445,,1)),"")</f>
        <v/>
      </c>
    </row>
    <row r="4446" spans="3:6" x14ac:dyDescent="0.3">
      <c r="C4446" s="1" t="str">
        <f>IF(C4445&lt;'Investment Calculator'!$C$8*'Investment Calculator'!$F$4,'SIP Schedule'!C4445+1,"")</f>
        <v/>
      </c>
      <c r="D4446" s="27" t="str">
        <f>IF(C4446&lt;='Investment Calculator'!$C$8*'Investment Calculator'!$F$4,'Investment Calculator'!$C$6,"")</f>
        <v/>
      </c>
      <c r="E4446" s="27" t="str">
        <f>IFERROR((F4445+D4446)*'Investment Calculator'!$C$7/'Investment Calculator'!$F$4,"")</f>
        <v/>
      </c>
      <c r="F4446" s="27" t="str">
        <f>IFERROR(ABS(FV('Investment Calculator'!$C$7/'Investment Calculator'!$F$4,'SIP Schedule'!C4446,'SIP Schedule'!D4446,,1)),"")</f>
        <v/>
      </c>
    </row>
    <row r="4447" spans="3:6" x14ac:dyDescent="0.3">
      <c r="C4447" s="1" t="str">
        <f>IF(C4446&lt;'Investment Calculator'!$C$8*'Investment Calculator'!$F$4,'SIP Schedule'!C4446+1,"")</f>
        <v/>
      </c>
      <c r="D4447" s="27" t="str">
        <f>IF(C4447&lt;='Investment Calculator'!$C$8*'Investment Calculator'!$F$4,'Investment Calculator'!$C$6,"")</f>
        <v/>
      </c>
      <c r="E4447" s="27" t="str">
        <f>IFERROR((F4446+D4447)*'Investment Calculator'!$C$7/'Investment Calculator'!$F$4,"")</f>
        <v/>
      </c>
      <c r="F4447" s="27" t="str">
        <f>IFERROR(ABS(FV('Investment Calculator'!$C$7/'Investment Calculator'!$F$4,'SIP Schedule'!C4447,'SIP Schedule'!D4447,,1)),"")</f>
        <v/>
      </c>
    </row>
    <row r="4448" spans="3:6" x14ac:dyDescent="0.3">
      <c r="C4448" s="1" t="str">
        <f>IF(C4447&lt;'Investment Calculator'!$C$8*'Investment Calculator'!$F$4,'SIP Schedule'!C4447+1,"")</f>
        <v/>
      </c>
      <c r="D4448" s="27" t="str">
        <f>IF(C4448&lt;='Investment Calculator'!$C$8*'Investment Calculator'!$F$4,'Investment Calculator'!$C$6,"")</f>
        <v/>
      </c>
      <c r="E4448" s="27" t="str">
        <f>IFERROR((F4447+D4448)*'Investment Calculator'!$C$7/'Investment Calculator'!$F$4,"")</f>
        <v/>
      </c>
      <c r="F4448" s="27" t="str">
        <f>IFERROR(ABS(FV('Investment Calculator'!$C$7/'Investment Calculator'!$F$4,'SIP Schedule'!C4448,'SIP Schedule'!D4448,,1)),"")</f>
        <v/>
      </c>
    </row>
    <row r="4449" spans="3:6" x14ac:dyDescent="0.3">
      <c r="C4449" s="1" t="str">
        <f>IF(C4448&lt;'Investment Calculator'!$C$8*'Investment Calculator'!$F$4,'SIP Schedule'!C4448+1,"")</f>
        <v/>
      </c>
      <c r="D4449" s="27" t="str">
        <f>IF(C4449&lt;='Investment Calculator'!$C$8*'Investment Calculator'!$F$4,'Investment Calculator'!$C$6,"")</f>
        <v/>
      </c>
      <c r="E4449" s="27" t="str">
        <f>IFERROR((F4448+D4449)*'Investment Calculator'!$C$7/'Investment Calculator'!$F$4,"")</f>
        <v/>
      </c>
      <c r="F4449" s="27" t="str">
        <f>IFERROR(ABS(FV('Investment Calculator'!$C$7/'Investment Calculator'!$F$4,'SIP Schedule'!C4449,'SIP Schedule'!D4449,,1)),"")</f>
        <v/>
      </c>
    </row>
    <row r="4450" spans="3:6" x14ac:dyDescent="0.3">
      <c r="C4450" s="1" t="str">
        <f>IF(C4449&lt;'Investment Calculator'!$C$8*'Investment Calculator'!$F$4,'SIP Schedule'!C4449+1,"")</f>
        <v/>
      </c>
      <c r="D4450" s="27" t="str">
        <f>IF(C4450&lt;='Investment Calculator'!$C$8*'Investment Calculator'!$F$4,'Investment Calculator'!$C$6,"")</f>
        <v/>
      </c>
      <c r="E4450" s="27" t="str">
        <f>IFERROR((F4449+D4450)*'Investment Calculator'!$C$7/'Investment Calculator'!$F$4,"")</f>
        <v/>
      </c>
      <c r="F4450" s="27" t="str">
        <f>IFERROR(ABS(FV('Investment Calculator'!$C$7/'Investment Calculator'!$F$4,'SIP Schedule'!C4450,'SIP Schedule'!D4450,,1)),"")</f>
        <v/>
      </c>
    </row>
    <row r="4451" spans="3:6" x14ac:dyDescent="0.3">
      <c r="C4451" s="1" t="str">
        <f>IF(C4450&lt;'Investment Calculator'!$C$8*'Investment Calculator'!$F$4,'SIP Schedule'!C4450+1,"")</f>
        <v/>
      </c>
      <c r="D4451" s="27" t="str">
        <f>IF(C4451&lt;='Investment Calculator'!$C$8*'Investment Calculator'!$F$4,'Investment Calculator'!$C$6,"")</f>
        <v/>
      </c>
      <c r="E4451" s="27" t="str">
        <f>IFERROR((F4450+D4451)*'Investment Calculator'!$C$7/'Investment Calculator'!$F$4,"")</f>
        <v/>
      </c>
      <c r="F4451" s="27" t="str">
        <f>IFERROR(ABS(FV('Investment Calculator'!$C$7/'Investment Calculator'!$F$4,'SIP Schedule'!C4451,'SIP Schedule'!D4451,,1)),"")</f>
        <v/>
      </c>
    </row>
    <row r="4452" spans="3:6" x14ac:dyDescent="0.3">
      <c r="C4452" s="1" t="str">
        <f>IF(C4451&lt;'Investment Calculator'!$C$8*'Investment Calculator'!$F$4,'SIP Schedule'!C4451+1,"")</f>
        <v/>
      </c>
      <c r="D4452" s="27" t="str">
        <f>IF(C4452&lt;='Investment Calculator'!$C$8*'Investment Calculator'!$F$4,'Investment Calculator'!$C$6,"")</f>
        <v/>
      </c>
      <c r="E4452" s="27" t="str">
        <f>IFERROR((F4451+D4452)*'Investment Calculator'!$C$7/'Investment Calculator'!$F$4,"")</f>
        <v/>
      </c>
      <c r="F4452" s="27" t="str">
        <f>IFERROR(ABS(FV('Investment Calculator'!$C$7/'Investment Calculator'!$F$4,'SIP Schedule'!C4452,'SIP Schedule'!D4452,,1)),"")</f>
        <v/>
      </c>
    </row>
    <row r="4453" spans="3:6" x14ac:dyDescent="0.3">
      <c r="C4453" s="1" t="str">
        <f>IF(C4452&lt;'Investment Calculator'!$C$8*'Investment Calculator'!$F$4,'SIP Schedule'!C4452+1,"")</f>
        <v/>
      </c>
      <c r="D4453" s="27" t="str">
        <f>IF(C4453&lt;='Investment Calculator'!$C$8*'Investment Calculator'!$F$4,'Investment Calculator'!$C$6,"")</f>
        <v/>
      </c>
      <c r="E4453" s="27" t="str">
        <f>IFERROR((F4452+D4453)*'Investment Calculator'!$C$7/'Investment Calculator'!$F$4,"")</f>
        <v/>
      </c>
      <c r="F4453" s="27" t="str">
        <f>IFERROR(ABS(FV('Investment Calculator'!$C$7/'Investment Calculator'!$F$4,'SIP Schedule'!C4453,'SIP Schedule'!D4453,,1)),"")</f>
        <v/>
      </c>
    </row>
    <row r="4454" spans="3:6" x14ac:dyDescent="0.3">
      <c r="C4454" s="1" t="str">
        <f>IF(C4453&lt;'Investment Calculator'!$C$8*'Investment Calculator'!$F$4,'SIP Schedule'!C4453+1,"")</f>
        <v/>
      </c>
      <c r="D4454" s="27" t="str">
        <f>IF(C4454&lt;='Investment Calculator'!$C$8*'Investment Calculator'!$F$4,'Investment Calculator'!$C$6,"")</f>
        <v/>
      </c>
      <c r="E4454" s="27" t="str">
        <f>IFERROR((F4453+D4454)*'Investment Calculator'!$C$7/'Investment Calculator'!$F$4,"")</f>
        <v/>
      </c>
      <c r="F4454" s="27" t="str">
        <f>IFERROR(ABS(FV('Investment Calculator'!$C$7/'Investment Calculator'!$F$4,'SIP Schedule'!C4454,'SIP Schedule'!D4454,,1)),"")</f>
        <v/>
      </c>
    </row>
    <row r="4455" spans="3:6" x14ac:dyDescent="0.3">
      <c r="C4455" s="1" t="str">
        <f>IF(C4454&lt;'Investment Calculator'!$C$8*'Investment Calculator'!$F$4,'SIP Schedule'!C4454+1,"")</f>
        <v/>
      </c>
      <c r="D4455" s="27" t="str">
        <f>IF(C4455&lt;='Investment Calculator'!$C$8*'Investment Calculator'!$F$4,'Investment Calculator'!$C$6,"")</f>
        <v/>
      </c>
      <c r="E4455" s="27" t="str">
        <f>IFERROR((F4454+D4455)*'Investment Calculator'!$C$7/'Investment Calculator'!$F$4,"")</f>
        <v/>
      </c>
      <c r="F4455" s="27" t="str">
        <f>IFERROR(ABS(FV('Investment Calculator'!$C$7/'Investment Calculator'!$F$4,'SIP Schedule'!C4455,'SIP Schedule'!D4455,,1)),"")</f>
        <v/>
      </c>
    </row>
    <row r="4456" spans="3:6" x14ac:dyDescent="0.3">
      <c r="C4456" s="1" t="str">
        <f>IF(C4455&lt;'Investment Calculator'!$C$8*'Investment Calculator'!$F$4,'SIP Schedule'!C4455+1,"")</f>
        <v/>
      </c>
      <c r="D4456" s="27" t="str">
        <f>IF(C4456&lt;='Investment Calculator'!$C$8*'Investment Calculator'!$F$4,'Investment Calculator'!$C$6,"")</f>
        <v/>
      </c>
      <c r="E4456" s="27" t="str">
        <f>IFERROR((F4455+D4456)*'Investment Calculator'!$C$7/'Investment Calculator'!$F$4,"")</f>
        <v/>
      </c>
      <c r="F4456" s="27" t="str">
        <f>IFERROR(ABS(FV('Investment Calculator'!$C$7/'Investment Calculator'!$F$4,'SIP Schedule'!C4456,'SIP Schedule'!D4456,,1)),"")</f>
        <v/>
      </c>
    </row>
    <row r="4457" spans="3:6" x14ac:dyDescent="0.3">
      <c r="C4457" s="1" t="str">
        <f>IF(C4456&lt;'Investment Calculator'!$C$8*'Investment Calculator'!$F$4,'SIP Schedule'!C4456+1,"")</f>
        <v/>
      </c>
      <c r="D4457" s="27" t="str">
        <f>IF(C4457&lt;='Investment Calculator'!$C$8*'Investment Calculator'!$F$4,'Investment Calculator'!$C$6,"")</f>
        <v/>
      </c>
      <c r="E4457" s="27" t="str">
        <f>IFERROR((F4456+D4457)*'Investment Calculator'!$C$7/'Investment Calculator'!$F$4,"")</f>
        <v/>
      </c>
      <c r="F4457" s="27" t="str">
        <f>IFERROR(ABS(FV('Investment Calculator'!$C$7/'Investment Calculator'!$F$4,'SIP Schedule'!C4457,'SIP Schedule'!D4457,,1)),"")</f>
        <v/>
      </c>
    </row>
    <row r="4458" spans="3:6" x14ac:dyDescent="0.3">
      <c r="C4458" s="1" t="str">
        <f>IF(C4457&lt;'Investment Calculator'!$C$8*'Investment Calculator'!$F$4,'SIP Schedule'!C4457+1,"")</f>
        <v/>
      </c>
      <c r="D4458" s="27" t="str">
        <f>IF(C4458&lt;='Investment Calculator'!$C$8*'Investment Calculator'!$F$4,'Investment Calculator'!$C$6,"")</f>
        <v/>
      </c>
      <c r="E4458" s="27" t="str">
        <f>IFERROR((F4457+D4458)*'Investment Calculator'!$C$7/'Investment Calculator'!$F$4,"")</f>
        <v/>
      </c>
      <c r="F4458" s="27" t="str">
        <f>IFERROR(ABS(FV('Investment Calculator'!$C$7/'Investment Calculator'!$F$4,'SIP Schedule'!C4458,'SIP Schedule'!D4458,,1)),"")</f>
        <v/>
      </c>
    </row>
    <row r="4459" spans="3:6" x14ac:dyDescent="0.3">
      <c r="C4459" s="1" t="str">
        <f>IF(C4458&lt;'Investment Calculator'!$C$8*'Investment Calculator'!$F$4,'SIP Schedule'!C4458+1,"")</f>
        <v/>
      </c>
      <c r="D4459" s="27" t="str">
        <f>IF(C4459&lt;='Investment Calculator'!$C$8*'Investment Calculator'!$F$4,'Investment Calculator'!$C$6,"")</f>
        <v/>
      </c>
      <c r="E4459" s="27" t="str">
        <f>IFERROR((F4458+D4459)*'Investment Calculator'!$C$7/'Investment Calculator'!$F$4,"")</f>
        <v/>
      </c>
      <c r="F4459" s="27" t="str">
        <f>IFERROR(ABS(FV('Investment Calculator'!$C$7/'Investment Calculator'!$F$4,'SIP Schedule'!C4459,'SIP Schedule'!D4459,,1)),"")</f>
        <v/>
      </c>
    </row>
    <row r="4460" spans="3:6" x14ac:dyDescent="0.3">
      <c r="C4460" s="1" t="str">
        <f>IF(C4459&lt;'Investment Calculator'!$C$8*'Investment Calculator'!$F$4,'SIP Schedule'!C4459+1,"")</f>
        <v/>
      </c>
      <c r="D4460" s="27" t="str">
        <f>IF(C4460&lt;='Investment Calculator'!$C$8*'Investment Calculator'!$F$4,'Investment Calculator'!$C$6,"")</f>
        <v/>
      </c>
      <c r="E4460" s="27" t="str">
        <f>IFERROR((F4459+D4460)*'Investment Calculator'!$C$7/'Investment Calculator'!$F$4,"")</f>
        <v/>
      </c>
      <c r="F4460" s="27" t="str">
        <f>IFERROR(ABS(FV('Investment Calculator'!$C$7/'Investment Calculator'!$F$4,'SIP Schedule'!C4460,'SIP Schedule'!D4460,,1)),"")</f>
        <v/>
      </c>
    </row>
    <row r="4461" spans="3:6" x14ac:dyDescent="0.3">
      <c r="C4461" s="1" t="str">
        <f>IF(C4460&lt;'Investment Calculator'!$C$8*'Investment Calculator'!$F$4,'SIP Schedule'!C4460+1,"")</f>
        <v/>
      </c>
      <c r="D4461" s="27" t="str">
        <f>IF(C4461&lt;='Investment Calculator'!$C$8*'Investment Calculator'!$F$4,'Investment Calculator'!$C$6,"")</f>
        <v/>
      </c>
      <c r="E4461" s="27" t="str">
        <f>IFERROR((F4460+D4461)*'Investment Calculator'!$C$7/'Investment Calculator'!$F$4,"")</f>
        <v/>
      </c>
      <c r="F4461" s="27" t="str">
        <f>IFERROR(ABS(FV('Investment Calculator'!$C$7/'Investment Calculator'!$F$4,'SIP Schedule'!C4461,'SIP Schedule'!D4461,,1)),"")</f>
        <v/>
      </c>
    </row>
    <row r="4462" spans="3:6" x14ac:dyDescent="0.3">
      <c r="C4462" s="1" t="str">
        <f>IF(C4461&lt;'Investment Calculator'!$C$8*'Investment Calculator'!$F$4,'SIP Schedule'!C4461+1,"")</f>
        <v/>
      </c>
      <c r="D4462" s="27" t="str">
        <f>IF(C4462&lt;='Investment Calculator'!$C$8*'Investment Calculator'!$F$4,'Investment Calculator'!$C$6,"")</f>
        <v/>
      </c>
      <c r="E4462" s="27" t="str">
        <f>IFERROR((F4461+D4462)*'Investment Calculator'!$C$7/'Investment Calculator'!$F$4,"")</f>
        <v/>
      </c>
      <c r="F4462" s="27" t="str">
        <f>IFERROR(ABS(FV('Investment Calculator'!$C$7/'Investment Calculator'!$F$4,'SIP Schedule'!C4462,'SIP Schedule'!D4462,,1)),"")</f>
        <v/>
      </c>
    </row>
    <row r="4463" spans="3:6" x14ac:dyDescent="0.3">
      <c r="C4463" s="1" t="str">
        <f>IF(C4462&lt;'Investment Calculator'!$C$8*'Investment Calculator'!$F$4,'SIP Schedule'!C4462+1,"")</f>
        <v/>
      </c>
      <c r="D4463" s="27" t="str">
        <f>IF(C4463&lt;='Investment Calculator'!$C$8*'Investment Calculator'!$F$4,'Investment Calculator'!$C$6,"")</f>
        <v/>
      </c>
      <c r="E4463" s="27" t="str">
        <f>IFERROR((F4462+D4463)*'Investment Calculator'!$C$7/'Investment Calculator'!$F$4,"")</f>
        <v/>
      </c>
      <c r="F4463" s="27" t="str">
        <f>IFERROR(ABS(FV('Investment Calculator'!$C$7/'Investment Calculator'!$F$4,'SIP Schedule'!C4463,'SIP Schedule'!D4463,,1)),"")</f>
        <v/>
      </c>
    </row>
    <row r="4464" spans="3:6" x14ac:dyDescent="0.3">
      <c r="C4464" s="1" t="str">
        <f>IF(C4463&lt;'Investment Calculator'!$C$8*'Investment Calculator'!$F$4,'SIP Schedule'!C4463+1,"")</f>
        <v/>
      </c>
      <c r="D4464" s="27" t="str">
        <f>IF(C4464&lt;='Investment Calculator'!$C$8*'Investment Calculator'!$F$4,'Investment Calculator'!$C$6,"")</f>
        <v/>
      </c>
      <c r="E4464" s="27" t="str">
        <f>IFERROR((F4463+D4464)*'Investment Calculator'!$C$7/'Investment Calculator'!$F$4,"")</f>
        <v/>
      </c>
      <c r="F4464" s="27" t="str">
        <f>IFERROR(ABS(FV('Investment Calculator'!$C$7/'Investment Calculator'!$F$4,'SIP Schedule'!C4464,'SIP Schedule'!D4464,,1)),"")</f>
        <v/>
      </c>
    </row>
    <row r="4465" spans="3:6" x14ac:dyDescent="0.3">
      <c r="C4465" s="1" t="str">
        <f>IF(C4464&lt;'Investment Calculator'!$C$8*'Investment Calculator'!$F$4,'SIP Schedule'!C4464+1,"")</f>
        <v/>
      </c>
      <c r="D4465" s="27" t="str">
        <f>IF(C4465&lt;='Investment Calculator'!$C$8*'Investment Calculator'!$F$4,'Investment Calculator'!$C$6,"")</f>
        <v/>
      </c>
      <c r="E4465" s="27" t="str">
        <f>IFERROR((F4464+D4465)*'Investment Calculator'!$C$7/'Investment Calculator'!$F$4,"")</f>
        <v/>
      </c>
      <c r="F4465" s="27" t="str">
        <f>IFERROR(ABS(FV('Investment Calculator'!$C$7/'Investment Calculator'!$F$4,'SIP Schedule'!C4465,'SIP Schedule'!D4465,,1)),"")</f>
        <v/>
      </c>
    </row>
    <row r="4466" spans="3:6" x14ac:dyDescent="0.3">
      <c r="C4466" s="1" t="str">
        <f>IF(C4465&lt;'Investment Calculator'!$C$8*'Investment Calculator'!$F$4,'SIP Schedule'!C4465+1,"")</f>
        <v/>
      </c>
      <c r="D4466" s="27" t="str">
        <f>IF(C4466&lt;='Investment Calculator'!$C$8*'Investment Calculator'!$F$4,'Investment Calculator'!$C$6,"")</f>
        <v/>
      </c>
      <c r="E4466" s="27" t="str">
        <f>IFERROR((F4465+D4466)*'Investment Calculator'!$C$7/'Investment Calculator'!$F$4,"")</f>
        <v/>
      </c>
      <c r="F4466" s="27" t="str">
        <f>IFERROR(ABS(FV('Investment Calculator'!$C$7/'Investment Calculator'!$F$4,'SIP Schedule'!C4466,'SIP Schedule'!D4466,,1)),"")</f>
        <v/>
      </c>
    </row>
    <row r="4467" spans="3:6" x14ac:dyDescent="0.3">
      <c r="C4467" s="1" t="str">
        <f>IF(C4466&lt;'Investment Calculator'!$C$8*'Investment Calculator'!$F$4,'SIP Schedule'!C4466+1,"")</f>
        <v/>
      </c>
      <c r="D4467" s="27" t="str">
        <f>IF(C4467&lt;='Investment Calculator'!$C$8*'Investment Calculator'!$F$4,'Investment Calculator'!$C$6,"")</f>
        <v/>
      </c>
      <c r="E4467" s="27" t="str">
        <f>IFERROR((F4466+D4467)*'Investment Calculator'!$C$7/'Investment Calculator'!$F$4,"")</f>
        <v/>
      </c>
      <c r="F4467" s="27" t="str">
        <f>IFERROR(ABS(FV('Investment Calculator'!$C$7/'Investment Calculator'!$F$4,'SIP Schedule'!C4467,'SIP Schedule'!D4467,,1)),"")</f>
        <v/>
      </c>
    </row>
    <row r="4468" spans="3:6" x14ac:dyDescent="0.3">
      <c r="C4468" s="1" t="str">
        <f>IF(C4467&lt;'Investment Calculator'!$C$8*'Investment Calculator'!$F$4,'SIP Schedule'!C4467+1,"")</f>
        <v/>
      </c>
      <c r="D4468" s="27" t="str">
        <f>IF(C4468&lt;='Investment Calculator'!$C$8*'Investment Calculator'!$F$4,'Investment Calculator'!$C$6,"")</f>
        <v/>
      </c>
      <c r="E4468" s="27" t="str">
        <f>IFERROR((F4467+D4468)*'Investment Calculator'!$C$7/'Investment Calculator'!$F$4,"")</f>
        <v/>
      </c>
      <c r="F4468" s="27" t="str">
        <f>IFERROR(ABS(FV('Investment Calculator'!$C$7/'Investment Calculator'!$F$4,'SIP Schedule'!C4468,'SIP Schedule'!D4468,,1)),"")</f>
        <v/>
      </c>
    </row>
    <row r="4469" spans="3:6" x14ac:dyDescent="0.3">
      <c r="C4469" s="1" t="str">
        <f>IF(C4468&lt;'Investment Calculator'!$C$8*'Investment Calculator'!$F$4,'SIP Schedule'!C4468+1,"")</f>
        <v/>
      </c>
      <c r="D4469" s="27" t="str">
        <f>IF(C4469&lt;='Investment Calculator'!$C$8*'Investment Calculator'!$F$4,'Investment Calculator'!$C$6,"")</f>
        <v/>
      </c>
      <c r="E4469" s="27" t="str">
        <f>IFERROR((F4468+D4469)*'Investment Calculator'!$C$7/'Investment Calculator'!$F$4,"")</f>
        <v/>
      </c>
      <c r="F4469" s="27" t="str">
        <f>IFERROR(ABS(FV('Investment Calculator'!$C$7/'Investment Calculator'!$F$4,'SIP Schedule'!C4469,'SIP Schedule'!D4469,,1)),"")</f>
        <v/>
      </c>
    </row>
    <row r="4470" spans="3:6" x14ac:dyDescent="0.3">
      <c r="C4470" s="1" t="str">
        <f>IF(C4469&lt;'Investment Calculator'!$C$8*'Investment Calculator'!$F$4,'SIP Schedule'!C4469+1,"")</f>
        <v/>
      </c>
      <c r="D4470" s="27" t="str">
        <f>IF(C4470&lt;='Investment Calculator'!$C$8*'Investment Calculator'!$F$4,'Investment Calculator'!$C$6,"")</f>
        <v/>
      </c>
      <c r="E4470" s="27" t="str">
        <f>IFERROR((F4469+D4470)*'Investment Calculator'!$C$7/'Investment Calculator'!$F$4,"")</f>
        <v/>
      </c>
      <c r="F4470" s="27" t="str">
        <f>IFERROR(ABS(FV('Investment Calculator'!$C$7/'Investment Calculator'!$F$4,'SIP Schedule'!C4470,'SIP Schedule'!D4470,,1)),"")</f>
        <v/>
      </c>
    </row>
    <row r="4471" spans="3:6" x14ac:dyDescent="0.3">
      <c r="C4471" s="1" t="str">
        <f>IF(C4470&lt;'Investment Calculator'!$C$8*'Investment Calculator'!$F$4,'SIP Schedule'!C4470+1,"")</f>
        <v/>
      </c>
      <c r="D4471" s="27" t="str">
        <f>IF(C4471&lt;='Investment Calculator'!$C$8*'Investment Calculator'!$F$4,'Investment Calculator'!$C$6,"")</f>
        <v/>
      </c>
      <c r="E4471" s="27" t="str">
        <f>IFERROR((F4470+D4471)*'Investment Calculator'!$C$7/'Investment Calculator'!$F$4,"")</f>
        <v/>
      </c>
      <c r="F4471" s="27" t="str">
        <f>IFERROR(ABS(FV('Investment Calculator'!$C$7/'Investment Calculator'!$F$4,'SIP Schedule'!C4471,'SIP Schedule'!D4471,,1)),"")</f>
        <v/>
      </c>
    </row>
    <row r="4472" spans="3:6" x14ac:dyDescent="0.3">
      <c r="C4472" s="1" t="str">
        <f>IF(C4471&lt;'Investment Calculator'!$C$8*'Investment Calculator'!$F$4,'SIP Schedule'!C4471+1,"")</f>
        <v/>
      </c>
      <c r="D4472" s="27" t="str">
        <f>IF(C4472&lt;='Investment Calculator'!$C$8*'Investment Calculator'!$F$4,'Investment Calculator'!$C$6,"")</f>
        <v/>
      </c>
      <c r="E4472" s="27" t="str">
        <f>IFERROR((F4471+D4472)*'Investment Calculator'!$C$7/'Investment Calculator'!$F$4,"")</f>
        <v/>
      </c>
      <c r="F4472" s="27" t="str">
        <f>IFERROR(ABS(FV('Investment Calculator'!$C$7/'Investment Calculator'!$F$4,'SIP Schedule'!C4472,'SIP Schedule'!D4472,,1)),"")</f>
        <v/>
      </c>
    </row>
    <row r="4473" spans="3:6" x14ac:dyDescent="0.3">
      <c r="C4473" s="1" t="str">
        <f>IF(C4472&lt;'Investment Calculator'!$C$8*'Investment Calculator'!$F$4,'SIP Schedule'!C4472+1,"")</f>
        <v/>
      </c>
      <c r="D4473" s="27" t="str">
        <f>IF(C4473&lt;='Investment Calculator'!$C$8*'Investment Calculator'!$F$4,'Investment Calculator'!$C$6,"")</f>
        <v/>
      </c>
      <c r="E4473" s="27" t="str">
        <f>IFERROR((F4472+D4473)*'Investment Calculator'!$C$7/'Investment Calculator'!$F$4,"")</f>
        <v/>
      </c>
      <c r="F4473" s="27" t="str">
        <f>IFERROR(ABS(FV('Investment Calculator'!$C$7/'Investment Calculator'!$F$4,'SIP Schedule'!C4473,'SIP Schedule'!D4473,,1)),"")</f>
        <v/>
      </c>
    </row>
    <row r="4474" spans="3:6" x14ac:dyDescent="0.3">
      <c r="C4474" s="1" t="str">
        <f>IF(C4473&lt;'Investment Calculator'!$C$8*'Investment Calculator'!$F$4,'SIP Schedule'!C4473+1,"")</f>
        <v/>
      </c>
      <c r="D4474" s="27" t="str">
        <f>IF(C4474&lt;='Investment Calculator'!$C$8*'Investment Calculator'!$F$4,'Investment Calculator'!$C$6,"")</f>
        <v/>
      </c>
      <c r="E4474" s="27" t="str">
        <f>IFERROR((F4473+D4474)*'Investment Calculator'!$C$7/'Investment Calculator'!$F$4,"")</f>
        <v/>
      </c>
      <c r="F4474" s="27" t="str">
        <f>IFERROR(ABS(FV('Investment Calculator'!$C$7/'Investment Calculator'!$F$4,'SIP Schedule'!C4474,'SIP Schedule'!D4474,,1)),"")</f>
        <v/>
      </c>
    </row>
    <row r="4475" spans="3:6" x14ac:dyDescent="0.3">
      <c r="C4475" s="1" t="str">
        <f>IF(C4474&lt;'Investment Calculator'!$C$8*'Investment Calculator'!$F$4,'SIP Schedule'!C4474+1,"")</f>
        <v/>
      </c>
      <c r="D4475" s="27" t="str">
        <f>IF(C4475&lt;='Investment Calculator'!$C$8*'Investment Calculator'!$F$4,'Investment Calculator'!$C$6,"")</f>
        <v/>
      </c>
      <c r="E4475" s="27" t="str">
        <f>IFERROR((F4474+D4475)*'Investment Calculator'!$C$7/'Investment Calculator'!$F$4,"")</f>
        <v/>
      </c>
      <c r="F4475" s="27" t="str">
        <f>IFERROR(ABS(FV('Investment Calculator'!$C$7/'Investment Calculator'!$F$4,'SIP Schedule'!C4475,'SIP Schedule'!D4475,,1)),"")</f>
        <v/>
      </c>
    </row>
    <row r="4476" spans="3:6" x14ac:dyDescent="0.3">
      <c r="C4476" s="1" t="str">
        <f>IF(C4475&lt;'Investment Calculator'!$C$8*'Investment Calculator'!$F$4,'SIP Schedule'!C4475+1,"")</f>
        <v/>
      </c>
      <c r="D4476" s="27" t="str">
        <f>IF(C4476&lt;='Investment Calculator'!$C$8*'Investment Calculator'!$F$4,'Investment Calculator'!$C$6,"")</f>
        <v/>
      </c>
      <c r="E4476" s="27" t="str">
        <f>IFERROR((F4475+D4476)*'Investment Calculator'!$C$7/'Investment Calculator'!$F$4,"")</f>
        <v/>
      </c>
      <c r="F4476" s="27" t="str">
        <f>IFERROR(ABS(FV('Investment Calculator'!$C$7/'Investment Calculator'!$F$4,'SIP Schedule'!C4476,'SIP Schedule'!D4476,,1)),"")</f>
        <v/>
      </c>
    </row>
    <row r="4477" spans="3:6" x14ac:dyDescent="0.3">
      <c r="C4477" s="1" t="str">
        <f>IF(C4476&lt;'Investment Calculator'!$C$8*'Investment Calculator'!$F$4,'SIP Schedule'!C4476+1,"")</f>
        <v/>
      </c>
      <c r="D4477" s="27" t="str">
        <f>IF(C4477&lt;='Investment Calculator'!$C$8*'Investment Calculator'!$F$4,'Investment Calculator'!$C$6,"")</f>
        <v/>
      </c>
      <c r="E4477" s="27" t="str">
        <f>IFERROR((F4476+D4477)*'Investment Calculator'!$C$7/'Investment Calculator'!$F$4,"")</f>
        <v/>
      </c>
      <c r="F4477" s="27" t="str">
        <f>IFERROR(ABS(FV('Investment Calculator'!$C$7/'Investment Calculator'!$F$4,'SIP Schedule'!C4477,'SIP Schedule'!D4477,,1)),"")</f>
        <v/>
      </c>
    </row>
    <row r="4478" spans="3:6" x14ac:dyDescent="0.3">
      <c r="C4478" s="1" t="str">
        <f>IF(C4477&lt;'Investment Calculator'!$C$8*'Investment Calculator'!$F$4,'SIP Schedule'!C4477+1,"")</f>
        <v/>
      </c>
      <c r="D4478" s="27" t="str">
        <f>IF(C4478&lt;='Investment Calculator'!$C$8*'Investment Calculator'!$F$4,'Investment Calculator'!$C$6,"")</f>
        <v/>
      </c>
      <c r="E4478" s="27" t="str">
        <f>IFERROR((F4477+D4478)*'Investment Calculator'!$C$7/'Investment Calculator'!$F$4,"")</f>
        <v/>
      </c>
      <c r="F4478" s="27" t="str">
        <f>IFERROR(ABS(FV('Investment Calculator'!$C$7/'Investment Calculator'!$F$4,'SIP Schedule'!C4478,'SIP Schedule'!D4478,,1)),"")</f>
        <v/>
      </c>
    </row>
    <row r="4479" spans="3:6" x14ac:dyDescent="0.3">
      <c r="C4479" s="1" t="str">
        <f>IF(C4478&lt;'Investment Calculator'!$C$8*'Investment Calculator'!$F$4,'SIP Schedule'!C4478+1,"")</f>
        <v/>
      </c>
      <c r="D4479" s="27" t="str">
        <f>IF(C4479&lt;='Investment Calculator'!$C$8*'Investment Calculator'!$F$4,'Investment Calculator'!$C$6,"")</f>
        <v/>
      </c>
      <c r="E4479" s="27" t="str">
        <f>IFERROR((F4478+D4479)*'Investment Calculator'!$C$7/'Investment Calculator'!$F$4,"")</f>
        <v/>
      </c>
      <c r="F4479" s="27" t="str">
        <f>IFERROR(ABS(FV('Investment Calculator'!$C$7/'Investment Calculator'!$F$4,'SIP Schedule'!C4479,'SIP Schedule'!D4479,,1)),"")</f>
        <v/>
      </c>
    </row>
    <row r="4480" spans="3:6" x14ac:dyDescent="0.3">
      <c r="C4480" s="1" t="str">
        <f>IF(C4479&lt;'Investment Calculator'!$C$8*'Investment Calculator'!$F$4,'SIP Schedule'!C4479+1,"")</f>
        <v/>
      </c>
      <c r="D4480" s="27" t="str">
        <f>IF(C4480&lt;='Investment Calculator'!$C$8*'Investment Calculator'!$F$4,'Investment Calculator'!$C$6,"")</f>
        <v/>
      </c>
      <c r="E4480" s="27" t="str">
        <f>IFERROR((F4479+D4480)*'Investment Calculator'!$C$7/'Investment Calculator'!$F$4,"")</f>
        <v/>
      </c>
      <c r="F4480" s="27" t="str">
        <f>IFERROR(ABS(FV('Investment Calculator'!$C$7/'Investment Calculator'!$F$4,'SIP Schedule'!C4480,'SIP Schedule'!D4480,,1)),"")</f>
        <v/>
      </c>
    </row>
    <row r="4481" spans="3:6" x14ac:dyDescent="0.3">
      <c r="C4481" s="1" t="str">
        <f>IF(C4480&lt;'Investment Calculator'!$C$8*'Investment Calculator'!$F$4,'SIP Schedule'!C4480+1,"")</f>
        <v/>
      </c>
      <c r="D4481" s="27" t="str">
        <f>IF(C4481&lt;='Investment Calculator'!$C$8*'Investment Calculator'!$F$4,'Investment Calculator'!$C$6,"")</f>
        <v/>
      </c>
      <c r="E4481" s="27" t="str">
        <f>IFERROR((F4480+D4481)*'Investment Calculator'!$C$7/'Investment Calculator'!$F$4,"")</f>
        <v/>
      </c>
      <c r="F4481" s="27" t="str">
        <f>IFERROR(ABS(FV('Investment Calculator'!$C$7/'Investment Calculator'!$F$4,'SIP Schedule'!C4481,'SIP Schedule'!D4481,,1)),"")</f>
        <v/>
      </c>
    </row>
    <row r="4482" spans="3:6" x14ac:dyDescent="0.3">
      <c r="C4482" s="1" t="str">
        <f>IF(C4481&lt;'Investment Calculator'!$C$8*'Investment Calculator'!$F$4,'SIP Schedule'!C4481+1,"")</f>
        <v/>
      </c>
      <c r="D4482" s="27" t="str">
        <f>IF(C4482&lt;='Investment Calculator'!$C$8*'Investment Calculator'!$F$4,'Investment Calculator'!$C$6,"")</f>
        <v/>
      </c>
      <c r="E4482" s="27" t="str">
        <f>IFERROR((F4481+D4482)*'Investment Calculator'!$C$7/'Investment Calculator'!$F$4,"")</f>
        <v/>
      </c>
      <c r="F4482" s="27" t="str">
        <f>IFERROR(ABS(FV('Investment Calculator'!$C$7/'Investment Calculator'!$F$4,'SIP Schedule'!C4482,'SIP Schedule'!D4482,,1)),"")</f>
        <v/>
      </c>
    </row>
    <row r="4483" spans="3:6" x14ac:dyDescent="0.3">
      <c r="C4483" s="1" t="str">
        <f>IF(C4482&lt;'Investment Calculator'!$C$8*'Investment Calculator'!$F$4,'SIP Schedule'!C4482+1,"")</f>
        <v/>
      </c>
      <c r="D4483" s="27" t="str">
        <f>IF(C4483&lt;='Investment Calculator'!$C$8*'Investment Calculator'!$F$4,'Investment Calculator'!$C$6,"")</f>
        <v/>
      </c>
      <c r="E4483" s="27" t="str">
        <f>IFERROR((F4482+D4483)*'Investment Calculator'!$C$7/'Investment Calculator'!$F$4,"")</f>
        <v/>
      </c>
      <c r="F4483" s="27" t="str">
        <f>IFERROR(ABS(FV('Investment Calculator'!$C$7/'Investment Calculator'!$F$4,'SIP Schedule'!C4483,'SIP Schedule'!D4483,,1)),"")</f>
        <v/>
      </c>
    </row>
    <row r="4484" spans="3:6" x14ac:dyDescent="0.3">
      <c r="C4484" s="1" t="str">
        <f>IF(C4483&lt;'Investment Calculator'!$C$8*'Investment Calculator'!$F$4,'SIP Schedule'!C4483+1,"")</f>
        <v/>
      </c>
      <c r="D4484" s="27" t="str">
        <f>IF(C4484&lt;='Investment Calculator'!$C$8*'Investment Calculator'!$F$4,'Investment Calculator'!$C$6,"")</f>
        <v/>
      </c>
      <c r="E4484" s="27" t="str">
        <f>IFERROR((F4483+D4484)*'Investment Calculator'!$C$7/'Investment Calculator'!$F$4,"")</f>
        <v/>
      </c>
      <c r="F4484" s="27" t="str">
        <f>IFERROR(ABS(FV('Investment Calculator'!$C$7/'Investment Calculator'!$F$4,'SIP Schedule'!C4484,'SIP Schedule'!D4484,,1)),"")</f>
        <v/>
      </c>
    </row>
    <row r="4485" spans="3:6" x14ac:dyDescent="0.3">
      <c r="C4485" s="1" t="str">
        <f>IF(C4484&lt;'Investment Calculator'!$C$8*'Investment Calculator'!$F$4,'SIP Schedule'!C4484+1,"")</f>
        <v/>
      </c>
      <c r="D4485" s="27" t="str">
        <f>IF(C4485&lt;='Investment Calculator'!$C$8*'Investment Calculator'!$F$4,'Investment Calculator'!$C$6,"")</f>
        <v/>
      </c>
      <c r="E4485" s="27" t="str">
        <f>IFERROR((F4484+D4485)*'Investment Calculator'!$C$7/'Investment Calculator'!$F$4,"")</f>
        <v/>
      </c>
      <c r="F4485" s="27" t="str">
        <f>IFERROR(ABS(FV('Investment Calculator'!$C$7/'Investment Calculator'!$F$4,'SIP Schedule'!C4485,'SIP Schedule'!D4485,,1)),"")</f>
        <v/>
      </c>
    </row>
    <row r="4486" spans="3:6" x14ac:dyDescent="0.3">
      <c r="C4486" s="1" t="str">
        <f>IF(C4485&lt;'Investment Calculator'!$C$8*'Investment Calculator'!$F$4,'SIP Schedule'!C4485+1,"")</f>
        <v/>
      </c>
      <c r="D4486" s="27" t="str">
        <f>IF(C4486&lt;='Investment Calculator'!$C$8*'Investment Calculator'!$F$4,'Investment Calculator'!$C$6,"")</f>
        <v/>
      </c>
      <c r="E4486" s="27" t="str">
        <f>IFERROR((F4485+D4486)*'Investment Calculator'!$C$7/'Investment Calculator'!$F$4,"")</f>
        <v/>
      </c>
      <c r="F4486" s="27" t="str">
        <f>IFERROR(ABS(FV('Investment Calculator'!$C$7/'Investment Calculator'!$F$4,'SIP Schedule'!C4486,'SIP Schedule'!D4486,,1)),"")</f>
        <v/>
      </c>
    </row>
    <row r="4487" spans="3:6" x14ac:dyDescent="0.3">
      <c r="C4487" s="1" t="str">
        <f>IF(C4486&lt;'Investment Calculator'!$C$8*'Investment Calculator'!$F$4,'SIP Schedule'!C4486+1,"")</f>
        <v/>
      </c>
      <c r="D4487" s="27" t="str">
        <f>IF(C4487&lt;='Investment Calculator'!$C$8*'Investment Calculator'!$F$4,'Investment Calculator'!$C$6,"")</f>
        <v/>
      </c>
      <c r="E4487" s="27" t="str">
        <f>IFERROR((F4486+D4487)*'Investment Calculator'!$C$7/'Investment Calculator'!$F$4,"")</f>
        <v/>
      </c>
      <c r="F4487" s="27" t="str">
        <f>IFERROR(ABS(FV('Investment Calculator'!$C$7/'Investment Calculator'!$F$4,'SIP Schedule'!C4487,'SIP Schedule'!D4487,,1)),"")</f>
        <v/>
      </c>
    </row>
    <row r="4488" spans="3:6" x14ac:dyDescent="0.3">
      <c r="C4488" s="1" t="str">
        <f>IF(C4487&lt;'Investment Calculator'!$C$8*'Investment Calculator'!$F$4,'SIP Schedule'!C4487+1,"")</f>
        <v/>
      </c>
      <c r="D4488" s="27" t="str">
        <f>IF(C4488&lt;='Investment Calculator'!$C$8*'Investment Calculator'!$F$4,'Investment Calculator'!$C$6,"")</f>
        <v/>
      </c>
      <c r="E4488" s="27" t="str">
        <f>IFERROR((F4487+D4488)*'Investment Calculator'!$C$7/'Investment Calculator'!$F$4,"")</f>
        <v/>
      </c>
      <c r="F4488" s="27" t="str">
        <f>IFERROR(ABS(FV('Investment Calculator'!$C$7/'Investment Calculator'!$F$4,'SIP Schedule'!C4488,'SIP Schedule'!D4488,,1)),"")</f>
        <v/>
      </c>
    </row>
    <row r="4489" spans="3:6" x14ac:dyDescent="0.3">
      <c r="C4489" s="1" t="str">
        <f>IF(C4488&lt;'Investment Calculator'!$C$8*'Investment Calculator'!$F$4,'SIP Schedule'!C4488+1,"")</f>
        <v/>
      </c>
      <c r="D4489" s="27" t="str">
        <f>IF(C4489&lt;='Investment Calculator'!$C$8*'Investment Calculator'!$F$4,'Investment Calculator'!$C$6,"")</f>
        <v/>
      </c>
      <c r="E4489" s="27" t="str">
        <f>IFERROR((F4488+D4489)*'Investment Calculator'!$C$7/'Investment Calculator'!$F$4,"")</f>
        <v/>
      </c>
      <c r="F4489" s="27" t="str">
        <f>IFERROR(ABS(FV('Investment Calculator'!$C$7/'Investment Calculator'!$F$4,'SIP Schedule'!C4489,'SIP Schedule'!D4489,,1)),"")</f>
        <v/>
      </c>
    </row>
    <row r="4490" spans="3:6" x14ac:dyDescent="0.3">
      <c r="C4490" s="1" t="str">
        <f>IF(C4489&lt;'Investment Calculator'!$C$8*'Investment Calculator'!$F$4,'SIP Schedule'!C4489+1,"")</f>
        <v/>
      </c>
      <c r="D4490" s="27" t="str">
        <f>IF(C4490&lt;='Investment Calculator'!$C$8*'Investment Calculator'!$F$4,'Investment Calculator'!$C$6,"")</f>
        <v/>
      </c>
      <c r="E4490" s="27" t="str">
        <f>IFERROR((F4489+D4490)*'Investment Calculator'!$C$7/'Investment Calculator'!$F$4,"")</f>
        <v/>
      </c>
      <c r="F4490" s="27" t="str">
        <f>IFERROR(ABS(FV('Investment Calculator'!$C$7/'Investment Calculator'!$F$4,'SIP Schedule'!C4490,'SIP Schedule'!D4490,,1)),"")</f>
        <v/>
      </c>
    </row>
    <row r="4491" spans="3:6" x14ac:dyDescent="0.3">
      <c r="C4491" s="1" t="str">
        <f>IF(C4490&lt;'Investment Calculator'!$C$8*'Investment Calculator'!$F$4,'SIP Schedule'!C4490+1,"")</f>
        <v/>
      </c>
      <c r="D4491" s="27" t="str">
        <f>IF(C4491&lt;='Investment Calculator'!$C$8*'Investment Calculator'!$F$4,'Investment Calculator'!$C$6,"")</f>
        <v/>
      </c>
      <c r="E4491" s="27" t="str">
        <f>IFERROR((F4490+D4491)*'Investment Calculator'!$C$7/'Investment Calculator'!$F$4,"")</f>
        <v/>
      </c>
      <c r="F4491" s="27" t="str">
        <f>IFERROR(ABS(FV('Investment Calculator'!$C$7/'Investment Calculator'!$F$4,'SIP Schedule'!C4491,'SIP Schedule'!D4491,,1)),"")</f>
        <v/>
      </c>
    </row>
    <row r="4492" spans="3:6" x14ac:dyDescent="0.3">
      <c r="C4492" s="1" t="str">
        <f>IF(C4491&lt;'Investment Calculator'!$C$8*'Investment Calculator'!$F$4,'SIP Schedule'!C4491+1,"")</f>
        <v/>
      </c>
      <c r="D4492" s="27" t="str">
        <f>IF(C4492&lt;='Investment Calculator'!$C$8*'Investment Calculator'!$F$4,'Investment Calculator'!$C$6,"")</f>
        <v/>
      </c>
      <c r="E4492" s="27" t="str">
        <f>IFERROR((F4491+D4492)*'Investment Calculator'!$C$7/'Investment Calculator'!$F$4,"")</f>
        <v/>
      </c>
      <c r="F4492" s="27" t="str">
        <f>IFERROR(ABS(FV('Investment Calculator'!$C$7/'Investment Calculator'!$F$4,'SIP Schedule'!C4492,'SIP Schedule'!D4492,,1)),"")</f>
        <v/>
      </c>
    </row>
    <row r="4493" spans="3:6" x14ac:dyDescent="0.3">
      <c r="C4493" s="1" t="str">
        <f>IF(C4492&lt;'Investment Calculator'!$C$8*'Investment Calculator'!$F$4,'SIP Schedule'!C4492+1,"")</f>
        <v/>
      </c>
      <c r="D4493" s="27" t="str">
        <f>IF(C4493&lt;='Investment Calculator'!$C$8*'Investment Calculator'!$F$4,'Investment Calculator'!$C$6,"")</f>
        <v/>
      </c>
      <c r="E4493" s="27" t="str">
        <f>IFERROR((F4492+D4493)*'Investment Calculator'!$C$7/'Investment Calculator'!$F$4,"")</f>
        <v/>
      </c>
      <c r="F4493" s="27" t="str">
        <f>IFERROR(ABS(FV('Investment Calculator'!$C$7/'Investment Calculator'!$F$4,'SIP Schedule'!C4493,'SIP Schedule'!D4493,,1)),"")</f>
        <v/>
      </c>
    </row>
    <row r="4494" spans="3:6" x14ac:dyDescent="0.3">
      <c r="C4494" s="1" t="str">
        <f>IF(C4493&lt;'Investment Calculator'!$C$8*'Investment Calculator'!$F$4,'SIP Schedule'!C4493+1,"")</f>
        <v/>
      </c>
      <c r="D4494" s="27" t="str">
        <f>IF(C4494&lt;='Investment Calculator'!$C$8*'Investment Calculator'!$F$4,'Investment Calculator'!$C$6,"")</f>
        <v/>
      </c>
      <c r="E4494" s="27" t="str">
        <f>IFERROR((F4493+D4494)*'Investment Calculator'!$C$7/'Investment Calculator'!$F$4,"")</f>
        <v/>
      </c>
      <c r="F4494" s="27" t="str">
        <f>IFERROR(ABS(FV('Investment Calculator'!$C$7/'Investment Calculator'!$F$4,'SIP Schedule'!C4494,'SIP Schedule'!D4494,,1)),"")</f>
        <v/>
      </c>
    </row>
    <row r="4495" spans="3:6" x14ac:dyDescent="0.3">
      <c r="C4495" s="1" t="str">
        <f>IF(C4494&lt;'Investment Calculator'!$C$8*'Investment Calculator'!$F$4,'SIP Schedule'!C4494+1,"")</f>
        <v/>
      </c>
      <c r="D4495" s="27" t="str">
        <f>IF(C4495&lt;='Investment Calculator'!$C$8*'Investment Calculator'!$F$4,'Investment Calculator'!$C$6,"")</f>
        <v/>
      </c>
      <c r="E4495" s="27" t="str">
        <f>IFERROR((F4494+D4495)*'Investment Calculator'!$C$7/'Investment Calculator'!$F$4,"")</f>
        <v/>
      </c>
      <c r="F4495" s="27" t="str">
        <f>IFERROR(ABS(FV('Investment Calculator'!$C$7/'Investment Calculator'!$F$4,'SIP Schedule'!C4495,'SIP Schedule'!D4495,,1)),"")</f>
        <v/>
      </c>
    </row>
    <row r="4496" spans="3:6" x14ac:dyDescent="0.3">
      <c r="C4496" s="1" t="str">
        <f>IF(C4495&lt;'Investment Calculator'!$C$8*'Investment Calculator'!$F$4,'SIP Schedule'!C4495+1,"")</f>
        <v/>
      </c>
      <c r="D4496" s="27" t="str">
        <f>IF(C4496&lt;='Investment Calculator'!$C$8*'Investment Calculator'!$F$4,'Investment Calculator'!$C$6,"")</f>
        <v/>
      </c>
      <c r="E4496" s="27" t="str">
        <f>IFERROR((F4495+D4496)*'Investment Calculator'!$C$7/'Investment Calculator'!$F$4,"")</f>
        <v/>
      </c>
      <c r="F4496" s="27" t="str">
        <f>IFERROR(ABS(FV('Investment Calculator'!$C$7/'Investment Calculator'!$F$4,'SIP Schedule'!C4496,'SIP Schedule'!D4496,,1)),"")</f>
        <v/>
      </c>
    </row>
    <row r="4497" spans="3:6" x14ac:dyDescent="0.3">
      <c r="C4497" s="1" t="str">
        <f>IF(C4496&lt;'Investment Calculator'!$C$8*'Investment Calculator'!$F$4,'SIP Schedule'!C4496+1,"")</f>
        <v/>
      </c>
      <c r="D4497" s="27" t="str">
        <f>IF(C4497&lt;='Investment Calculator'!$C$8*'Investment Calculator'!$F$4,'Investment Calculator'!$C$6,"")</f>
        <v/>
      </c>
      <c r="E4497" s="27" t="str">
        <f>IFERROR((F4496+D4497)*'Investment Calculator'!$C$7/'Investment Calculator'!$F$4,"")</f>
        <v/>
      </c>
      <c r="F4497" s="27" t="str">
        <f>IFERROR(ABS(FV('Investment Calculator'!$C$7/'Investment Calculator'!$F$4,'SIP Schedule'!C4497,'SIP Schedule'!D4497,,1)),"")</f>
        <v/>
      </c>
    </row>
    <row r="4498" spans="3:6" x14ac:dyDescent="0.3">
      <c r="C4498" s="1" t="str">
        <f>IF(C4497&lt;'Investment Calculator'!$C$8*'Investment Calculator'!$F$4,'SIP Schedule'!C4497+1,"")</f>
        <v/>
      </c>
      <c r="D4498" s="27" t="str">
        <f>IF(C4498&lt;='Investment Calculator'!$C$8*'Investment Calculator'!$F$4,'Investment Calculator'!$C$6,"")</f>
        <v/>
      </c>
      <c r="E4498" s="27" t="str">
        <f>IFERROR((F4497+D4498)*'Investment Calculator'!$C$7/'Investment Calculator'!$F$4,"")</f>
        <v/>
      </c>
      <c r="F4498" s="27" t="str">
        <f>IFERROR(ABS(FV('Investment Calculator'!$C$7/'Investment Calculator'!$F$4,'SIP Schedule'!C4498,'SIP Schedule'!D4498,,1)),"")</f>
        <v/>
      </c>
    </row>
    <row r="4499" spans="3:6" x14ac:dyDescent="0.3">
      <c r="C4499" s="1" t="str">
        <f>IF(C4498&lt;'Investment Calculator'!$C$8*'Investment Calculator'!$F$4,'SIP Schedule'!C4498+1,"")</f>
        <v/>
      </c>
      <c r="D4499" s="27" t="str">
        <f>IF(C4499&lt;='Investment Calculator'!$C$8*'Investment Calculator'!$F$4,'Investment Calculator'!$C$6,"")</f>
        <v/>
      </c>
      <c r="E4499" s="27" t="str">
        <f>IFERROR((F4498+D4499)*'Investment Calculator'!$C$7/'Investment Calculator'!$F$4,"")</f>
        <v/>
      </c>
      <c r="F4499" s="27" t="str">
        <f>IFERROR(ABS(FV('Investment Calculator'!$C$7/'Investment Calculator'!$F$4,'SIP Schedule'!C4499,'SIP Schedule'!D4499,,1)),"")</f>
        <v/>
      </c>
    </row>
    <row r="4500" spans="3:6" x14ac:dyDescent="0.3">
      <c r="C4500" s="1" t="str">
        <f>IF(C4499&lt;'Investment Calculator'!$C$8*'Investment Calculator'!$F$4,'SIP Schedule'!C4499+1,"")</f>
        <v/>
      </c>
      <c r="D4500" s="27" t="str">
        <f>IF(C4500&lt;='Investment Calculator'!$C$8*'Investment Calculator'!$F$4,'Investment Calculator'!$C$6,"")</f>
        <v/>
      </c>
      <c r="E4500" s="27" t="str">
        <f>IFERROR((F4499+D4500)*'Investment Calculator'!$C$7/'Investment Calculator'!$F$4,"")</f>
        <v/>
      </c>
      <c r="F4500" s="27" t="str">
        <f>IFERROR(ABS(FV('Investment Calculator'!$C$7/'Investment Calculator'!$F$4,'SIP Schedule'!C4500,'SIP Schedule'!D4500,,1)),"")</f>
        <v/>
      </c>
    </row>
    <row r="4501" spans="3:6" x14ac:dyDescent="0.3">
      <c r="C4501" s="1" t="str">
        <f>IF(C4500&lt;'Investment Calculator'!$C$8*'Investment Calculator'!$F$4,'SIP Schedule'!C4500+1,"")</f>
        <v/>
      </c>
      <c r="D4501" s="27" t="str">
        <f>IF(C4501&lt;='Investment Calculator'!$C$8*'Investment Calculator'!$F$4,'Investment Calculator'!$C$6,"")</f>
        <v/>
      </c>
      <c r="E4501" s="27" t="str">
        <f>IFERROR((F4500+D4501)*'Investment Calculator'!$C$7/'Investment Calculator'!$F$4,"")</f>
        <v/>
      </c>
      <c r="F4501" s="27" t="str">
        <f>IFERROR(ABS(FV('Investment Calculator'!$C$7/'Investment Calculator'!$F$4,'SIP Schedule'!C4501,'SIP Schedule'!D4501,,1)),"")</f>
        <v/>
      </c>
    </row>
    <row r="4502" spans="3:6" x14ac:dyDescent="0.3">
      <c r="C4502" s="1" t="str">
        <f>IF(C4501&lt;'Investment Calculator'!$C$8*'Investment Calculator'!$F$4,'SIP Schedule'!C4501+1,"")</f>
        <v/>
      </c>
      <c r="D4502" s="27" t="str">
        <f>IF(C4502&lt;='Investment Calculator'!$C$8*'Investment Calculator'!$F$4,'Investment Calculator'!$C$6,"")</f>
        <v/>
      </c>
      <c r="E4502" s="27" t="str">
        <f>IFERROR((F4501+D4502)*'Investment Calculator'!$C$7/'Investment Calculator'!$F$4,"")</f>
        <v/>
      </c>
      <c r="F4502" s="27" t="str">
        <f>IFERROR(ABS(FV('Investment Calculator'!$C$7/'Investment Calculator'!$F$4,'SIP Schedule'!C4502,'SIP Schedule'!D4502,,1)),"")</f>
        <v/>
      </c>
    </row>
    <row r="4503" spans="3:6" x14ac:dyDescent="0.3">
      <c r="C4503" s="1" t="str">
        <f>IF(C4502&lt;'Investment Calculator'!$C$8*'Investment Calculator'!$F$4,'SIP Schedule'!C4502+1,"")</f>
        <v/>
      </c>
      <c r="D4503" s="27" t="str">
        <f>IF(C4503&lt;='Investment Calculator'!$C$8*'Investment Calculator'!$F$4,'Investment Calculator'!$C$6,"")</f>
        <v/>
      </c>
      <c r="E4503" s="27" t="str">
        <f>IFERROR((F4502+D4503)*'Investment Calculator'!$C$7/'Investment Calculator'!$F$4,"")</f>
        <v/>
      </c>
      <c r="F4503" s="27" t="str">
        <f>IFERROR(ABS(FV('Investment Calculator'!$C$7/'Investment Calculator'!$F$4,'SIP Schedule'!C4503,'SIP Schedule'!D4503,,1)),"")</f>
        <v/>
      </c>
    </row>
    <row r="4504" spans="3:6" x14ac:dyDescent="0.3">
      <c r="C4504" s="1" t="str">
        <f>IF(C4503&lt;'Investment Calculator'!$C$8*'Investment Calculator'!$F$4,'SIP Schedule'!C4503+1,"")</f>
        <v/>
      </c>
      <c r="D4504" s="27" t="str">
        <f>IF(C4504&lt;='Investment Calculator'!$C$8*'Investment Calculator'!$F$4,'Investment Calculator'!$C$6,"")</f>
        <v/>
      </c>
      <c r="E4504" s="27" t="str">
        <f>IFERROR((F4503+D4504)*'Investment Calculator'!$C$7/'Investment Calculator'!$F$4,"")</f>
        <v/>
      </c>
      <c r="F4504" s="27" t="str">
        <f>IFERROR(ABS(FV('Investment Calculator'!$C$7/'Investment Calculator'!$F$4,'SIP Schedule'!C4504,'SIP Schedule'!D4504,,1)),"")</f>
        <v/>
      </c>
    </row>
    <row r="4505" spans="3:6" x14ac:dyDescent="0.3">
      <c r="C4505" s="1" t="str">
        <f>IF(C4504&lt;'Investment Calculator'!$C$8*'Investment Calculator'!$F$4,'SIP Schedule'!C4504+1,"")</f>
        <v/>
      </c>
      <c r="D4505" s="27" t="str">
        <f>IF(C4505&lt;='Investment Calculator'!$C$8*'Investment Calculator'!$F$4,'Investment Calculator'!$C$6,"")</f>
        <v/>
      </c>
      <c r="E4505" s="27" t="str">
        <f>IFERROR((F4504+D4505)*'Investment Calculator'!$C$7/'Investment Calculator'!$F$4,"")</f>
        <v/>
      </c>
      <c r="F4505" s="27" t="str">
        <f>IFERROR(ABS(FV('Investment Calculator'!$C$7/'Investment Calculator'!$F$4,'SIP Schedule'!C4505,'SIP Schedule'!D4505,,1)),"")</f>
        <v/>
      </c>
    </row>
    <row r="4506" spans="3:6" x14ac:dyDescent="0.3">
      <c r="C4506" s="1" t="str">
        <f>IF(C4505&lt;'Investment Calculator'!$C$8*'Investment Calculator'!$F$4,'SIP Schedule'!C4505+1,"")</f>
        <v/>
      </c>
      <c r="D4506" s="27" t="str">
        <f>IF(C4506&lt;='Investment Calculator'!$C$8*'Investment Calculator'!$F$4,'Investment Calculator'!$C$6,"")</f>
        <v/>
      </c>
      <c r="E4506" s="27" t="str">
        <f>IFERROR((F4505+D4506)*'Investment Calculator'!$C$7/'Investment Calculator'!$F$4,"")</f>
        <v/>
      </c>
      <c r="F4506" s="27" t="str">
        <f>IFERROR(ABS(FV('Investment Calculator'!$C$7/'Investment Calculator'!$F$4,'SIP Schedule'!C4506,'SIP Schedule'!D4506,,1)),"")</f>
        <v/>
      </c>
    </row>
    <row r="4507" spans="3:6" x14ac:dyDescent="0.3">
      <c r="C4507" s="1" t="str">
        <f>IF(C4506&lt;'Investment Calculator'!$C$8*'Investment Calculator'!$F$4,'SIP Schedule'!C4506+1,"")</f>
        <v/>
      </c>
      <c r="D4507" s="27" t="str">
        <f>IF(C4507&lt;='Investment Calculator'!$C$8*'Investment Calculator'!$F$4,'Investment Calculator'!$C$6,"")</f>
        <v/>
      </c>
      <c r="E4507" s="27" t="str">
        <f>IFERROR((F4506+D4507)*'Investment Calculator'!$C$7/'Investment Calculator'!$F$4,"")</f>
        <v/>
      </c>
      <c r="F4507" s="27" t="str">
        <f>IFERROR(ABS(FV('Investment Calculator'!$C$7/'Investment Calculator'!$F$4,'SIP Schedule'!C4507,'SIP Schedule'!D4507,,1)),"")</f>
        <v/>
      </c>
    </row>
    <row r="4508" spans="3:6" x14ac:dyDescent="0.3">
      <c r="C4508" s="1" t="str">
        <f>IF(C4507&lt;'Investment Calculator'!$C$8*'Investment Calculator'!$F$4,'SIP Schedule'!C4507+1,"")</f>
        <v/>
      </c>
      <c r="D4508" s="27" t="str">
        <f>IF(C4508&lt;='Investment Calculator'!$C$8*'Investment Calculator'!$F$4,'Investment Calculator'!$C$6,"")</f>
        <v/>
      </c>
      <c r="E4508" s="27" t="str">
        <f>IFERROR((F4507+D4508)*'Investment Calculator'!$C$7/'Investment Calculator'!$F$4,"")</f>
        <v/>
      </c>
      <c r="F4508" s="27" t="str">
        <f>IFERROR(ABS(FV('Investment Calculator'!$C$7/'Investment Calculator'!$F$4,'SIP Schedule'!C4508,'SIP Schedule'!D4508,,1)),"")</f>
        <v/>
      </c>
    </row>
    <row r="4509" spans="3:6" x14ac:dyDescent="0.3">
      <c r="C4509" s="1" t="str">
        <f>IF(C4508&lt;'Investment Calculator'!$C$8*'Investment Calculator'!$F$4,'SIP Schedule'!C4508+1,"")</f>
        <v/>
      </c>
      <c r="D4509" s="27" t="str">
        <f>IF(C4509&lt;='Investment Calculator'!$C$8*'Investment Calculator'!$F$4,'Investment Calculator'!$C$6,"")</f>
        <v/>
      </c>
      <c r="E4509" s="27" t="str">
        <f>IFERROR((F4508+D4509)*'Investment Calculator'!$C$7/'Investment Calculator'!$F$4,"")</f>
        <v/>
      </c>
      <c r="F4509" s="27" t="str">
        <f>IFERROR(ABS(FV('Investment Calculator'!$C$7/'Investment Calculator'!$F$4,'SIP Schedule'!C4509,'SIP Schedule'!D4509,,1)),"")</f>
        <v/>
      </c>
    </row>
    <row r="4510" spans="3:6" x14ac:dyDescent="0.3">
      <c r="C4510" s="1" t="str">
        <f>IF(C4509&lt;'Investment Calculator'!$C$8*'Investment Calculator'!$F$4,'SIP Schedule'!C4509+1,"")</f>
        <v/>
      </c>
      <c r="D4510" s="27" t="str">
        <f>IF(C4510&lt;='Investment Calculator'!$C$8*'Investment Calculator'!$F$4,'Investment Calculator'!$C$6,"")</f>
        <v/>
      </c>
      <c r="E4510" s="27" t="str">
        <f>IFERROR((F4509+D4510)*'Investment Calculator'!$C$7/'Investment Calculator'!$F$4,"")</f>
        <v/>
      </c>
      <c r="F4510" s="27" t="str">
        <f>IFERROR(ABS(FV('Investment Calculator'!$C$7/'Investment Calculator'!$F$4,'SIP Schedule'!C4510,'SIP Schedule'!D4510,,1)),"")</f>
        <v/>
      </c>
    </row>
    <row r="4511" spans="3:6" x14ac:dyDescent="0.3">
      <c r="C4511" s="1" t="str">
        <f>IF(C4510&lt;'Investment Calculator'!$C$8*'Investment Calculator'!$F$4,'SIP Schedule'!C4510+1,"")</f>
        <v/>
      </c>
      <c r="D4511" s="27" t="str">
        <f>IF(C4511&lt;='Investment Calculator'!$C$8*'Investment Calculator'!$F$4,'Investment Calculator'!$C$6,"")</f>
        <v/>
      </c>
      <c r="E4511" s="27" t="str">
        <f>IFERROR((F4510+D4511)*'Investment Calculator'!$C$7/'Investment Calculator'!$F$4,"")</f>
        <v/>
      </c>
      <c r="F4511" s="27" t="str">
        <f>IFERROR(ABS(FV('Investment Calculator'!$C$7/'Investment Calculator'!$F$4,'SIP Schedule'!C4511,'SIP Schedule'!D4511,,1)),"")</f>
        <v/>
      </c>
    </row>
    <row r="4512" spans="3:6" x14ac:dyDescent="0.3">
      <c r="C4512" s="1" t="str">
        <f>IF(C4511&lt;'Investment Calculator'!$C$8*'Investment Calculator'!$F$4,'SIP Schedule'!C4511+1,"")</f>
        <v/>
      </c>
      <c r="D4512" s="27" t="str">
        <f>IF(C4512&lt;='Investment Calculator'!$C$8*'Investment Calculator'!$F$4,'Investment Calculator'!$C$6,"")</f>
        <v/>
      </c>
      <c r="E4512" s="27" t="str">
        <f>IFERROR((F4511+D4512)*'Investment Calculator'!$C$7/'Investment Calculator'!$F$4,"")</f>
        <v/>
      </c>
      <c r="F4512" s="27" t="str">
        <f>IFERROR(ABS(FV('Investment Calculator'!$C$7/'Investment Calculator'!$F$4,'SIP Schedule'!C4512,'SIP Schedule'!D4512,,1)),"")</f>
        <v/>
      </c>
    </row>
    <row r="4513" spans="3:6" x14ac:dyDescent="0.3">
      <c r="C4513" s="1" t="str">
        <f>IF(C4512&lt;'Investment Calculator'!$C$8*'Investment Calculator'!$F$4,'SIP Schedule'!C4512+1,"")</f>
        <v/>
      </c>
      <c r="D4513" s="27" t="str">
        <f>IF(C4513&lt;='Investment Calculator'!$C$8*'Investment Calculator'!$F$4,'Investment Calculator'!$C$6,"")</f>
        <v/>
      </c>
      <c r="E4513" s="27" t="str">
        <f>IFERROR((F4512+D4513)*'Investment Calculator'!$C$7/'Investment Calculator'!$F$4,"")</f>
        <v/>
      </c>
      <c r="F4513" s="27" t="str">
        <f>IFERROR(ABS(FV('Investment Calculator'!$C$7/'Investment Calculator'!$F$4,'SIP Schedule'!C4513,'SIP Schedule'!D4513,,1)),"")</f>
        <v/>
      </c>
    </row>
    <row r="4514" spans="3:6" x14ac:dyDescent="0.3">
      <c r="C4514" s="1" t="str">
        <f>IF(C4513&lt;'Investment Calculator'!$C$8*'Investment Calculator'!$F$4,'SIP Schedule'!C4513+1,"")</f>
        <v/>
      </c>
      <c r="D4514" s="27" t="str">
        <f>IF(C4514&lt;='Investment Calculator'!$C$8*'Investment Calculator'!$F$4,'Investment Calculator'!$C$6,"")</f>
        <v/>
      </c>
      <c r="E4514" s="27" t="str">
        <f>IFERROR((F4513+D4514)*'Investment Calculator'!$C$7/'Investment Calculator'!$F$4,"")</f>
        <v/>
      </c>
      <c r="F4514" s="27" t="str">
        <f>IFERROR(ABS(FV('Investment Calculator'!$C$7/'Investment Calculator'!$F$4,'SIP Schedule'!C4514,'SIP Schedule'!D4514,,1)),"")</f>
        <v/>
      </c>
    </row>
    <row r="4515" spans="3:6" x14ac:dyDescent="0.3">
      <c r="C4515" s="1" t="str">
        <f>IF(C4514&lt;'Investment Calculator'!$C$8*'Investment Calculator'!$F$4,'SIP Schedule'!C4514+1,"")</f>
        <v/>
      </c>
      <c r="D4515" s="27" t="str">
        <f>IF(C4515&lt;='Investment Calculator'!$C$8*'Investment Calculator'!$F$4,'Investment Calculator'!$C$6,"")</f>
        <v/>
      </c>
      <c r="E4515" s="27" t="str">
        <f>IFERROR((F4514+D4515)*'Investment Calculator'!$C$7/'Investment Calculator'!$F$4,"")</f>
        <v/>
      </c>
      <c r="F4515" s="27" t="str">
        <f>IFERROR(ABS(FV('Investment Calculator'!$C$7/'Investment Calculator'!$F$4,'SIP Schedule'!C4515,'SIP Schedule'!D4515,,1)),"")</f>
        <v/>
      </c>
    </row>
    <row r="4516" spans="3:6" x14ac:dyDescent="0.3">
      <c r="C4516" s="1" t="str">
        <f>IF(C4515&lt;'Investment Calculator'!$C$8*'Investment Calculator'!$F$4,'SIP Schedule'!C4515+1,"")</f>
        <v/>
      </c>
      <c r="D4516" s="27" t="str">
        <f>IF(C4516&lt;='Investment Calculator'!$C$8*'Investment Calculator'!$F$4,'Investment Calculator'!$C$6,"")</f>
        <v/>
      </c>
      <c r="E4516" s="27" t="str">
        <f>IFERROR((F4515+D4516)*'Investment Calculator'!$C$7/'Investment Calculator'!$F$4,"")</f>
        <v/>
      </c>
      <c r="F4516" s="27" t="str">
        <f>IFERROR(ABS(FV('Investment Calculator'!$C$7/'Investment Calculator'!$F$4,'SIP Schedule'!C4516,'SIP Schedule'!D4516,,1)),"")</f>
        <v/>
      </c>
    </row>
    <row r="4517" spans="3:6" x14ac:dyDescent="0.3">
      <c r="C4517" s="1" t="str">
        <f>IF(C4516&lt;'Investment Calculator'!$C$8*'Investment Calculator'!$F$4,'SIP Schedule'!C4516+1,"")</f>
        <v/>
      </c>
      <c r="D4517" s="27" t="str">
        <f>IF(C4517&lt;='Investment Calculator'!$C$8*'Investment Calculator'!$F$4,'Investment Calculator'!$C$6,"")</f>
        <v/>
      </c>
      <c r="E4517" s="27" t="str">
        <f>IFERROR((F4516+D4517)*'Investment Calculator'!$C$7/'Investment Calculator'!$F$4,"")</f>
        <v/>
      </c>
      <c r="F4517" s="27" t="str">
        <f>IFERROR(ABS(FV('Investment Calculator'!$C$7/'Investment Calculator'!$F$4,'SIP Schedule'!C4517,'SIP Schedule'!D4517,,1)),"")</f>
        <v/>
      </c>
    </row>
    <row r="4518" spans="3:6" x14ac:dyDescent="0.3">
      <c r="C4518" s="1" t="str">
        <f>IF(C4517&lt;'Investment Calculator'!$C$8*'Investment Calculator'!$F$4,'SIP Schedule'!C4517+1,"")</f>
        <v/>
      </c>
      <c r="D4518" s="27" t="str">
        <f>IF(C4518&lt;='Investment Calculator'!$C$8*'Investment Calculator'!$F$4,'Investment Calculator'!$C$6,"")</f>
        <v/>
      </c>
      <c r="E4518" s="27" t="str">
        <f>IFERROR((F4517+D4518)*'Investment Calculator'!$C$7/'Investment Calculator'!$F$4,"")</f>
        <v/>
      </c>
      <c r="F4518" s="27" t="str">
        <f>IFERROR(ABS(FV('Investment Calculator'!$C$7/'Investment Calculator'!$F$4,'SIP Schedule'!C4518,'SIP Schedule'!D4518,,1)),"")</f>
        <v/>
      </c>
    </row>
    <row r="4519" spans="3:6" x14ac:dyDescent="0.3">
      <c r="C4519" s="1" t="str">
        <f>IF(C4518&lt;'Investment Calculator'!$C$8*'Investment Calculator'!$F$4,'SIP Schedule'!C4518+1,"")</f>
        <v/>
      </c>
      <c r="D4519" s="27" t="str">
        <f>IF(C4519&lt;='Investment Calculator'!$C$8*'Investment Calculator'!$F$4,'Investment Calculator'!$C$6,"")</f>
        <v/>
      </c>
      <c r="E4519" s="27" t="str">
        <f>IFERROR((F4518+D4519)*'Investment Calculator'!$C$7/'Investment Calculator'!$F$4,"")</f>
        <v/>
      </c>
      <c r="F4519" s="27" t="str">
        <f>IFERROR(ABS(FV('Investment Calculator'!$C$7/'Investment Calculator'!$F$4,'SIP Schedule'!C4519,'SIP Schedule'!D4519,,1)),"")</f>
        <v/>
      </c>
    </row>
    <row r="4520" spans="3:6" x14ac:dyDescent="0.3">
      <c r="C4520" s="1" t="str">
        <f>IF(C4519&lt;'Investment Calculator'!$C$8*'Investment Calculator'!$F$4,'SIP Schedule'!C4519+1,"")</f>
        <v/>
      </c>
      <c r="D4520" s="27" t="str">
        <f>IF(C4520&lt;='Investment Calculator'!$C$8*'Investment Calculator'!$F$4,'Investment Calculator'!$C$6,"")</f>
        <v/>
      </c>
      <c r="E4520" s="27" t="str">
        <f>IFERROR((F4519+D4520)*'Investment Calculator'!$C$7/'Investment Calculator'!$F$4,"")</f>
        <v/>
      </c>
      <c r="F4520" s="27" t="str">
        <f>IFERROR(ABS(FV('Investment Calculator'!$C$7/'Investment Calculator'!$F$4,'SIP Schedule'!C4520,'SIP Schedule'!D4520,,1)),"")</f>
        <v/>
      </c>
    </row>
    <row r="4521" spans="3:6" x14ac:dyDescent="0.3">
      <c r="C4521" s="1" t="str">
        <f>IF(C4520&lt;'Investment Calculator'!$C$8*'Investment Calculator'!$F$4,'SIP Schedule'!C4520+1,"")</f>
        <v/>
      </c>
      <c r="D4521" s="27" t="str">
        <f>IF(C4521&lt;='Investment Calculator'!$C$8*'Investment Calculator'!$F$4,'Investment Calculator'!$C$6,"")</f>
        <v/>
      </c>
      <c r="E4521" s="27" t="str">
        <f>IFERROR((F4520+D4521)*'Investment Calculator'!$C$7/'Investment Calculator'!$F$4,"")</f>
        <v/>
      </c>
      <c r="F4521" s="27" t="str">
        <f>IFERROR(ABS(FV('Investment Calculator'!$C$7/'Investment Calculator'!$F$4,'SIP Schedule'!C4521,'SIP Schedule'!D4521,,1)),"")</f>
        <v/>
      </c>
    </row>
    <row r="4522" spans="3:6" x14ac:dyDescent="0.3">
      <c r="C4522" s="1" t="str">
        <f>IF(C4521&lt;'Investment Calculator'!$C$8*'Investment Calculator'!$F$4,'SIP Schedule'!C4521+1,"")</f>
        <v/>
      </c>
      <c r="D4522" s="27" t="str">
        <f>IF(C4522&lt;='Investment Calculator'!$C$8*'Investment Calculator'!$F$4,'Investment Calculator'!$C$6,"")</f>
        <v/>
      </c>
      <c r="E4522" s="27" t="str">
        <f>IFERROR((F4521+D4522)*'Investment Calculator'!$C$7/'Investment Calculator'!$F$4,"")</f>
        <v/>
      </c>
      <c r="F4522" s="27" t="str">
        <f>IFERROR(ABS(FV('Investment Calculator'!$C$7/'Investment Calculator'!$F$4,'SIP Schedule'!C4522,'SIP Schedule'!D4522,,1)),"")</f>
        <v/>
      </c>
    </row>
    <row r="4523" spans="3:6" x14ac:dyDescent="0.3">
      <c r="C4523" s="1" t="str">
        <f>IF(C4522&lt;'Investment Calculator'!$C$8*'Investment Calculator'!$F$4,'SIP Schedule'!C4522+1,"")</f>
        <v/>
      </c>
      <c r="D4523" s="27" t="str">
        <f>IF(C4523&lt;='Investment Calculator'!$C$8*'Investment Calculator'!$F$4,'Investment Calculator'!$C$6,"")</f>
        <v/>
      </c>
      <c r="E4523" s="27" t="str">
        <f>IFERROR((F4522+D4523)*'Investment Calculator'!$C$7/'Investment Calculator'!$F$4,"")</f>
        <v/>
      </c>
      <c r="F4523" s="27" t="str">
        <f>IFERROR(ABS(FV('Investment Calculator'!$C$7/'Investment Calculator'!$F$4,'SIP Schedule'!C4523,'SIP Schedule'!D4523,,1)),"")</f>
        <v/>
      </c>
    </row>
    <row r="4524" spans="3:6" x14ac:dyDescent="0.3">
      <c r="C4524" s="1" t="str">
        <f>IF(C4523&lt;'Investment Calculator'!$C$8*'Investment Calculator'!$F$4,'SIP Schedule'!C4523+1,"")</f>
        <v/>
      </c>
      <c r="D4524" s="27" t="str">
        <f>IF(C4524&lt;='Investment Calculator'!$C$8*'Investment Calculator'!$F$4,'Investment Calculator'!$C$6,"")</f>
        <v/>
      </c>
      <c r="E4524" s="27" t="str">
        <f>IFERROR((F4523+D4524)*'Investment Calculator'!$C$7/'Investment Calculator'!$F$4,"")</f>
        <v/>
      </c>
      <c r="F4524" s="27" t="str">
        <f>IFERROR(ABS(FV('Investment Calculator'!$C$7/'Investment Calculator'!$F$4,'SIP Schedule'!C4524,'SIP Schedule'!D4524,,1)),"")</f>
        <v/>
      </c>
    </row>
    <row r="4525" spans="3:6" x14ac:dyDescent="0.3">
      <c r="C4525" s="1" t="str">
        <f>IF(C4524&lt;'Investment Calculator'!$C$8*'Investment Calculator'!$F$4,'SIP Schedule'!C4524+1,"")</f>
        <v/>
      </c>
      <c r="D4525" s="27" t="str">
        <f>IF(C4525&lt;='Investment Calculator'!$C$8*'Investment Calculator'!$F$4,'Investment Calculator'!$C$6,"")</f>
        <v/>
      </c>
      <c r="E4525" s="27" t="str">
        <f>IFERROR((F4524+D4525)*'Investment Calculator'!$C$7/'Investment Calculator'!$F$4,"")</f>
        <v/>
      </c>
      <c r="F4525" s="27" t="str">
        <f>IFERROR(ABS(FV('Investment Calculator'!$C$7/'Investment Calculator'!$F$4,'SIP Schedule'!C4525,'SIP Schedule'!D4525,,1)),"")</f>
        <v/>
      </c>
    </row>
    <row r="4526" spans="3:6" x14ac:dyDescent="0.3">
      <c r="C4526" s="1" t="str">
        <f>IF(C4525&lt;'Investment Calculator'!$C$8*'Investment Calculator'!$F$4,'SIP Schedule'!C4525+1,"")</f>
        <v/>
      </c>
      <c r="D4526" s="27" t="str">
        <f>IF(C4526&lt;='Investment Calculator'!$C$8*'Investment Calculator'!$F$4,'Investment Calculator'!$C$6,"")</f>
        <v/>
      </c>
      <c r="E4526" s="27" t="str">
        <f>IFERROR((F4525+D4526)*'Investment Calculator'!$C$7/'Investment Calculator'!$F$4,"")</f>
        <v/>
      </c>
      <c r="F4526" s="27" t="str">
        <f>IFERROR(ABS(FV('Investment Calculator'!$C$7/'Investment Calculator'!$F$4,'SIP Schedule'!C4526,'SIP Schedule'!D4526,,1)),"")</f>
        <v/>
      </c>
    </row>
  </sheetData>
  <mergeCells count="1">
    <mergeCell ref="C2:F2"/>
  </mergeCells>
  <conditionalFormatting sqref="C5:F4526">
    <cfRule type="expression" dxfId="0" priority="1">
      <formula>AND(C5&lt;&gt;"",C5&lt;&gt;0)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8F30-4F58-4F9F-A763-BC39497C4FCE}">
  <dimension ref="B3:C8"/>
  <sheetViews>
    <sheetView workbookViewId="0">
      <selection activeCell="C5" sqref="C5"/>
    </sheetView>
  </sheetViews>
  <sheetFormatPr defaultRowHeight="14.4" x14ac:dyDescent="0.3"/>
  <cols>
    <col min="1" max="1" width="8.88671875" style="1"/>
    <col min="2" max="2" width="19.109375" style="1" bestFit="1" customWidth="1"/>
    <col min="3" max="16384" width="8.88671875" style="1"/>
  </cols>
  <sheetData>
    <row r="3" spans="2:3" x14ac:dyDescent="0.3">
      <c r="B3" s="3" t="s">
        <v>54</v>
      </c>
      <c r="C3" s="3" t="s">
        <v>55</v>
      </c>
    </row>
    <row r="4" spans="2:3" x14ac:dyDescent="0.3">
      <c r="B4" s="4" t="s">
        <v>56</v>
      </c>
      <c r="C4" s="4">
        <f t="array" ref="C4">SUM(IF(ISERROR(Dashboard!B2:T24),1))</f>
        <v>0</v>
      </c>
    </row>
    <row r="5" spans="2:3" x14ac:dyDescent="0.3">
      <c r="B5" s="4" t="s">
        <v>57</v>
      </c>
      <c r="C5" s="4">
        <f t="array" ref="C5">SUM(IF(ISERROR('FD Calculator'!B3:K9),1))</f>
        <v>0</v>
      </c>
    </row>
    <row r="6" spans="2:3" x14ac:dyDescent="0.3">
      <c r="B6" s="4" t="s">
        <v>58</v>
      </c>
      <c r="C6" s="4">
        <f t="array" ref="C6">SUM(IF(ISERROR('Investment Calculator'!B3:I12),1))</f>
        <v>0</v>
      </c>
    </row>
    <row r="7" spans="2:3" x14ac:dyDescent="0.3">
      <c r="B7" s="4" t="s">
        <v>44</v>
      </c>
      <c r="C7" s="4">
        <f t="array" ref="C7">SUM(IF(ISERROR('SIP Schedule'!C2:F4526),1))</f>
        <v>0</v>
      </c>
    </row>
    <row r="8" spans="2:3" x14ac:dyDescent="0.3">
      <c r="B8" s="4" t="s">
        <v>51</v>
      </c>
      <c r="C8" s="4">
        <f>SUM(C4:C7)</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9A53-A869-4305-840B-DEC79CBA78D3}">
  <dimension ref="A1"/>
  <sheetViews>
    <sheetView workbookViewId="0">
      <selection activeCell="E13" sqref="E13"/>
    </sheetView>
  </sheetViews>
  <sheetFormatPr defaultRowHeight="14.4" x14ac:dyDescent="0.3"/>
  <cols>
    <col min="1" max="16384" width="8.88671875" style="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I9"/>
  <sheetViews>
    <sheetView workbookViewId="0">
      <selection activeCell="E17" sqref="E17"/>
    </sheetView>
  </sheetViews>
  <sheetFormatPr defaultRowHeight="14.4" x14ac:dyDescent="0.3"/>
  <cols>
    <col min="1" max="2" width="8.88671875" style="1"/>
    <col min="3" max="3" width="18.88671875" style="1" bestFit="1" customWidth="1"/>
    <col min="4" max="4" width="27.6640625" style="1" bestFit="1" customWidth="1"/>
    <col min="5" max="5" width="33.44140625" style="1" bestFit="1" customWidth="1"/>
    <col min="6" max="6" width="8.88671875" style="1"/>
    <col min="7" max="7" width="11.77734375" style="1" bestFit="1" customWidth="1"/>
    <col min="8" max="16384" width="8.88671875" style="1"/>
  </cols>
  <sheetData>
    <row r="3" spans="3:9" x14ac:dyDescent="0.3">
      <c r="C3" s="10" t="s">
        <v>0</v>
      </c>
      <c r="D3" s="10" t="s">
        <v>1</v>
      </c>
      <c r="E3" s="10" t="s">
        <v>2</v>
      </c>
      <c r="G3" s="3" t="s">
        <v>19</v>
      </c>
      <c r="H3" s="2">
        <v>1</v>
      </c>
      <c r="I3" s="2">
        <v>12</v>
      </c>
    </row>
    <row r="4" spans="3:9" x14ac:dyDescent="0.3">
      <c r="C4" s="11" t="s">
        <v>3</v>
      </c>
      <c r="D4" s="9">
        <v>4.2500000000000003E-2</v>
      </c>
      <c r="E4" s="9">
        <v>4.7500000000000001E-2</v>
      </c>
      <c r="G4" s="3" t="s">
        <v>20</v>
      </c>
      <c r="H4" s="2">
        <v>2</v>
      </c>
      <c r="I4" s="2">
        <v>6</v>
      </c>
    </row>
    <row r="5" spans="3:9" x14ac:dyDescent="0.3">
      <c r="C5" s="11" t="s">
        <v>4</v>
      </c>
      <c r="D5" s="9">
        <v>5.5E-2</v>
      </c>
      <c r="E5" s="9">
        <v>0.06</v>
      </c>
      <c r="G5" s="3" t="s">
        <v>21</v>
      </c>
      <c r="H5" s="2">
        <v>4</v>
      </c>
      <c r="I5" s="2">
        <v>3</v>
      </c>
    </row>
    <row r="6" spans="3:9" x14ac:dyDescent="0.3">
      <c r="C6" s="11" t="s">
        <v>5</v>
      </c>
      <c r="D6" s="9">
        <v>6.5000000000000002E-2</v>
      </c>
      <c r="E6" s="9">
        <v>7.0000000000000007E-2</v>
      </c>
      <c r="G6" s="3" t="s">
        <v>22</v>
      </c>
      <c r="H6" s="2">
        <v>12</v>
      </c>
      <c r="I6" s="2">
        <v>1</v>
      </c>
    </row>
    <row r="7" spans="3:9" x14ac:dyDescent="0.3">
      <c r="C7" s="11" t="s">
        <v>6</v>
      </c>
      <c r="D7" s="9">
        <v>7.0000000000000007E-2</v>
      </c>
      <c r="E7" s="9">
        <v>7.5000000000000011E-2</v>
      </c>
    </row>
    <row r="8" spans="3:9" x14ac:dyDescent="0.3">
      <c r="C8" s="11" t="s">
        <v>7</v>
      </c>
      <c r="D8" s="9">
        <v>7.2500000000000009E-2</v>
      </c>
      <c r="E8" s="9">
        <v>7.7499999999999999E-2</v>
      </c>
    </row>
    <row r="9" spans="3:9" x14ac:dyDescent="0.3">
      <c r="C9" s="11" t="s">
        <v>8</v>
      </c>
      <c r="D9" s="9">
        <v>6.7500000000000004E-2</v>
      </c>
      <c r="E9" s="9">
        <v>7.2500000000000009E-2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FD Calculator</vt:lpstr>
      <vt:lpstr>Investment Calculator</vt:lpstr>
      <vt:lpstr>SIP Schedule</vt:lpstr>
      <vt:lpstr>Audit Report</vt:lpstr>
      <vt:lpstr>Information Sheet</vt:lpstr>
      <vt:lpstr>(Reference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dc:creator>
  <cp:lastModifiedBy>Akshit Vig</cp:lastModifiedBy>
  <cp:lastPrinted>2025-02-24T20:19:08Z</cp:lastPrinted>
  <dcterms:created xsi:type="dcterms:W3CDTF">2015-06-05T18:17:20Z</dcterms:created>
  <dcterms:modified xsi:type="dcterms:W3CDTF">2025-11-16T18:32:54Z</dcterms:modified>
</cp:coreProperties>
</file>